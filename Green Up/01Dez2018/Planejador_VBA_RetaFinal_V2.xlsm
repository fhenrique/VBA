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01Dez2018\"/>
    </mc:Choice>
  </mc:AlternateContent>
  <bookViews>
    <workbookView xWindow="0" yWindow="0" windowWidth="15345" windowHeight="4545" tabRatio="1000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Fichas Técnicas" sheetId="8" r:id="rId6"/>
    <sheet name="Cad. Unid. Medida" sheetId="7" r:id="rId7"/>
    <sheet name="Cardápio" sheetId="10" r:id="rId8"/>
    <sheet name="Lista Semanal" sheetId="12" r:id="rId9"/>
    <sheet name="Lista Compras" sheetId="13" r:id="rId10"/>
  </sheets>
  <functionGroups builtInGroupCount="18"/>
  <definedNames>
    <definedName name="cboPrato_1" localSheetId="5">'Cad. Fichas Técnicas'!$C$6</definedName>
    <definedName name="_xlnm.Print_Area" localSheetId="7">Cardápio!$C$4:$U$63</definedName>
    <definedName name="_xlnm.Print_Area" localSheetId="9">'Lista Compras'!$C$4:$T$31</definedName>
    <definedName name="_xlnm.Print_Area" localSheetId="8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6" i="10"/>
  <c r="E46" i="12" s="1"/>
  <c r="F44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E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/>
  <c r="F7" i="10" l="1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E47" i="12" s="1"/>
  <c r="F45" i="10"/>
  <c r="E45" i="12" s="1"/>
  <c r="E44" i="12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<sst xmlns="http://schemas.openxmlformats.org/spreadsheetml/2006/main" count="923" uniqueCount="741">
  <si>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</si>
  <si>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</si>
  <si>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</si>
  <si>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</si>
  <si>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</si>
  <si>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</si>
  <si>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</si>
  <si>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</si>
  <si>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</si>
  <si>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</si>
  <si>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</si>
  <si>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</si>
  <si>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</si>
  <si>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</si>
  <si>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</si>
  <si>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</si>
  <si>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</si>
  <si>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</si>
  <si>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</si>
  <si>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</si>
  <si>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</si>
  <si>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</si>
  <si>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</si>
  <si>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</si>
  <si>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</si>
  <si>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</si>
  <si>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</si>
  <si>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</si>
  <si>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</si>
  <si>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</si>
  <si>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</si>
  <si>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</si>
  <si>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</si>
  <si>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</si>
  <si>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</si>
  <si>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</si>
  <si>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</si>
  <si>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</si>
  <si>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</si>
  <si>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</si>
  <si>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</si>
  <si>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</si>
  <si>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</si>
  <si>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</si>
  <si>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</si>
  <si>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</si>
  <si>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</si>
  <si>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</si>
  <si>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</si>
  <si>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</si>
  <si>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</si>
  <si>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</si>
  <si>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</si>
  <si>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</si>
  <si>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</si>
  <si>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</si>
  <si>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</si>
  <si>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</si>
  <si>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</si>
  <si>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</si>
  <si>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</si>
  <si>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</si>
  <si>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</si>
  <si>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</si>
  <si>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</si>
  <si>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</si>
  <si>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</si>
  <si>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</si>
  <si>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</si>
  <si>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</si>
  <si>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</si>
  <si>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</si>
  <si>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</si>
  <si>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</si>
  <si>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</si>
  <si>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</si>
  <si>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</si>
  <si>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</si>
  <si>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</si>
  <si>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</si>
  <si>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</si>
  <si>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</si>
  <si>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</si>
  <si>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</si>
  <si>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</si>
  <si>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</si>
  <si>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</si>
  <si>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</si>
  <si>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</si>
  <si>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</si>
  <si>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</si>
  <si>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</si>
  <si>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</si>
  <si>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</si>
  <si>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</si>
  <si>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</si>
  <si>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</si>
  <si>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</si>
  <si>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</si>
  <si>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</si>
  <si>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</si>
  <si>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</si>
  <si>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</si>
  <si>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</si>
  <si>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</si>
  <si>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</si>
  <si>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</si>
  <si>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</si>
  <si>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</si>
  <si>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</si>
  <si>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</si>
  <si>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</si>
  <si>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</si>
  <si>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</si>
  <si>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</si>
  <si>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</si>
  <si>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</si>
  <si>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</si>
  <si>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</si>
  <si>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</si>
  <si>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</si>
  <si>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</si>
  <si>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</si>
  <si>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</si>
  <si>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</si>
  <si>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</si>
  <si>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</si>
  <si>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</si>
  <si>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</si>
  <si>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</si>
  <si>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</si>
  <si>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</si>
  <si>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</si>
  <si>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</si>
  <si>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</si>
  <si>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</si>
  <si>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</si>
  <si>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</si>
  <si>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</si>
  <si>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</si>
  <si>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</si>
  <si>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</si>
  <si>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</si>
  <si>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</si>
  <si>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</si>
  <si>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</si>
  <si>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</si>
  <si>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</si>
  <si>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</si>
  <si>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</si>
  <si>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</si>
  <si>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</si>
  <si>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</si>
  <si>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</si>
  <si>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</si>
  <si>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</si>
  <si>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</si>
  <si>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</si>
  <si>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</si>
  <si>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</si>
  <si>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</si>
  <si>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</si>
  <si>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</si>
  <si>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</si>
  <si>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</si>
  <si>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</si>
  <si>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</si>
  <si>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</si>
  <si>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</si>
  <si>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</si>
  <si>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</si>
  <si>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</si>
  <si>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</si>
  <si>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</si>
  <si>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</si>
  <si>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</si>
  <si>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</si>
  <si>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</si>
  <si>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</si>
  <si>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</si>
  <si>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</si>
  <si>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</si>
  <si>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</si>
  <si>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</si>
  <si>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</si>
  <si>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</si>
  <si>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</si>
  <si>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</si>
  <si>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</si>
  <si>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</si>
  <si>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</si>
  <si>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</si>
  <si>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</si>
  <si>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</si>
  <si>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</si>
  <si>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</si>
  <si>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</si>
  <si>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</si>
  <si>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</si>
  <si>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</si>
  <si>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</si>
  <si>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</si>
  <si>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</si>
  <si>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</si>
  <si>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</si>
  <si>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</si>
  <si>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</si>
  <si>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</si>
  <si>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</si>
  <si>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</si>
  <si>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</si>
  <si>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</si>
  <si>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</si>
  <si>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</si>
  <si>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</si>
  <si>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</si>
  <si>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</si>
  <si>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</si>
  <si>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</si>
  <si>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</si>
  <si>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</si>
  <si>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</si>
  <si>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</si>
  <si>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</si>
  <si>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</si>
  <si>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</si>
  <si>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</si>
  <si>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</si>
  <si>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</si>
  <si>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</si>
  <si>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</si>
  <si>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</si>
  <si>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</si>
  <si>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</si>
  <si>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</si>
  <si>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</si>
  <si>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</si>
  <si>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</si>
  <si>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</si>
  <si>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</si>
  <si>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</si>
  <si>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</si>
  <si>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</si>
  <si>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</si>
  <si>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</si>
  <si>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</si>
  <si>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</si>
  <si>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</si>
  <si>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</si>
  <si>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</si>
  <si>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</si>
  <si>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</si>
  <si>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</si>
  <si>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</si>
  <si>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</si>
  <si>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</si>
  <si>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</si>
  <si>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</si>
  <si>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</si>
  <si>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</si>
  <si>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</si>
  <si>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</si>
  <si>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</si>
  <si>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</si>
  <si>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</si>
  <si>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</si>
  <si>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</si>
  <si>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</si>
  <si>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</si>
  <si>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</si>
  <si>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</si>
  <si>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</si>
  <si>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</si>
  <si>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</si>
  <si>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</si>
  <si>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</si>
  <si>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</si>
  <si>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</si>
  <si>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</si>
  <si>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</si>
  <si>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</si>
  <si>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</si>
  <si>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</si>
  <si>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</si>
  <si>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</si>
  <si>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</si>
  <si>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</si>
  <si>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</si>
  <si>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</si>
  <si>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</si>
  <si>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</si>
  <si>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</si>
  <si>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</si>
  <si>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</si>
  <si>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</si>
  <si>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</si>
  <si>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</si>
  <si>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</si>
  <si>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</si>
  <si>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</si>
  <si>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</si>
  <si>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</si>
  <si>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</si>
  <si>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</si>
  <si>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</si>
  <si>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</si>
  <si>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</si>
  <si>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</si>
  <si>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</si>
  <si>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</si>
  <si>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</si>
  <si>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</si>
  <si>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</si>
  <si>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</si>
  <si>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</si>
  <si>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</si>
  <si>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</si>
  <si>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</si>
  <si>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</si>
  <si>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</si>
  <si>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</si>
  <si>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</si>
  <si>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</si>
  <si>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</si>
  <si>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</si>
  <si>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</si>
  <si>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</si>
  <si>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</si>
  <si>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</si>
  <si>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</si>
  <si>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</si>
  <si>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</si>
  <si>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</si>
  <si>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</si>
  <si>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</si>
  <si>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</si>
  <si>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</si>
  <si>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</si>
  <si>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</si>
  <si>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</si>
  <si>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</si>
  <si>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</si>
  <si>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</si>
  <si>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</si>
  <si>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</si>
  <si>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</si>
  <si>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</si>
  <si>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</si>
  <si>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</si>
  <si>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</si>
  <si>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</si>
  <si>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</si>
  <si>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</si>
  <si>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</si>
  <si>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</si>
  <si>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</si>
  <si>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</si>
  <si>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</si>
  <si>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</si>
  <si>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</si>
  <si>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</si>
  <si>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</si>
  <si>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</si>
  <si>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</si>
  <si>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</si>
  <si>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</si>
  <si>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</si>
  <si>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</si>
  <si>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</si>
  <si>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</si>
  <si>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</si>
  <si>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</si>
  <si>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</si>
  <si>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</si>
  <si>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</si>
  <si>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</si>
  <si>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</si>
  <si>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</si>
  <si>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</si>
  <si>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</si>
  <si>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</si>
  <si>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</si>
  <si>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</si>
  <si>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</si>
  <si>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</si>
  <si>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</si>
  <si>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</si>
  <si>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</si>
  <si>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</si>
  <si>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</si>
  <si>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</si>
  <si>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</si>
  <si>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</si>
  <si>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</si>
  <si>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</si>
  <si>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</si>
  <si>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</si>
  <si>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</si>
  <si>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</si>
  <si>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</si>
  <si>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</si>
  <si>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</si>
  <si>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</si>
  <si>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</si>
  <si>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</si>
  <si>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</si>
  <si>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</si>
  <si>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</si>
  <si>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</si>
  <si>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</si>
  <si>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</si>
  <si>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</si>
  <si>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</si>
  <si>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</si>
  <si>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</si>
  <si>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</si>
  <si>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</si>
  <si>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</si>
  <si>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</si>
  <si>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</si>
  <si>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</si>
  <si>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</si>
  <si>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</si>
  <si>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</si>
  <si>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</si>
  <si>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</si>
  <si>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</si>
  <si>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</si>
  <si>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</si>
  <si>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</si>
  <si>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</si>
  <si>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</si>
  <si>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</si>
  <si>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</si>
  <si>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</si>
  <si>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</si>
  <si>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</si>
  <si>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</si>
  <si>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</si>
  <si>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</si>
  <si>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</si>
  <si>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</si>
  <si>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</si>
  <si>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</si>
  <si>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</si>
  <si>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</si>
  <si>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</si>
  <si>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</si>
  <si>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</si>
  <si>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</si>
  <si>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</si>
  <si>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</si>
  <si>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</si>
  <si>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</si>
  <si>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</si>
  <si>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</si>
  <si>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</si>
  <si>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</si>
  <si>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</si>
  <si>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</si>
  <si>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</si>
  <si>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</si>
  <si>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</si>
  <si>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</si>
  <si>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</si>
  <si>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</si>
  <si>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</si>
  <si>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</si>
  <si>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</si>
  <si>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</si>
  <si>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</si>
  <si>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</si>
  <si>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</si>
  <si>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</si>
  <si>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</si>
  <si>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</si>
  <si>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</si>
  <si>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</si>
  <si>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</si>
  <si>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</si>
  <si>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</si>
  <si>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</si>
  <si>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</si>
  <si>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</si>
  <si>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</si>
  <si>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</si>
  <si>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</si>
  <si>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</si>
  <si>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</si>
  <si>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</si>
  <si>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</si>
  <si>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</si>
  <si>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</si>
  <si>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</si>
  <si>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</si>
  <si>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</si>
  <si>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</si>
  <si>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</si>
  <si>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</si>
  <si>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</si>
  <si>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</si>
  <si>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</si>
  <si>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</si>
  <si>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</si>
  <si>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</si>
  <si>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</si>
  <si>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</si>
  <si>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</si>
  <si>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</si>
  <si>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</si>
  <si>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</si>
  <si>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</si>
  <si>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</si>
  <si>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</si>
  <si>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</si>
  <si>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</si>
  <si>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</si>
  <si>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</si>
  <si>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</si>
  <si>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</si>
  <si>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</si>
  <si>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</si>
  <si>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</si>
  <si>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</si>
  <si>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</si>
  <si>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</si>
  <si>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</si>
  <si>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</si>
  <si>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</si>
  <si>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</si>
  <si>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</si>
  <si>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</si>
  <si>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</si>
  <si>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</si>
  <si>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</si>
  <si>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</si>
  <si>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</si>
  <si>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</si>
  <si>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</si>
  <si>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</si>
  <si>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</si>
  <si>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</si>
  <si>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</si>
  <si>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</si>
  <si>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</si>
  <si>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</si>
  <si>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</si>
  <si>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</si>
  <si>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</si>
  <si>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</si>
  <si>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</si>
  <si>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</si>
  <si>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</si>
  <si>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</si>
  <si>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</si>
  <si>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</si>
  <si>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</si>
  <si>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</si>
  <si>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</si>
  <si>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</si>
  <si>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</si>
  <si>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</si>
  <si>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</si>
  <si>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</si>
  <si>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</si>
  <si>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</si>
  <si>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</si>
  <si>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</si>
  <si>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</si>
  <si>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</si>
  <si>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</si>
  <si>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</si>
  <si>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</si>
  <si>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</si>
  <si>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</si>
  <si>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</si>
  <si>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</si>
  <si>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</si>
  <si>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</si>
  <si>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</si>
  <si>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</si>
  <si>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</si>
  <si>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</si>
  <si>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</si>
  <si>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</si>
  <si>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</si>
  <si>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</si>
  <si>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</si>
  <si>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</si>
  <si>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</si>
  <si>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</si>
  <si>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</si>
  <si>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</si>
  <si>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</si>
  <si>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</si>
  <si>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</si>
  <si>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</si>
  <si>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</si>
  <si>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</si>
  <si>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</si>
  <si>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</si>
  <si>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</si>
  <si>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</si>
  <si>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</si>
  <si>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</si>
  <si>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</si>
  <si>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</si>
  <si>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</si>
  <si>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</si>
  <si>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</si>
  <si>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</si>
  <si>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</si>
  <si>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</si>
  <si>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</si>
  <si>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</si>
  <si>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</si>
  <si>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</si>
  <si>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</si>
  <si>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</si>
  <si>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</si>
  <si>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</si>
  <si>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</si>
  <si>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</si>
  <si>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</si>
  <si>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</si>
  <si>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</si>
  <si>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</si>
  <si>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</si>
  <si>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</si>
  <si>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</si>
  <si>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</si>
  <si>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</si>
  <si>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</si>
  <si>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</si>
  <si>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</si>
  <si>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</si>
  <si>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</si>
  <si>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</si>
  <si>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</si>
  <si>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</si>
  <si>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</si>
  <si>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</si>
  <si>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</si>
  <si>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</si>
  <si>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</si>
  <si>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</si>
  <si>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</si>
  <si>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</si>
  <si>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</si>
  <si>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</si>
  <si>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</si>
  <si>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</si>
  <si>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</si>
  <si>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</si>
  <si>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</si>
  <si>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</si>
  <si>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</si>
  <si>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</si>
  <si>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</si>
  <si>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</si>
  <si>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</si>
  <si>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</si>
  <si>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</si>
  <si>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</si>
  <si>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</si>
  <si>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</si>
  <si>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</si>
  <si>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</si>
  <si>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</si>
  <si>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</si>
  <si>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</si>
  <si>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</si>
  <si>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</si>
  <si>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</si>
  <si>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</si>
  <si>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</si>
  <si>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</si>
  <si>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</si>
  <si>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</si>
  <si>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</si>
  <si>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</si>
  <si>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</si>
  <si>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</si>
  <si>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</si>
  <si>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</si>
  <si>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</si>
  <si>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</si>
  <si>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</si>
  <si>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</si>
  <si>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</si>
  <si>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</si>
  <si>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</si>
  <si>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</si>
  <si>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</si>
  <si>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</si>
  <si>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</si>
  <si>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</si>
  <si>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</si>
  <si>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</si>
  <si>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</si>
  <si>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</si>
  <si>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</si>
  <si>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</si>
  <si>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</si>
  <si>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</si>
  <si>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</si>
  <si>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</si>
  <si>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</si>
  <si>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</si>
  <si>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</si>
  <si>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</si>
  <si>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</si>
  <si>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</si>
  <si>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</si>
  <si>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</si>
  <si>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</si>
  <si>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</si>
  <si>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</si>
  <si>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</si>
  <si>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</si>
  <si>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</si>
  <si>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</si>
  <si>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</si>
  <si>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</si>
  <si>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</si>
  <si>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</si>
  <si>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</si>
  <si>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</si>
  <si>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</si>
  <si>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</si>
  <si>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</si>
  <si>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</si>
  <si>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HORTIFRUTI</t>
  </si>
  <si>
    <t>Pratos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</si>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</sst>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9" fillId="3" borderId="1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22" fillId="2" borderId="1" xfId="0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 applyAlignment="1"/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textRotation="90"/>
    </xf>
    <xf numFmtId="0" fontId="14" fillId="2" borderId="8" xfId="0" applyFont="1" applyFill="1" applyBorder="1" applyAlignment="1">
      <alignment horizontal="center" vertical="center" textRotation="90"/>
    </xf>
    <xf numFmtId="0" fontId="14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167217</xdr:colOff>
          <xdr:row>4</xdr:row>
          <xdr:rowOff>102660</xdr:rowOff>
        </xdr:from>
        <xdr:to>
          <xdr:col>8</xdr:col>
          <xdr:colOff>52917</xdr:colOff>
          <xdr:row>6</xdr:row>
          <xdr:rowOff>55035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224366</xdr:colOff>
          <xdr:row>4</xdr:row>
          <xdr:rowOff>102658</xdr:rowOff>
        </xdr:from>
        <xdr:to>
          <xdr:col>4</xdr:col>
          <xdr:colOff>116415</xdr:colOff>
          <xdr:row>6</xdr:row>
          <xdr:rowOff>55033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116416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128057</xdr:colOff>
          <xdr:row>3</xdr:row>
          <xdr:rowOff>38100</xdr:rowOff>
        </xdr:from>
        <xdr:to>
          <xdr:col>9</xdr:col>
          <xdr:colOff>1788583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120648</xdr:colOff>
          <xdr:row>4</xdr:row>
          <xdr:rowOff>101600</xdr:rowOff>
        </xdr:from>
        <xdr:to>
          <xdr:col>9</xdr:col>
          <xdr:colOff>1787523</xdr:colOff>
          <xdr:row>6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172509</xdr:colOff>
          <xdr:row>3</xdr:row>
          <xdr:rowOff>27517</xdr:rowOff>
        </xdr:from>
        <xdr:to>
          <xdr:col>8</xdr:col>
          <xdr:colOff>52918</xdr:colOff>
          <xdr:row>4</xdr:row>
          <xdr:rowOff>74084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4</xdr:row>
          <xdr:rowOff>57150</xdr:rowOff>
        </xdr:from>
        <xdr:to>
          <xdr:col>3</xdr:col>
          <xdr:colOff>904875</xdr:colOff>
          <xdr:row>5</xdr:row>
          <xdr:rowOff>85725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171449</xdr:rowOff>
        </xdr:from>
        <xdr:to>
          <xdr:col>5</xdr:col>
          <xdr:colOff>0</xdr:colOff>
          <xdr:row>7</xdr:row>
          <xdr:rowOff>9524</xdr:rowOff>
        </xdr:to>
        <xdr:sp macro="" textlink="">
          <xdr:nvSpPr>
            <xdr:cNvPr id="11290" name="CardapioWeek1Prato1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ctrlProp" Target="../ctrlProps/ctrlProp24.xml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12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11" Type="http://schemas.openxmlformats.org/officeDocument/2006/relationships/ctrlProp" Target="../ctrlProps/ctrlProp22.xml"/><Relationship Id="rId5" Type="http://schemas.openxmlformats.org/officeDocument/2006/relationships/control" Target="../activeX/activeX19.xml"/><Relationship Id="rId10" Type="http://schemas.openxmlformats.org/officeDocument/2006/relationships/ctrlProp" Target="../ctrlProps/ctrlProp21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2.xml"/><Relationship Id="rId10" Type="http://schemas.openxmlformats.org/officeDocument/2006/relationships/comments" Target="../comments5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10" Type="http://schemas.openxmlformats.org/officeDocument/2006/relationships/comments" Target="../comments6.xml"/><Relationship Id="rId4" Type="http://schemas.openxmlformats.org/officeDocument/2006/relationships/control" Target="../activeX/activeX24.xml"/><Relationship Id="rId9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7.xml"/><Relationship Id="rId5" Type="http://schemas.openxmlformats.org/officeDocument/2006/relationships/image" Target="../media/image30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0.xml"/><Relationship Id="rId5" Type="http://schemas.openxmlformats.org/officeDocument/2006/relationships/image" Target="../media/image32.emf"/><Relationship Id="rId4" Type="http://schemas.openxmlformats.org/officeDocument/2006/relationships/control" Target="../activeX/activeX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G21" sqref="G21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5" t="s">
        <v>0</v>
      </c>
      <c r="D3" s="135"/>
      <c r="E3" s="135"/>
      <c r="F3" s="135"/>
      <c r="G3" s="135"/>
      <c r="H3" s="135"/>
      <c r="I3" s="135"/>
      <c r="J3" s="135"/>
      <c r="K3" s="1"/>
      <c r="L3" s="136" t="s">
        <v>1</v>
      </c>
      <c r="M3" s="136"/>
      <c r="N3" s="1"/>
      <c r="O3" s="135" t="s">
        <v>2</v>
      </c>
      <c r="P3" s="135"/>
      <c r="Q3" s="135"/>
      <c r="R3" s="135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4"/>
      <c r="J4" s="134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5" t="s">
        <v>3</v>
      </c>
      <c r="D2" s="135"/>
      <c r="E2" s="135"/>
      <c r="F2" s="135"/>
      <c r="G2" s="135"/>
      <c r="H2" s="1"/>
      <c r="I2" s="2"/>
      <c r="J2" s="2"/>
      <c r="K2" s="2"/>
    </row>
    <row r="3" spans="1:11" ht="27.75" customHeight="1" x14ac:dyDescent="0.25">
      <c r="A3" s="2"/>
      <c r="B3" s="137"/>
      <c r="C3" s="137"/>
      <c r="D3" s="137"/>
      <c r="E3" s="137"/>
      <c r="F3" s="137"/>
      <c r="G3" s="137"/>
      <c r="H3" s="137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740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5" t="s">
        <v>3</v>
      </c>
      <c r="D2" s="135"/>
      <c r="E2" s="135"/>
      <c r="F2" s="135"/>
      <c r="G2" s="135"/>
      <c r="H2" s="1"/>
      <c r="I2" s="2"/>
      <c r="J2" s="2"/>
      <c r="K2" s="2"/>
    </row>
    <row r="3" spans="1:11" ht="27.75" customHeight="1" x14ac:dyDescent="0.25">
      <c r="A3" s="2"/>
      <c r="B3" s="137"/>
      <c r="C3" s="137"/>
      <c r="D3" s="137"/>
      <c r="E3" s="137"/>
      <c r="F3" s="137"/>
      <c r="G3" s="137"/>
      <c r="H3" s="137"/>
      <c r="I3" s="2"/>
      <c r="J3" s="2"/>
      <c r="K3" s="2"/>
    </row>
    <row r="4" spans="1:11" ht="17.25" customHeight="1" x14ac:dyDescent="0.25">
      <c r="A4" s="2"/>
      <c r="B4" s="1"/>
      <c r="D4" s="4"/>
      <c r="E4" s="132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735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734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736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737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738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E8" sqref="E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5" t="s">
        <v>11</v>
      </c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"/>
    </row>
    <row r="3" spans="2:14" s="2" customFormat="1" ht="27" customHeight="1" x14ac:dyDescent="0.25"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8">
        <v>1</v>
      </c>
      <c r="D7" s="99" t="s">
        <v>17</v>
      </c>
      <c r="E7" s="100"/>
      <c r="F7" s="101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8">
        <v>2</v>
      </c>
      <c r="D8" s="102" t="s">
        <v>18</v>
      </c>
      <c r="E8" s="100"/>
      <c r="F8" s="98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8">
        <v>3</v>
      </c>
      <c r="D9" s="103" t="s">
        <v>19</v>
      </c>
      <c r="E9" s="100"/>
      <c r="F9" s="98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8">
        <v>4</v>
      </c>
      <c r="D10" s="104" t="s">
        <v>20</v>
      </c>
      <c r="E10" s="100"/>
      <c r="F10" s="98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8">
        <v>5</v>
      </c>
      <c r="D11" s="103" t="s">
        <v>21</v>
      </c>
      <c r="E11" s="100"/>
      <c r="F11" s="98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8">
        <v>6</v>
      </c>
      <c r="D12" s="104" t="s">
        <v>22</v>
      </c>
      <c r="E12" s="100"/>
      <c r="F12" s="98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8">
        <v>7</v>
      </c>
      <c r="D13" s="99" t="s">
        <v>23</v>
      </c>
      <c r="E13" s="100"/>
      <c r="F13" s="98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8">
        <v>8</v>
      </c>
      <c r="D14" s="102" t="s">
        <v>24</v>
      </c>
      <c r="E14" s="100"/>
      <c r="F14" s="98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8">
        <v>9</v>
      </c>
      <c r="D15" s="105" t="s">
        <v>25</v>
      </c>
      <c r="E15" s="100"/>
      <c r="F15" s="98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8">
        <v>10</v>
      </c>
      <c r="D16" s="104" t="s">
        <v>26</v>
      </c>
      <c r="E16" s="100"/>
      <c r="F16" s="98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8">
        <v>11</v>
      </c>
      <c r="D17" s="106" t="s">
        <v>27</v>
      </c>
      <c r="E17" s="100"/>
      <c r="F17" s="98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8">
        <v>12</v>
      </c>
      <c r="D18" s="102" t="s">
        <v>28</v>
      </c>
      <c r="E18" s="100"/>
      <c r="F18" s="98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8">
        <v>13</v>
      </c>
      <c r="D19" s="103" t="s">
        <v>29</v>
      </c>
      <c r="E19" s="100"/>
      <c r="F19" s="98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8">
        <v>14</v>
      </c>
      <c r="D20" s="102" t="s">
        <v>30</v>
      </c>
      <c r="E20" s="100"/>
      <c r="F20" s="98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8">
        <v>15</v>
      </c>
      <c r="D21" s="103" t="s">
        <v>31</v>
      </c>
      <c r="E21" s="100"/>
      <c r="F21" s="98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8">
        <v>16</v>
      </c>
      <c r="D22" s="102" t="s">
        <v>32</v>
      </c>
      <c r="E22" s="100"/>
      <c r="F22" s="98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8">
        <v>17</v>
      </c>
      <c r="D23" s="103" t="s">
        <v>33</v>
      </c>
      <c r="E23" s="100"/>
      <c r="F23" s="98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8">
        <v>18</v>
      </c>
      <c r="D24" s="102" t="s">
        <v>34</v>
      </c>
      <c r="E24" s="100"/>
      <c r="F24" s="98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8">
        <v>19</v>
      </c>
      <c r="D25" s="103" t="s">
        <v>35</v>
      </c>
      <c r="E25" s="100"/>
      <c r="F25" s="98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8">
        <v>20</v>
      </c>
      <c r="D26" s="102" t="s">
        <v>36</v>
      </c>
      <c r="E26" s="100"/>
      <c r="F26" s="98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8">
        <v>21</v>
      </c>
      <c r="D27" s="107" t="s">
        <v>37</v>
      </c>
      <c r="E27" s="100"/>
      <c r="F27" s="98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8">
        <v>22</v>
      </c>
      <c r="D28" s="104" t="s">
        <v>38</v>
      </c>
      <c r="E28" s="100"/>
      <c r="F28" s="98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8">
        <v>23</v>
      </c>
      <c r="D29" s="107" t="s">
        <v>39</v>
      </c>
      <c r="E29" s="100"/>
      <c r="F29" s="98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8">
        <v>24</v>
      </c>
      <c r="D30" s="108" t="s">
        <v>40</v>
      </c>
      <c r="E30" s="100"/>
      <c r="F30" s="98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8">
        <v>25</v>
      </c>
      <c r="D31" s="105" t="s">
        <v>41</v>
      </c>
      <c r="E31" s="100"/>
      <c r="F31" s="98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8">
        <v>26</v>
      </c>
      <c r="D32" s="108" t="s">
        <v>42</v>
      </c>
      <c r="E32" s="100"/>
      <c r="F32" s="98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8">
        <v>27</v>
      </c>
      <c r="D33" s="99" t="s">
        <v>43</v>
      </c>
      <c r="E33" s="100"/>
      <c r="F33" s="98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8">
        <v>28</v>
      </c>
      <c r="D34" s="102" t="s">
        <v>44</v>
      </c>
      <c r="E34" s="100"/>
      <c r="F34" s="98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8">
        <v>29</v>
      </c>
      <c r="D35" s="106" t="s">
        <v>45</v>
      </c>
      <c r="E35" s="100"/>
      <c r="F35" s="98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8">
        <v>30</v>
      </c>
      <c r="D36" s="102" t="s">
        <v>46</v>
      </c>
      <c r="E36" s="100"/>
      <c r="F36" s="98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8">
        <v>31</v>
      </c>
      <c r="D37" s="105" t="s">
        <v>47</v>
      </c>
      <c r="E37" s="100"/>
      <c r="F37" s="98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8">
        <v>32</v>
      </c>
      <c r="D38" s="102" t="s">
        <v>48</v>
      </c>
      <c r="E38" s="100"/>
      <c r="F38" s="98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8">
        <v>33</v>
      </c>
      <c r="D39" s="105" t="s">
        <v>49</v>
      </c>
      <c r="E39" s="100"/>
      <c r="F39" s="98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8">
        <v>34</v>
      </c>
      <c r="D40" s="108" t="s">
        <v>50</v>
      </c>
      <c r="E40" s="100"/>
      <c r="F40" s="98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8">
        <v>35</v>
      </c>
      <c r="D41" s="99" t="s">
        <v>51</v>
      </c>
      <c r="E41" s="100"/>
      <c r="F41" s="98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8">
        <v>36</v>
      </c>
      <c r="D42" s="109" t="s">
        <v>52</v>
      </c>
      <c r="E42" s="100"/>
      <c r="F42" s="98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8">
        <v>37</v>
      </c>
      <c r="D43" s="103" t="s">
        <v>53</v>
      </c>
      <c r="E43" s="100"/>
      <c r="F43" s="98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8">
        <v>38</v>
      </c>
      <c r="D44" s="102" t="s">
        <v>54</v>
      </c>
      <c r="E44" s="100"/>
      <c r="F44" s="98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8">
        <v>39</v>
      </c>
      <c r="D45" s="106" t="s">
        <v>55</v>
      </c>
      <c r="E45" s="100"/>
      <c r="F45" s="98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8">
        <v>40</v>
      </c>
      <c r="D46" s="108" t="s">
        <v>56</v>
      </c>
      <c r="E46" s="100"/>
      <c r="F46" s="98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8">
        <v>41</v>
      </c>
      <c r="D47" s="99" t="s">
        <v>57</v>
      </c>
      <c r="E47" s="100"/>
      <c r="F47" s="98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8">
        <v>42</v>
      </c>
      <c r="D48" s="104" t="s">
        <v>58</v>
      </c>
      <c r="E48" s="100"/>
      <c r="F48" s="98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8">
        <v>43</v>
      </c>
      <c r="D49" s="106" t="s">
        <v>59</v>
      </c>
      <c r="E49" s="100"/>
      <c r="F49" s="98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8">
        <v>44</v>
      </c>
      <c r="D50" s="102" t="s">
        <v>60</v>
      </c>
      <c r="E50" s="100"/>
      <c r="F50" s="98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8">
        <v>45</v>
      </c>
      <c r="D51" s="105" t="s">
        <v>61</v>
      </c>
      <c r="E51" s="100"/>
      <c r="F51" s="98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8">
        <v>46</v>
      </c>
      <c r="D52" s="102" t="s">
        <v>62</v>
      </c>
      <c r="E52" s="100"/>
      <c r="F52" s="98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8">
        <v>47</v>
      </c>
      <c r="D53" s="99" t="s">
        <v>63</v>
      </c>
      <c r="E53" s="100"/>
      <c r="F53" s="98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8">
        <v>48</v>
      </c>
      <c r="D54" s="102" t="s">
        <v>64</v>
      </c>
      <c r="E54" s="100"/>
      <c r="F54" s="98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8">
        <v>49</v>
      </c>
      <c r="D55" s="99" t="s">
        <v>65</v>
      </c>
      <c r="E55" s="100"/>
      <c r="F55" s="98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8">
        <v>50</v>
      </c>
      <c r="D56" s="109" t="s">
        <v>66</v>
      </c>
      <c r="E56" s="100"/>
      <c r="F56" s="98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8">
        <v>51</v>
      </c>
      <c r="D57" s="103" t="s">
        <v>67</v>
      </c>
      <c r="E57" s="100"/>
      <c r="F57" s="98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8">
        <v>52</v>
      </c>
      <c r="D58" s="102" t="s">
        <v>68</v>
      </c>
      <c r="E58" s="100"/>
      <c r="F58" s="98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8">
        <v>53</v>
      </c>
      <c r="D59" s="103" t="s">
        <v>69</v>
      </c>
      <c r="E59" s="100"/>
      <c r="F59" s="98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8">
        <v>54</v>
      </c>
      <c r="D60" s="102" t="s">
        <v>70</v>
      </c>
      <c r="E60" s="100"/>
      <c r="F60" s="98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8">
        <v>55</v>
      </c>
      <c r="D61" s="99" t="s">
        <v>71</v>
      </c>
      <c r="E61" s="100"/>
      <c r="F61" s="98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8">
        <v>56</v>
      </c>
      <c r="D62" s="102" t="s">
        <v>72</v>
      </c>
      <c r="E62" s="100"/>
      <c r="F62" s="98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8">
        <v>57</v>
      </c>
      <c r="D63" s="103" t="s">
        <v>73</v>
      </c>
      <c r="E63" s="100"/>
      <c r="F63" s="98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8">
        <v>58</v>
      </c>
      <c r="D64" s="108" t="s">
        <v>74</v>
      </c>
      <c r="E64" s="100"/>
      <c r="F64" s="98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8">
        <v>59</v>
      </c>
      <c r="D65" s="110" t="s">
        <v>75</v>
      </c>
      <c r="E65" s="100"/>
      <c r="F65" s="98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8">
        <v>60</v>
      </c>
      <c r="D66" s="109" t="s">
        <v>76</v>
      </c>
      <c r="E66" s="100"/>
      <c r="F66" s="98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8">
        <v>61</v>
      </c>
      <c r="D67" s="105" t="s">
        <v>77</v>
      </c>
      <c r="E67" s="100"/>
      <c r="F67" s="98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8">
        <v>62</v>
      </c>
      <c r="D68" s="104" t="s">
        <v>78</v>
      </c>
      <c r="E68" s="100"/>
      <c r="F68" s="98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8">
        <v>63</v>
      </c>
      <c r="D69" s="103" t="s">
        <v>79</v>
      </c>
      <c r="E69" s="100"/>
      <c r="F69" s="98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8">
        <v>64</v>
      </c>
      <c r="D70" s="108" t="s">
        <v>80</v>
      </c>
      <c r="E70" s="100"/>
      <c r="F70" s="98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8">
        <v>65</v>
      </c>
      <c r="D71" s="106" t="s">
        <v>81</v>
      </c>
      <c r="E71" s="100"/>
      <c r="F71" s="98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8">
        <v>66</v>
      </c>
      <c r="D72" s="109" t="s">
        <v>82</v>
      </c>
      <c r="E72" s="100"/>
      <c r="F72" s="98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8">
        <v>67</v>
      </c>
      <c r="D73" s="103" t="s">
        <v>83</v>
      </c>
      <c r="E73" s="100"/>
      <c r="F73" s="98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8">
        <v>68</v>
      </c>
      <c r="D74" s="102" t="s">
        <v>84</v>
      </c>
      <c r="E74" s="100"/>
      <c r="F74" s="98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8">
        <v>69</v>
      </c>
      <c r="D75" s="103" t="s">
        <v>85</v>
      </c>
      <c r="E75" s="100"/>
      <c r="F75" s="98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8">
        <v>70</v>
      </c>
      <c r="D76" s="111" t="s">
        <v>86</v>
      </c>
      <c r="E76" s="100"/>
      <c r="F76" s="98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8">
        <v>71</v>
      </c>
      <c r="D77" s="110" t="s">
        <v>87</v>
      </c>
      <c r="E77" s="100"/>
      <c r="F77" s="98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8">
        <v>72</v>
      </c>
      <c r="D78" s="102" t="s">
        <v>88</v>
      </c>
      <c r="E78" s="100"/>
      <c r="F78" s="98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8">
        <v>73</v>
      </c>
      <c r="D79" s="105" t="s">
        <v>89</v>
      </c>
      <c r="E79" s="100"/>
      <c r="F79" s="98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8">
        <v>74</v>
      </c>
      <c r="D80" s="102" t="s">
        <v>90</v>
      </c>
      <c r="E80" s="100"/>
      <c r="F80" s="98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8">
        <v>75</v>
      </c>
      <c r="D81" s="103" t="s">
        <v>91</v>
      </c>
      <c r="E81" s="100"/>
      <c r="F81" s="98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8">
        <v>76</v>
      </c>
      <c r="D82" s="108" t="s">
        <v>92</v>
      </c>
      <c r="E82" s="100"/>
      <c r="F82" s="98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8">
        <v>77</v>
      </c>
      <c r="D83" s="103" t="s">
        <v>93</v>
      </c>
      <c r="E83" s="100"/>
      <c r="F83" s="98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8">
        <v>78</v>
      </c>
      <c r="D84" s="102" t="s">
        <v>94</v>
      </c>
      <c r="E84" s="100"/>
      <c r="F84" s="98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8">
        <v>79</v>
      </c>
      <c r="D85" s="103" t="s">
        <v>95</v>
      </c>
      <c r="E85" s="100"/>
      <c r="F85" s="98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8">
        <v>80</v>
      </c>
      <c r="D86" s="102" t="s">
        <v>96</v>
      </c>
      <c r="E86" s="100"/>
      <c r="F86" s="98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8">
        <v>81</v>
      </c>
      <c r="D87" s="105" t="s">
        <v>97</v>
      </c>
      <c r="E87" s="100"/>
      <c r="F87" s="98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8">
        <v>82</v>
      </c>
      <c r="D88" s="102" t="s">
        <v>98</v>
      </c>
      <c r="E88" s="100"/>
      <c r="F88" s="98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8">
        <v>83</v>
      </c>
      <c r="D89" s="106" t="s">
        <v>99</v>
      </c>
      <c r="E89" s="100"/>
      <c r="F89" s="98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8">
        <v>84</v>
      </c>
      <c r="D90" s="102" t="s">
        <v>100</v>
      </c>
      <c r="E90" s="100"/>
      <c r="F90" s="98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8">
        <v>85</v>
      </c>
      <c r="D91" s="99" t="s">
        <v>101</v>
      </c>
      <c r="E91" s="100"/>
      <c r="F91" s="98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8">
        <v>86</v>
      </c>
      <c r="D92" s="102" t="s">
        <v>102</v>
      </c>
      <c r="E92" s="100"/>
      <c r="F92" s="98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8">
        <v>87</v>
      </c>
      <c r="D93" s="103" t="s">
        <v>103</v>
      </c>
      <c r="E93" s="100"/>
      <c r="F93" s="98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8">
        <v>88</v>
      </c>
      <c r="D94" s="109" t="s">
        <v>104</v>
      </c>
      <c r="E94" s="100"/>
      <c r="F94" s="98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8">
        <v>89</v>
      </c>
      <c r="D95" s="103" t="s">
        <v>105</v>
      </c>
      <c r="E95" s="100"/>
      <c r="F95" s="98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8">
        <v>90</v>
      </c>
      <c r="D96" s="104" t="s">
        <v>106</v>
      </c>
      <c r="E96" s="100"/>
      <c r="F96" s="98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8">
        <v>91</v>
      </c>
      <c r="D97" s="105" t="s">
        <v>107</v>
      </c>
      <c r="E97" s="100"/>
      <c r="F97" s="98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8">
        <v>92</v>
      </c>
      <c r="D98" s="104" t="s">
        <v>108</v>
      </c>
      <c r="E98" s="100"/>
      <c r="F98" s="98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8">
        <v>93</v>
      </c>
      <c r="D99" s="99" t="s">
        <v>109</v>
      </c>
      <c r="E99" s="100"/>
      <c r="F99" s="98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8">
        <v>94</v>
      </c>
      <c r="D100" s="102" t="s">
        <v>110</v>
      </c>
      <c r="E100" s="100"/>
      <c r="F100" s="98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8">
        <v>95</v>
      </c>
      <c r="D101" s="99" t="s">
        <v>111</v>
      </c>
      <c r="E101" s="100"/>
      <c r="F101" s="98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8">
        <v>96</v>
      </c>
      <c r="D102" s="104" t="s">
        <v>112</v>
      </c>
      <c r="E102" s="100"/>
      <c r="F102" s="98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8">
        <v>97</v>
      </c>
      <c r="D103" s="103" t="s">
        <v>113</v>
      </c>
      <c r="E103" s="100"/>
      <c r="F103" s="98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8">
        <v>98</v>
      </c>
      <c r="D104" s="112" t="s">
        <v>114</v>
      </c>
      <c r="E104" s="100"/>
      <c r="F104" s="98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8">
        <v>99</v>
      </c>
      <c r="D105" s="99" t="s">
        <v>115</v>
      </c>
      <c r="E105" s="100"/>
      <c r="F105" s="98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8">
        <v>100</v>
      </c>
      <c r="D106" s="112" t="s">
        <v>116</v>
      </c>
      <c r="E106" s="100"/>
      <c r="F106" s="98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8">
        <v>101</v>
      </c>
      <c r="D107" s="113" t="s">
        <v>117</v>
      </c>
      <c r="E107" s="100"/>
      <c r="F107" s="98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8">
        <v>102</v>
      </c>
      <c r="D108" s="114" t="s">
        <v>118</v>
      </c>
      <c r="E108" s="100"/>
      <c r="F108" s="98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8">
        <v>103</v>
      </c>
      <c r="D109" s="115" t="s">
        <v>119</v>
      </c>
      <c r="E109" s="100"/>
      <c r="F109" s="98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8">
        <v>104</v>
      </c>
      <c r="D110" s="102" t="s">
        <v>120</v>
      </c>
      <c r="E110" s="100"/>
      <c r="F110" s="98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8">
        <v>105</v>
      </c>
      <c r="D111" s="103" t="s">
        <v>121</v>
      </c>
      <c r="E111" s="100"/>
      <c r="F111" s="98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8">
        <v>106</v>
      </c>
      <c r="D112" s="112" t="s">
        <v>122</v>
      </c>
      <c r="E112" s="100"/>
      <c r="F112" s="98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8">
        <v>107</v>
      </c>
      <c r="D113" s="103" t="s">
        <v>123</v>
      </c>
      <c r="E113" s="100"/>
      <c r="F113" s="98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8">
        <v>108</v>
      </c>
      <c r="D114" s="102" t="s">
        <v>124</v>
      </c>
      <c r="E114" s="100"/>
      <c r="F114" s="98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8">
        <v>109</v>
      </c>
      <c r="D115" s="113" t="s">
        <v>125</v>
      </c>
      <c r="E115" s="100"/>
      <c r="F115" s="98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8">
        <v>110</v>
      </c>
      <c r="D116" s="114" t="s">
        <v>126</v>
      </c>
      <c r="E116" s="100"/>
      <c r="F116" s="98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8">
        <v>111</v>
      </c>
      <c r="D117" s="115" t="s">
        <v>127</v>
      </c>
      <c r="E117" s="100"/>
      <c r="F117" s="98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8">
        <v>112</v>
      </c>
      <c r="D118" s="116" t="s">
        <v>128</v>
      </c>
      <c r="E118" s="100"/>
      <c r="F118" s="98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8">
        <v>113</v>
      </c>
      <c r="D119" s="113" t="s">
        <v>129</v>
      </c>
      <c r="E119" s="100"/>
      <c r="F119" s="98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8">
        <v>114</v>
      </c>
      <c r="D120" s="112" t="s">
        <v>130</v>
      </c>
      <c r="E120" s="100"/>
      <c r="F120" s="98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8">
        <v>115</v>
      </c>
      <c r="D121" s="113" t="s">
        <v>131</v>
      </c>
      <c r="E121" s="100"/>
      <c r="F121" s="98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8">
        <v>116</v>
      </c>
      <c r="D122" s="114" t="s">
        <v>132</v>
      </c>
      <c r="E122" s="100"/>
      <c r="F122" s="98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8">
        <v>117</v>
      </c>
      <c r="D123" s="103" t="s">
        <v>133</v>
      </c>
      <c r="E123" s="100"/>
      <c r="F123" s="98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8">
        <v>118</v>
      </c>
      <c r="D124" s="117" t="s">
        <v>134</v>
      </c>
      <c r="E124" s="100"/>
      <c r="F124" s="98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8">
        <v>119</v>
      </c>
      <c r="D125" s="115" t="s">
        <v>135</v>
      </c>
      <c r="E125" s="100"/>
      <c r="F125" s="98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8">
        <v>120</v>
      </c>
      <c r="D126" s="112" t="s">
        <v>136</v>
      </c>
      <c r="E126" s="100"/>
      <c r="F126" s="98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8">
        <v>121</v>
      </c>
      <c r="D127" s="103" t="s">
        <v>137</v>
      </c>
      <c r="E127" s="100"/>
      <c r="F127" s="98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8">
        <v>122</v>
      </c>
      <c r="D128" s="114" t="s">
        <v>138</v>
      </c>
      <c r="E128" s="100"/>
      <c r="F128" s="98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8">
        <v>123</v>
      </c>
      <c r="D129" s="113" t="s">
        <v>139</v>
      </c>
      <c r="E129" s="100"/>
      <c r="F129" s="98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8">
        <v>124</v>
      </c>
      <c r="D130" s="112" t="s">
        <v>140</v>
      </c>
      <c r="E130" s="100"/>
      <c r="F130" s="98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8">
        <v>125</v>
      </c>
      <c r="D131" s="115" t="s">
        <v>141</v>
      </c>
      <c r="E131" s="100"/>
      <c r="F131" s="98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8">
        <v>126</v>
      </c>
      <c r="D132" s="114" t="s">
        <v>142</v>
      </c>
      <c r="E132" s="100"/>
      <c r="F132" s="98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8">
        <v>127</v>
      </c>
      <c r="D133" s="113" t="s">
        <v>143</v>
      </c>
      <c r="E133" s="100"/>
      <c r="F133" s="98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8">
        <v>128</v>
      </c>
      <c r="D134" s="112" t="s">
        <v>144</v>
      </c>
      <c r="E134" s="100"/>
      <c r="F134" s="98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8">
        <v>129</v>
      </c>
      <c r="D135" s="115" t="s">
        <v>145</v>
      </c>
      <c r="E135" s="100"/>
      <c r="F135" s="98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8">
        <v>130</v>
      </c>
      <c r="D136" s="114" t="s">
        <v>146</v>
      </c>
      <c r="E136" s="100"/>
      <c r="F136" s="98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8">
        <v>131</v>
      </c>
      <c r="D137" s="113" t="s">
        <v>147</v>
      </c>
      <c r="E137" s="100"/>
      <c r="F137" s="98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8">
        <v>132</v>
      </c>
      <c r="D138" s="116" t="s">
        <v>148</v>
      </c>
      <c r="E138" s="100"/>
      <c r="F138" s="98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8">
        <v>133</v>
      </c>
      <c r="D139" s="113" t="s">
        <v>149</v>
      </c>
      <c r="E139" s="100"/>
      <c r="F139" s="98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8">
        <v>134</v>
      </c>
      <c r="D140" s="114" t="s">
        <v>150</v>
      </c>
      <c r="E140" s="100"/>
      <c r="F140" s="98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8">
        <v>135</v>
      </c>
      <c r="D141" s="115" t="s">
        <v>151</v>
      </c>
      <c r="E141" s="100"/>
      <c r="F141" s="98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8">
        <v>136</v>
      </c>
      <c r="D142" s="114" t="s">
        <v>152</v>
      </c>
      <c r="E142" s="100"/>
      <c r="F142" s="98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8">
        <v>137</v>
      </c>
      <c r="D143" s="118" t="s">
        <v>153</v>
      </c>
      <c r="E143" s="100"/>
      <c r="F143" s="98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8">
        <v>138</v>
      </c>
      <c r="D144" s="112" t="s">
        <v>154</v>
      </c>
      <c r="E144" s="100"/>
      <c r="F144" s="98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8">
        <v>139</v>
      </c>
      <c r="D145" s="113" t="s">
        <v>155</v>
      </c>
      <c r="E145" s="100"/>
      <c r="F145" s="98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8">
        <v>140</v>
      </c>
      <c r="D146" s="116" t="s">
        <v>156</v>
      </c>
      <c r="E146" s="100"/>
      <c r="F146" s="98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8">
        <v>141</v>
      </c>
      <c r="D147" s="113" t="s">
        <v>157</v>
      </c>
      <c r="E147" s="100"/>
      <c r="F147" s="98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8">
        <v>142</v>
      </c>
      <c r="D148" s="116" t="s">
        <v>158</v>
      </c>
      <c r="E148" s="100"/>
      <c r="F148" s="98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8">
        <v>143</v>
      </c>
      <c r="D149" s="113" t="s">
        <v>159</v>
      </c>
      <c r="E149" s="100"/>
      <c r="F149" s="98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8">
        <v>144</v>
      </c>
      <c r="D150" s="108" t="s">
        <v>160</v>
      </c>
      <c r="E150" s="100"/>
      <c r="F150" s="98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8">
        <v>145</v>
      </c>
      <c r="D151" s="118" t="s">
        <v>161</v>
      </c>
      <c r="E151" s="100"/>
      <c r="F151" s="98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8">
        <v>146</v>
      </c>
      <c r="D152" s="102" t="s">
        <v>162</v>
      </c>
      <c r="E152" s="100"/>
      <c r="F152" s="98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8">
        <v>147</v>
      </c>
      <c r="D153" s="103" t="s">
        <v>163</v>
      </c>
      <c r="E153" s="100"/>
      <c r="F153" s="98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8">
        <v>148</v>
      </c>
      <c r="D154" s="112" t="s">
        <v>164</v>
      </c>
      <c r="E154" s="100"/>
      <c r="F154" s="98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8">
        <v>149</v>
      </c>
      <c r="D155" s="119" t="s">
        <v>165</v>
      </c>
      <c r="E155" s="100"/>
      <c r="F155" s="98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8">
        <v>150</v>
      </c>
      <c r="D156" s="102" t="s">
        <v>166</v>
      </c>
      <c r="E156" s="100"/>
      <c r="F156" s="98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8">
        <v>151</v>
      </c>
      <c r="D157" s="120" t="s">
        <v>167</v>
      </c>
      <c r="E157" s="100"/>
      <c r="F157" s="98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8">
        <v>152</v>
      </c>
      <c r="D158" s="112" t="s">
        <v>168</v>
      </c>
      <c r="E158" s="100"/>
      <c r="F158" s="98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8">
        <v>153</v>
      </c>
      <c r="D159" s="119" t="s">
        <v>169</v>
      </c>
      <c r="E159" s="100"/>
      <c r="F159" s="98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8">
        <v>154</v>
      </c>
      <c r="D160" s="114" t="s">
        <v>170</v>
      </c>
      <c r="E160" s="100"/>
      <c r="F160" s="98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8">
        <v>155</v>
      </c>
      <c r="D161" s="115" t="s">
        <v>171</v>
      </c>
      <c r="E161" s="100"/>
      <c r="F161" s="98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8">
        <v>156</v>
      </c>
      <c r="D162" s="112" t="s">
        <v>172</v>
      </c>
      <c r="E162" s="100"/>
      <c r="F162" s="98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8">
        <v>157</v>
      </c>
      <c r="D163" s="115" t="s">
        <v>173</v>
      </c>
      <c r="E163" s="100"/>
      <c r="F163" s="98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8">
        <v>158</v>
      </c>
      <c r="D164" s="112" t="s">
        <v>174</v>
      </c>
      <c r="E164" s="100"/>
      <c r="F164" s="98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8">
        <v>159</v>
      </c>
      <c r="D165" s="115" t="s">
        <v>175</v>
      </c>
      <c r="E165" s="100"/>
      <c r="F165" s="98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8">
        <v>160</v>
      </c>
      <c r="D166" s="116" t="s">
        <v>176</v>
      </c>
      <c r="E166" s="100"/>
      <c r="F166" s="98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8">
        <v>161</v>
      </c>
      <c r="D167" s="113" t="s">
        <v>177</v>
      </c>
      <c r="E167" s="100"/>
      <c r="F167" s="98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8">
        <v>162</v>
      </c>
      <c r="D168" s="117" t="s">
        <v>178</v>
      </c>
      <c r="E168" s="100"/>
      <c r="F168" s="98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8">
        <v>163</v>
      </c>
      <c r="D169" s="113" t="s">
        <v>179</v>
      </c>
      <c r="E169" s="100"/>
      <c r="F169" s="98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8">
        <v>164</v>
      </c>
      <c r="D170" s="108" t="s">
        <v>180</v>
      </c>
      <c r="E170" s="100"/>
      <c r="F170" s="98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8">
        <v>165</v>
      </c>
      <c r="D171" s="115" t="s">
        <v>181</v>
      </c>
      <c r="E171" s="100"/>
      <c r="F171" s="98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8">
        <v>166</v>
      </c>
      <c r="D172" s="112" t="s">
        <v>182</v>
      </c>
      <c r="E172" s="100"/>
      <c r="F172" s="98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8">
        <v>167</v>
      </c>
      <c r="D173" s="115" t="s">
        <v>183</v>
      </c>
      <c r="E173" s="100"/>
      <c r="F173" s="98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8">
        <v>168</v>
      </c>
      <c r="D174" s="112" t="s">
        <v>184</v>
      </c>
      <c r="E174" s="100"/>
      <c r="F174" s="98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8">
        <v>169</v>
      </c>
      <c r="D175" s="118" t="s">
        <v>185</v>
      </c>
      <c r="E175" s="100"/>
      <c r="F175" s="98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8">
        <v>170</v>
      </c>
      <c r="D176" s="117" t="s">
        <v>186</v>
      </c>
      <c r="E176" s="100"/>
      <c r="F176" s="98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8">
        <v>171</v>
      </c>
      <c r="D177" s="103" t="s">
        <v>187</v>
      </c>
      <c r="E177" s="100"/>
      <c r="F177" s="98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8">
        <v>172</v>
      </c>
      <c r="D178" s="102" t="s">
        <v>188</v>
      </c>
      <c r="E178" s="100"/>
      <c r="F178" s="98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8">
        <v>173</v>
      </c>
      <c r="D179" s="99" t="s">
        <v>189</v>
      </c>
      <c r="E179" s="100"/>
      <c r="F179" s="98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8">
        <v>174</v>
      </c>
      <c r="D180" s="117" t="s">
        <v>190</v>
      </c>
      <c r="E180" s="100"/>
      <c r="F180" s="98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8">
        <v>175</v>
      </c>
      <c r="D181" s="99" t="s">
        <v>191</v>
      </c>
      <c r="E181" s="100"/>
      <c r="F181" s="98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8">
        <v>176</v>
      </c>
      <c r="D182" s="112" t="s">
        <v>192</v>
      </c>
      <c r="E182" s="100"/>
      <c r="F182" s="98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8">
        <v>177</v>
      </c>
      <c r="D183" s="118" t="s">
        <v>193</v>
      </c>
      <c r="E183" s="100"/>
      <c r="F183" s="98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8">
        <v>178</v>
      </c>
      <c r="D184" s="102" t="s">
        <v>194</v>
      </c>
      <c r="E184" s="100"/>
      <c r="F184" s="98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8">
        <v>179</v>
      </c>
      <c r="D185" s="115" t="s">
        <v>195</v>
      </c>
      <c r="E185" s="100"/>
      <c r="F185" s="98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8">
        <v>180</v>
      </c>
      <c r="D186" s="116" t="s">
        <v>196</v>
      </c>
      <c r="E186" s="100"/>
      <c r="F186" s="98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8">
        <v>181</v>
      </c>
      <c r="D187" s="119" t="s">
        <v>197</v>
      </c>
      <c r="E187" s="100"/>
      <c r="F187" s="98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8">
        <v>182</v>
      </c>
      <c r="D188" s="114" t="s">
        <v>198</v>
      </c>
      <c r="E188" s="100"/>
      <c r="F188" s="98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8">
        <v>183</v>
      </c>
      <c r="D189" s="115" t="s">
        <v>199</v>
      </c>
      <c r="E189" s="100"/>
      <c r="F189" s="98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8">
        <v>184</v>
      </c>
      <c r="D190" s="112" t="s">
        <v>14</v>
      </c>
      <c r="E190" s="100"/>
      <c r="F190" s="98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8">
        <v>185</v>
      </c>
      <c r="D191" s="120" t="s">
        <v>200</v>
      </c>
      <c r="E191" s="100"/>
      <c r="F191" s="98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8">
        <v>186</v>
      </c>
      <c r="D192" s="112" t="s">
        <v>201</v>
      </c>
      <c r="E192" s="100"/>
      <c r="F192" s="98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8">
        <v>187</v>
      </c>
      <c r="D193" s="115" t="s">
        <v>202</v>
      </c>
      <c r="E193" s="100"/>
      <c r="F193" s="98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8">
        <v>188</v>
      </c>
      <c r="D194" s="112" t="s">
        <v>203</v>
      </c>
      <c r="E194" s="100"/>
      <c r="F194" s="98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8">
        <v>189</v>
      </c>
      <c r="D195" s="113" t="s">
        <v>204</v>
      </c>
      <c r="E195" s="100"/>
      <c r="F195" s="98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8">
        <v>190</v>
      </c>
      <c r="D196" s="116" t="s">
        <v>205</v>
      </c>
      <c r="E196" s="100"/>
      <c r="F196" s="98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8">
        <v>191</v>
      </c>
      <c r="D197" s="103" t="s">
        <v>206</v>
      </c>
      <c r="E197" s="100"/>
      <c r="F197" s="98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8">
        <v>192</v>
      </c>
      <c r="D198" s="117" t="s">
        <v>207</v>
      </c>
      <c r="E198" s="100"/>
      <c r="F198" s="98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8">
        <v>193</v>
      </c>
      <c r="D199" s="99" t="s">
        <v>208</v>
      </c>
      <c r="E199" s="100"/>
      <c r="F199" s="98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8">
        <v>194</v>
      </c>
      <c r="D200" s="114" t="s">
        <v>209</v>
      </c>
      <c r="E200" s="100"/>
      <c r="F200" s="98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8">
        <v>195</v>
      </c>
      <c r="D201" s="115" t="s">
        <v>210</v>
      </c>
      <c r="E201" s="100"/>
      <c r="F201" s="98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8">
        <v>196</v>
      </c>
      <c r="D202" s="117" t="s">
        <v>211</v>
      </c>
      <c r="E202" s="100"/>
      <c r="F202" s="98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8">
        <v>197</v>
      </c>
      <c r="D203" s="113" t="s">
        <v>212</v>
      </c>
      <c r="E203" s="100"/>
      <c r="F203" s="98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8">
        <v>198</v>
      </c>
      <c r="D204" s="116" t="s">
        <v>213</v>
      </c>
      <c r="E204" s="100"/>
      <c r="F204" s="98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8">
        <v>199</v>
      </c>
      <c r="D205" s="99" t="s">
        <v>214</v>
      </c>
      <c r="E205" s="100"/>
      <c r="F205" s="98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8">
        <v>200</v>
      </c>
      <c r="D206" s="104" t="s">
        <v>215</v>
      </c>
      <c r="E206" s="100"/>
      <c r="F206" s="98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8">
        <v>201</v>
      </c>
      <c r="D207" s="113" t="s">
        <v>216</v>
      </c>
      <c r="E207" s="100"/>
      <c r="F207" s="98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8">
        <v>202</v>
      </c>
      <c r="D208" s="102" t="s">
        <v>217</v>
      </c>
      <c r="E208" s="100"/>
      <c r="F208" s="98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8">
        <v>203</v>
      </c>
      <c r="D209" s="113" t="s">
        <v>218</v>
      </c>
      <c r="E209" s="100"/>
      <c r="F209" s="98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8">
        <v>204</v>
      </c>
      <c r="D210" s="102" t="s">
        <v>219</v>
      </c>
      <c r="E210" s="100"/>
      <c r="F210" s="98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8">
        <v>205</v>
      </c>
      <c r="D211" s="103" t="s">
        <v>220</v>
      </c>
      <c r="E211" s="100"/>
      <c r="F211" s="98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8">
        <v>206</v>
      </c>
      <c r="D212" s="112" t="s">
        <v>221</v>
      </c>
      <c r="E212" s="100"/>
      <c r="F212" s="98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8">
        <v>207</v>
      </c>
      <c r="D213" s="99" t="s">
        <v>222</v>
      </c>
      <c r="E213" s="100"/>
      <c r="F213" s="98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8">
        <v>208</v>
      </c>
      <c r="D214" s="114" t="s">
        <v>223</v>
      </c>
      <c r="E214" s="100"/>
      <c r="F214" s="98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8">
        <v>209</v>
      </c>
      <c r="D215" s="113" t="s">
        <v>224</v>
      </c>
      <c r="E215" s="100"/>
      <c r="F215" s="98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8">
        <v>210</v>
      </c>
      <c r="D216" s="117" t="s">
        <v>225</v>
      </c>
      <c r="E216" s="100"/>
      <c r="F216" s="98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8">
        <v>211</v>
      </c>
      <c r="D217" s="113" t="s">
        <v>226</v>
      </c>
      <c r="E217" s="100"/>
      <c r="F217" s="98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8">
        <v>212</v>
      </c>
      <c r="D218" s="116" t="s">
        <v>227</v>
      </c>
      <c r="E218" s="100"/>
      <c r="F218" s="98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8">
        <v>213</v>
      </c>
      <c r="D219" s="115" t="s">
        <v>228</v>
      </c>
      <c r="E219" s="100"/>
      <c r="F219" s="98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8">
        <v>214</v>
      </c>
      <c r="D220" s="102" t="s">
        <v>229</v>
      </c>
      <c r="E220" s="100"/>
      <c r="F220" s="98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8">
        <v>215</v>
      </c>
      <c r="D221" s="113" t="s">
        <v>230</v>
      </c>
      <c r="E221" s="100"/>
      <c r="F221" s="98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8">
        <v>216</v>
      </c>
      <c r="D222" s="102" t="s">
        <v>231</v>
      </c>
      <c r="E222" s="100"/>
      <c r="F222" s="98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8">
        <v>217</v>
      </c>
      <c r="D223" s="118" t="s">
        <v>232</v>
      </c>
      <c r="E223" s="100"/>
      <c r="F223" s="98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8">
        <v>218</v>
      </c>
      <c r="D224" s="116" t="s">
        <v>233</v>
      </c>
      <c r="E224" s="100"/>
      <c r="F224" s="98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8">
        <v>219</v>
      </c>
      <c r="D225" s="103" t="s">
        <v>234</v>
      </c>
      <c r="E225" s="100"/>
      <c r="F225" s="98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8">
        <v>220</v>
      </c>
      <c r="D226" s="109" t="s">
        <v>235</v>
      </c>
      <c r="E226" s="100"/>
      <c r="F226" s="98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8">
        <v>221</v>
      </c>
      <c r="D227" s="120" t="s">
        <v>236</v>
      </c>
      <c r="E227" s="100"/>
      <c r="F227" s="98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8">
        <v>222</v>
      </c>
      <c r="D228" s="114" t="s">
        <v>237</v>
      </c>
      <c r="E228" s="100"/>
      <c r="F228" s="98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8">
        <v>223</v>
      </c>
      <c r="D229" s="119" t="s">
        <v>238</v>
      </c>
      <c r="E229" s="100"/>
      <c r="F229" s="98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8">
        <v>224</v>
      </c>
      <c r="D230" s="112" t="s">
        <v>239</v>
      </c>
      <c r="E230" s="100"/>
      <c r="F230" s="98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8">
        <v>225</v>
      </c>
      <c r="D231" s="113" t="s">
        <v>240</v>
      </c>
      <c r="E231" s="100"/>
      <c r="F231" s="98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8">
        <v>226</v>
      </c>
      <c r="D232" s="112" t="s">
        <v>241</v>
      </c>
      <c r="E232" s="100"/>
      <c r="F232" s="98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8">
        <v>227</v>
      </c>
      <c r="D233" s="106" t="s">
        <v>242</v>
      </c>
      <c r="E233" s="100"/>
      <c r="F233" s="98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8">
        <v>228</v>
      </c>
      <c r="D234" s="112" t="s">
        <v>243</v>
      </c>
      <c r="E234" s="100"/>
      <c r="F234" s="98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8">
        <v>229</v>
      </c>
      <c r="D235" s="99" t="s">
        <v>244</v>
      </c>
      <c r="E235" s="100"/>
      <c r="F235" s="98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8">
        <v>230</v>
      </c>
      <c r="D236" s="114" t="s">
        <v>245</v>
      </c>
      <c r="E236" s="100"/>
      <c r="F236" s="98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8">
        <v>231</v>
      </c>
      <c r="D237" s="105" t="s">
        <v>246</v>
      </c>
      <c r="E237" s="100"/>
      <c r="F237" s="98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8">
        <v>232</v>
      </c>
      <c r="D238" s="112" t="s">
        <v>247</v>
      </c>
      <c r="E238" s="100"/>
      <c r="F238" s="98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8">
        <v>233</v>
      </c>
      <c r="D239" s="115" t="s">
        <v>248</v>
      </c>
      <c r="E239" s="100"/>
      <c r="F239" s="98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8">
        <v>234</v>
      </c>
      <c r="D240" s="112" t="s">
        <v>249</v>
      </c>
      <c r="E240" s="100"/>
      <c r="F240" s="98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8">
        <v>235</v>
      </c>
      <c r="D241" s="105" t="s">
        <v>250</v>
      </c>
      <c r="E241" s="100"/>
      <c r="F241" s="98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8">
        <v>236</v>
      </c>
      <c r="D242" s="112" t="s">
        <v>251</v>
      </c>
      <c r="E242" s="100"/>
      <c r="F242" s="98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8">
        <v>237</v>
      </c>
      <c r="D243" s="115" t="s">
        <v>252</v>
      </c>
      <c r="E243" s="100"/>
      <c r="F243" s="98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8">
        <v>238</v>
      </c>
      <c r="D244" s="112" t="s">
        <v>253</v>
      </c>
      <c r="E244" s="100"/>
      <c r="F244" s="98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8">
        <v>239</v>
      </c>
      <c r="D245" s="119" t="s">
        <v>254</v>
      </c>
      <c r="E245" s="100"/>
      <c r="F245" s="98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8">
        <v>240</v>
      </c>
      <c r="D246" s="102" t="s">
        <v>255</v>
      </c>
      <c r="E246" s="100"/>
      <c r="F246" s="98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8">
        <v>241</v>
      </c>
      <c r="D247" s="103" t="s">
        <v>256</v>
      </c>
      <c r="E247" s="100"/>
      <c r="F247" s="98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8">
        <v>242</v>
      </c>
      <c r="D248" s="117" t="s">
        <v>257</v>
      </c>
      <c r="E248" s="100"/>
      <c r="F248" s="98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8">
        <v>243</v>
      </c>
      <c r="D249" s="113" t="s">
        <v>258</v>
      </c>
      <c r="E249" s="100"/>
      <c r="F249" s="98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8">
        <v>244</v>
      </c>
      <c r="D250" s="117" t="s">
        <v>259</v>
      </c>
      <c r="E250" s="100"/>
      <c r="F250" s="98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8">
        <v>245</v>
      </c>
      <c r="D251" s="113" t="s">
        <v>260</v>
      </c>
      <c r="E251" s="100"/>
      <c r="F251" s="98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8">
        <v>246</v>
      </c>
      <c r="D252" s="114" t="s">
        <v>261</v>
      </c>
      <c r="E252" s="100"/>
      <c r="F252" s="98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8">
        <v>247</v>
      </c>
      <c r="D253" s="103" t="s">
        <v>262</v>
      </c>
      <c r="E253" s="100"/>
      <c r="F253" s="98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8">
        <v>248</v>
      </c>
      <c r="D254" s="102" t="s">
        <v>263</v>
      </c>
      <c r="E254" s="100"/>
      <c r="F254" s="98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8">
        <v>249</v>
      </c>
      <c r="D255" s="103" t="s">
        <v>264</v>
      </c>
      <c r="E255" s="100"/>
      <c r="F255" s="98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8">
        <v>250</v>
      </c>
      <c r="D256" s="117" t="s">
        <v>265</v>
      </c>
      <c r="E256" s="100"/>
      <c r="F256" s="98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8">
        <v>251</v>
      </c>
      <c r="D257" s="113" t="s">
        <v>266</v>
      </c>
      <c r="E257" s="100"/>
      <c r="F257" s="98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8">
        <v>252</v>
      </c>
      <c r="D258" s="117" t="s">
        <v>267</v>
      </c>
      <c r="E258" s="100"/>
      <c r="F258" s="98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8">
        <v>253</v>
      </c>
      <c r="D259" s="103" t="s">
        <v>268</v>
      </c>
      <c r="E259" s="100"/>
      <c r="F259" s="98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8">
        <v>254</v>
      </c>
      <c r="D260" s="104" t="s">
        <v>269</v>
      </c>
      <c r="E260" s="100"/>
      <c r="F260" s="98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8">
        <v>255</v>
      </c>
      <c r="D261" s="115" t="s">
        <v>270</v>
      </c>
      <c r="E261" s="100"/>
      <c r="F261" s="98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8">
        <v>256</v>
      </c>
      <c r="D262" s="112" t="s">
        <v>271</v>
      </c>
      <c r="E262" s="100"/>
      <c r="F262" s="98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8">
        <v>257</v>
      </c>
      <c r="D263" s="113" t="s">
        <v>272</v>
      </c>
      <c r="E263" s="100"/>
      <c r="F263" s="98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8">
        <v>258</v>
      </c>
      <c r="D264" s="112" t="s">
        <v>273</v>
      </c>
      <c r="E264" s="100"/>
      <c r="F264" s="98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8">
        <v>259</v>
      </c>
      <c r="D265" s="106" t="s">
        <v>274</v>
      </c>
      <c r="E265" s="100"/>
      <c r="F265" s="98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8">
        <v>260</v>
      </c>
      <c r="D266" s="108" t="s">
        <v>275</v>
      </c>
      <c r="E266" s="100"/>
      <c r="F266" s="98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8">
        <v>261</v>
      </c>
      <c r="D267" s="99" t="s">
        <v>276</v>
      </c>
      <c r="E267" s="100"/>
      <c r="F267" s="98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8">
        <v>262</v>
      </c>
      <c r="D268" s="112" t="s">
        <v>277</v>
      </c>
      <c r="E268" s="100"/>
      <c r="F268" s="98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8">
        <v>263</v>
      </c>
      <c r="D269" s="118" t="s">
        <v>278</v>
      </c>
      <c r="E269" s="100"/>
      <c r="F269" s="98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8">
        <v>264</v>
      </c>
      <c r="D270" s="117" t="s">
        <v>279</v>
      </c>
      <c r="E270" s="100"/>
      <c r="F270" s="98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8">
        <v>265</v>
      </c>
      <c r="D271" s="118" t="s">
        <v>280</v>
      </c>
      <c r="E271" s="100"/>
      <c r="F271" s="98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8">
        <v>266</v>
      </c>
      <c r="D272" s="117" t="s">
        <v>281</v>
      </c>
      <c r="E272" s="100"/>
      <c r="F272" s="98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8">
        <v>267</v>
      </c>
      <c r="D273" s="113" t="s">
        <v>282</v>
      </c>
      <c r="E273" s="100"/>
      <c r="F273" s="98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8">
        <v>268</v>
      </c>
      <c r="D274" s="112" t="s">
        <v>283</v>
      </c>
      <c r="E274" s="100"/>
      <c r="F274" s="98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8">
        <v>269</v>
      </c>
      <c r="D275" s="113" t="s">
        <v>284</v>
      </c>
      <c r="E275" s="100"/>
      <c r="F275" s="98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8">
        <v>270</v>
      </c>
      <c r="D276" s="114" t="s">
        <v>285</v>
      </c>
      <c r="E276" s="100"/>
      <c r="F276" s="98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8">
        <v>271</v>
      </c>
      <c r="D277" s="113" t="s">
        <v>286</v>
      </c>
      <c r="E277" s="100"/>
      <c r="F277" s="98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8">
        <v>272</v>
      </c>
      <c r="D278" s="112" t="s">
        <v>287</v>
      </c>
      <c r="E278" s="100"/>
      <c r="F278" s="98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8">
        <v>273</v>
      </c>
      <c r="D279" s="119" t="s">
        <v>288</v>
      </c>
      <c r="E279" s="100"/>
      <c r="F279" s="98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8">
        <v>274</v>
      </c>
      <c r="D280" s="102" t="s">
        <v>289</v>
      </c>
      <c r="E280" s="100"/>
      <c r="F280" s="98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8">
        <v>275</v>
      </c>
      <c r="D281" s="103" t="s">
        <v>290</v>
      </c>
      <c r="E281" s="100"/>
      <c r="F281" s="98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8">
        <v>276</v>
      </c>
      <c r="D282" s="102" t="s">
        <v>291</v>
      </c>
      <c r="E282" s="100"/>
      <c r="F282" s="98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8">
        <v>277</v>
      </c>
      <c r="D283" s="113" t="s">
        <v>292</v>
      </c>
      <c r="E283" s="100"/>
      <c r="F283" s="98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8">
        <v>278</v>
      </c>
      <c r="D284" s="102" t="s">
        <v>293</v>
      </c>
      <c r="E284" s="100"/>
      <c r="F284" s="98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8">
        <v>279</v>
      </c>
      <c r="D285" s="118" t="s">
        <v>294</v>
      </c>
      <c r="E285" s="100"/>
      <c r="F285" s="98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8">
        <v>280</v>
      </c>
      <c r="D286" s="111" t="s">
        <v>295</v>
      </c>
      <c r="E286" s="100"/>
      <c r="F286" s="98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8">
        <v>281</v>
      </c>
      <c r="D287" s="99" t="s">
        <v>296</v>
      </c>
      <c r="E287" s="100"/>
      <c r="F287" s="98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8">
        <v>282</v>
      </c>
      <c r="D288" s="102" t="s">
        <v>297</v>
      </c>
      <c r="E288" s="100"/>
      <c r="F288" s="98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8">
        <v>283</v>
      </c>
      <c r="D289" s="103" t="s">
        <v>298</v>
      </c>
      <c r="E289" s="100"/>
      <c r="F289" s="98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8">
        <v>284</v>
      </c>
      <c r="D290" s="114" t="s">
        <v>299</v>
      </c>
      <c r="E290" s="100"/>
      <c r="F290" s="98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8">
        <v>285</v>
      </c>
      <c r="D291" s="113" t="s">
        <v>300</v>
      </c>
      <c r="E291" s="100"/>
      <c r="F291" s="98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8">
        <v>286</v>
      </c>
      <c r="D292" s="104" t="s">
        <v>301</v>
      </c>
      <c r="E292" s="100"/>
      <c r="F292" s="98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8">
        <v>287</v>
      </c>
      <c r="D293" s="103" t="s">
        <v>302</v>
      </c>
      <c r="E293" s="100"/>
      <c r="F293" s="98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8">
        <v>288</v>
      </c>
      <c r="D294" s="102" t="s">
        <v>303</v>
      </c>
      <c r="E294" s="100"/>
      <c r="F294" s="98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8">
        <v>289</v>
      </c>
      <c r="D295" s="113" t="s">
        <v>304</v>
      </c>
      <c r="E295" s="100"/>
      <c r="F295" s="98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8">
        <v>290</v>
      </c>
      <c r="D296" s="102" t="s">
        <v>305</v>
      </c>
      <c r="E296" s="100"/>
      <c r="F296" s="98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8">
        <v>291</v>
      </c>
      <c r="D297" s="105" t="s">
        <v>306</v>
      </c>
      <c r="E297" s="100"/>
      <c r="F297" s="98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8">
        <v>292</v>
      </c>
      <c r="D298" s="102" t="s">
        <v>307</v>
      </c>
      <c r="E298" s="100"/>
      <c r="F298" s="98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8">
        <v>293</v>
      </c>
      <c r="D299" s="113" t="s">
        <v>308</v>
      </c>
      <c r="E299" s="100"/>
      <c r="F299" s="98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8">
        <v>294</v>
      </c>
      <c r="D300" s="112" t="s">
        <v>309</v>
      </c>
      <c r="E300" s="100"/>
      <c r="F300" s="98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8">
        <v>295</v>
      </c>
      <c r="D301" s="119" t="s">
        <v>310</v>
      </c>
      <c r="E301" s="100"/>
      <c r="F301" s="98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8">
        <v>296</v>
      </c>
      <c r="D302" s="112" t="s">
        <v>311</v>
      </c>
      <c r="E302" s="100"/>
      <c r="F302" s="98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8">
        <v>297</v>
      </c>
      <c r="D303" s="115" t="s">
        <v>312</v>
      </c>
      <c r="E303" s="100"/>
      <c r="F303" s="98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8">
        <v>298</v>
      </c>
      <c r="D304" s="112" t="s">
        <v>313</v>
      </c>
      <c r="E304" s="100"/>
      <c r="F304" s="98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8">
        <v>299</v>
      </c>
      <c r="D305" s="115" t="s">
        <v>314</v>
      </c>
      <c r="E305" s="100"/>
      <c r="F305" s="98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8">
        <v>300</v>
      </c>
      <c r="D306" s="112" t="s">
        <v>315</v>
      </c>
      <c r="E306" s="100"/>
      <c r="F306" s="98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8">
        <v>301</v>
      </c>
      <c r="D307" s="103" t="s">
        <v>316</v>
      </c>
      <c r="E307" s="100"/>
      <c r="F307" s="98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8">
        <v>302</v>
      </c>
      <c r="D308" s="112" t="s">
        <v>317</v>
      </c>
      <c r="E308" s="100"/>
      <c r="F308" s="98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8">
        <v>303</v>
      </c>
      <c r="D309" s="120" t="s">
        <v>318</v>
      </c>
      <c r="E309" s="100"/>
      <c r="F309" s="98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8">
        <v>304</v>
      </c>
      <c r="D310" s="102" t="s">
        <v>319</v>
      </c>
      <c r="E310" s="100"/>
      <c r="F310" s="98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8">
        <v>305</v>
      </c>
      <c r="D311" s="103" t="s">
        <v>320</v>
      </c>
      <c r="E311" s="100"/>
      <c r="F311" s="98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8">
        <v>306</v>
      </c>
      <c r="D312" s="104" t="s">
        <v>321</v>
      </c>
      <c r="E312" s="100"/>
      <c r="F312" s="98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8">
        <v>307</v>
      </c>
      <c r="D313" s="99" t="s">
        <v>322</v>
      </c>
      <c r="E313" s="100"/>
      <c r="F313" s="98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8">
        <v>308</v>
      </c>
      <c r="D314" s="102" t="s">
        <v>323</v>
      </c>
      <c r="E314" s="100"/>
      <c r="F314" s="98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8">
        <v>309</v>
      </c>
      <c r="D315" s="103" t="s">
        <v>324</v>
      </c>
      <c r="E315" s="100"/>
      <c r="F315" s="98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8">
        <v>310</v>
      </c>
      <c r="D316" s="102" t="s">
        <v>325</v>
      </c>
      <c r="E316" s="100"/>
      <c r="F316" s="98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8">
        <v>311</v>
      </c>
      <c r="D317" s="103" t="s">
        <v>326</v>
      </c>
      <c r="E317" s="100"/>
      <c r="F317" s="98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8">
        <v>312</v>
      </c>
      <c r="D318" s="117" t="s">
        <v>327</v>
      </c>
      <c r="E318" s="100"/>
      <c r="F318" s="98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8">
        <v>313</v>
      </c>
      <c r="D319" s="118" t="s">
        <v>328</v>
      </c>
      <c r="E319" s="100"/>
      <c r="F319" s="98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8">
        <v>314</v>
      </c>
      <c r="D320" s="117" t="s">
        <v>329</v>
      </c>
      <c r="E320" s="100"/>
      <c r="F320" s="98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8">
        <v>315</v>
      </c>
      <c r="D321" s="118" t="s">
        <v>330</v>
      </c>
      <c r="E321" s="100"/>
      <c r="F321" s="98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8">
        <v>316</v>
      </c>
      <c r="D322" s="102" t="s">
        <v>331</v>
      </c>
      <c r="E322" s="100"/>
      <c r="F322" s="98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8">
        <v>317</v>
      </c>
      <c r="D323" s="103" t="s">
        <v>332</v>
      </c>
      <c r="E323" s="100"/>
      <c r="F323" s="98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8">
        <v>318</v>
      </c>
      <c r="D324" s="109" t="s">
        <v>333</v>
      </c>
      <c r="E324" s="100"/>
      <c r="F324" s="98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8">
        <v>319</v>
      </c>
      <c r="D325" s="99" t="s">
        <v>334</v>
      </c>
      <c r="E325" s="100"/>
      <c r="F325" s="98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8">
        <v>320</v>
      </c>
      <c r="D326" s="116" t="s">
        <v>335</v>
      </c>
      <c r="E326" s="100"/>
      <c r="F326" s="98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8">
        <v>321</v>
      </c>
      <c r="D327" s="105" t="s">
        <v>336</v>
      </c>
      <c r="E327" s="100"/>
      <c r="F327" s="98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8">
        <v>322</v>
      </c>
      <c r="D328" s="116" t="s">
        <v>337</v>
      </c>
      <c r="E328" s="100"/>
      <c r="F328" s="98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8">
        <v>323</v>
      </c>
      <c r="D329" s="105" t="s">
        <v>338</v>
      </c>
      <c r="E329" s="100"/>
      <c r="F329" s="98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8">
        <v>324</v>
      </c>
      <c r="D330" s="117" t="s">
        <v>339</v>
      </c>
      <c r="E330" s="100"/>
      <c r="F330" s="98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8">
        <v>325</v>
      </c>
      <c r="D331" s="115" t="s">
        <v>340</v>
      </c>
      <c r="E331" s="100"/>
      <c r="F331" s="98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8">
        <v>326</v>
      </c>
      <c r="D332" s="109" t="s">
        <v>341</v>
      </c>
      <c r="E332" s="100"/>
      <c r="F332" s="98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8">
        <v>327</v>
      </c>
      <c r="D333" s="115" t="s">
        <v>342</v>
      </c>
      <c r="E333" s="100"/>
      <c r="F333" s="98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8">
        <v>328</v>
      </c>
      <c r="D334" s="117" t="s">
        <v>343</v>
      </c>
      <c r="E334" s="100"/>
      <c r="F334" s="98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8">
        <v>329</v>
      </c>
      <c r="D335" s="119" t="s">
        <v>344</v>
      </c>
      <c r="E335" s="100"/>
      <c r="F335" s="98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8">
        <v>330</v>
      </c>
      <c r="D336" s="112" t="s">
        <v>345</v>
      </c>
      <c r="E336" s="100"/>
      <c r="F336" s="98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8">
        <v>331</v>
      </c>
      <c r="D337" s="103" t="s">
        <v>346</v>
      </c>
      <c r="E337" s="100"/>
      <c r="F337" s="98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8">
        <v>332</v>
      </c>
      <c r="D338" s="108" t="s">
        <v>347</v>
      </c>
      <c r="E338" s="100"/>
      <c r="F338" s="98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8">
        <v>333</v>
      </c>
      <c r="D339" s="118" t="s">
        <v>348</v>
      </c>
      <c r="E339" s="100"/>
      <c r="F339" s="98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8">
        <v>334</v>
      </c>
      <c r="D340" s="117" t="s">
        <v>349</v>
      </c>
      <c r="E340" s="100"/>
      <c r="F340" s="98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8">
        <v>335</v>
      </c>
      <c r="D341" s="106" t="s">
        <v>350</v>
      </c>
      <c r="E341" s="100"/>
      <c r="F341" s="98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8">
        <v>336</v>
      </c>
      <c r="D342" s="104" t="s">
        <v>351</v>
      </c>
      <c r="E342" s="100"/>
      <c r="F342" s="98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8">
        <v>337</v>
      </c>
      <c r="D343" s="115" t="s">
        <v>352</v>
      </c>
      <c r="E343" s="100"/>
      <c r="F343" s="98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8">
        <v>338</v>
      </c>
      <c r="D344" s="102" t="s">
        <v>353</v>
      </c>
      <c r="E344" s="100"/>
      <c r="F344" s="98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8">
        <v>339</v>
      </c>
      <c r="D345" s="121" t="s">
        <v>354</v>
      </c>
      <c r="E345" s="100"/>
      <c r="F345" s="98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8">
        <v>340</v>
      </c>
      <c r="D346" s="108" t="s">
        <v>355</v>
      </c>
      <c r="E346" s="100"/>
      <c r="F346" s="98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8">
        <v>341</v>
      </c>
      <c r="D347" s="103" t="s">
        <v>356</v>
      </c>
      <c r="E347" s="100"/>
      <c r="F347" s="98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8">
        <v>342</v>
      </c>
      <c r="D348" s="114" t="s">
        <v>357</v>
      </c>
      <c r="E348" s="100"/>
      <c r="F348" s="98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8">
        <v>343</v>
      </c>
      <c r="D349" s="113" t="s">
        <v>358</v>
      </c>
      <c r="E349" s="100"/>
      <c r="F349" s="98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8">
        <v>344</v>
      </c>
      <c r="D350" s="112" t="s">
        <v>359</v>
      </c>
      <c r="E350" s="100"/>
      <c r="F350" s="98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8">
        <v>345</v>
      </c>
      <c r="D351" s="113" t="s">
        <v>360</v>
      </c>
      <c r="E351" s="100"/>
      <c r="F351" s="98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8">
        <v>346</v>
      </c>
      <c r="D352" s="112" t="s">
        <v>361</v>
      </c>
      <c r="E352" s="100"/>
      <c r="F352" s="98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8">
        <v>347</v>
      </c>
      <c r="D353" s="103" t="s">
        <v>362</v>
      </c>
      <c r="E353" s="100"/>
      <c r="F353" s="98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8">
        <v>348</v>
      </c>
      <c r="D354" s="116" t="s">
        <v>363</v>
      </c>
      <c r="E354" s="100"/>
      <c r="F354" s="98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8">
        <v>349</v>
      </c>
      <c r="D355" s="113" t="s">
        <v>364</v>
      </c>
      <c r="E355" s="100"/>
      <c r="F355" s="98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8">
        <v>350</v>
      </c>
      <c r="D356" s="112" t="s">
        <v>365</v>
      </c>
      <c r="E356" s="100"/>
      <c r="F356" s="98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8">
        <v>351</v>
      </c>
      <c r="D357" s="118" t="s">
        <v>366</v>
      </c>
      <c r="E357" s="100"/>
      <c r="F357" s="98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8">
        <v>352</v>
      </c>
      <c r="D358" s="102" t="s">
        <v>367</v>
      </c>
      <c r="E358" s="100"/>
      <c r="F358" s="98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8">
        <v>353</v>
      </c>
      <c r="D359" s="103" t="s">
        <v>368</v>
      </c>
      <c r="E359" s="100"/>
      <c r="F359" s="98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8">
        <v>354</v>
      </c>
      <c r="D360" s="116" t="s">
        <v>369</v>
      </c>
      <c r="E360" s="100"/>
      <c r="F360" s="98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8">
        <v>355</v>
      </c>
      <c r="D361" s="113" t="s">
        <v>370</v>
      </c>
      <c r="E361" s="100"/>
      <c r="F361" s="98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8">
        <v>356</v>
      </c>
      <c r="D362" s="117" t="s">
        <v>371</v>
      </c>
      <c r="E362" s="100"/>
      <c r="F362" s="98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8">
        <v>357</v>
      </c>
      <c r="D363" s="113" t="s">
        <v>372</v>
      </c>
      <c r="E363" s="100"/>
      <c r="F363" s="98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8">
        <v>358</v>
      </c>
      <c r="D364" s="114" t="s">
        <v>373</v>
      </c>
      <c r="E364" s="100"/>
      <c r="F364" s="98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8">
        <v>359</v>
      </c>
      <c r="D365" s="103" t="s">
        <v>374</v>
      </c>
      <c r="E365" s="100"/>
      <c r="F365" s="98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8">
        <v>360</v>
      </c>
      <c r="D366" s="102" t="s">
        <v>375</v>
      </c>
      <c r="E366" s="100"/>
      <c r="F366" s="98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8">
        <v>361</v>
      </c>
      <c r="D367" s="115" t="s">
        <v>376</v>
      </c>
      <c r="E367" s="100"/>
      <c r="F367" s="98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8">
        <v>362</v>
      </c>
      <c r="D368" s="104" t="s">
        <v>377</v>
      </c>
      <c r="E368" s="100"/>
      <c r="F368" s="98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8">
        <v>363</v>
      </c>
      <c r="D369" s="99" t="s">
        <v>378</v>
      </c>
      <c r="E369" s="100"/>
      <c r="F369" s="98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8">
        <v>364</v>
      </c>
      <c r="D370" s="112" t="s">
        <v>379</v>
      </c>
      <c r="E370" s="100"/>
      <c r="F370" s="98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8">
        <v>365</v>
      </c>
      <c r="D371" s="115" t="s">
        <v>380</v>
      </c>
      <c r="E371" s="100"/>
      <c r="F371" s="98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8">
        <v>366</v>
      </c>
      <c r="D372" s="104" t="s">
        <v>381</v>
      </c>
      <c r="E372" s="100"/>
      <c r="F372" s="98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8">
        <v>367</v>
      </c>
      <c r="D373" s="113" t="s">
        <v>382</v>
      </c>
      <c r="E373" s="100"/>
      <c r="F373" s="98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8">
        <v>368</v>
      </c>
      <c r="D374" s="114" t="s">
        <v>383</v>
      </c>
      <c r="E374" s="100"/>
      <c r="F374" s="98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8">
        <v>369</v>
      </c>
      <c r="D375" s="115" t="s">
        <v>384</v>
      </c>
      <c r="E375" s="100"/>
      <c r="F375" s="98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8">
        <v>370</v>
      </c>
      <c r="D376" s="108" t="s">
        <v>385</v>
      </c>
      <c r="E376" s="100"/>
      <c r="F376" s="98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8">
        <v>371</v>
      </c>
      <c r="D377" s="99" t="s">
        <v>386</v>
      </c>
      <c r="E377" s="100"/>
      <c r="F377" s="98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8">
        <v>372</v>
      </c>
      <c r="D378" s="122" t="s">
        <v>387</v>
      </c>
      <c r="E378" s="100"/>
      <c r="F378" s="98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8">
        <v>373</v>
      </c>
      <c r="D379" s="119" t="s">
        <v>388</v>
      </c>
      <c r="E379" s="100"/>
      <c r="F379" s="98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8">
        <v>374</v>
      </c>
      <c r="D380" s="104" t="s">
        <v>389</v>
      </c>
      <c r="E380" s="100"/>
      <c r="F380" s="98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8">
        <v>375</v>
      </c>
      <c r="D381" s="120" t="s">
        <v>390</v>
      </c>
      <c r="E381" s="100"/>
      <c r="F381" s="98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8">
        <v>376</v>
      </c>
      <c r="D382" s="116" t="s">
        <v>391</v>
      </c>
      <c r="E382" s="100"/>
      <c r="F382" s="98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8">
        <v>377</v>
      </c>
      <c r="D383" s="106" t="s">
        <v>392</v>
      </c>
      <c r="E383" s="100"/>
      <c r="F383" s="98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8">
        <v>378</v>
      </c>
      <c r="D384" s="102" t="s">
        <v>393</v>
      </c>
      <c r="E384" s="100"/>
      <c r="F384" s="98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8">
        <v>379</v>
      </c>
      <c r="D385" s="115" t="s">
        <v>394</v>
      </c>
      <c r="E385" s="100"/>
      <c r="F385" s="98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8">
        <v>380</v>
      </c>
      <c r="D386" s="112" t="s">
        <v>395</v>
      </c>
      <c r="E386" s="100"/>
      <c r="F386" s="98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8">
        <v>381</v>
      </c>
      <c r="D387" s="113" t="s">
        <v>396</v>
      </c>
      <c r="E387" s="100"/>
      <c r="F387" s="98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8">
        <v>382</v>
      </c>
      <c r="D388" s="102" t="s">
        <v>397</v>
      </c>
      <c r="E388" s="100"/>
      <c r="F388" s="98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8">
        <v>383</v>
      </c>
      <c r="D389" s="115" t="s">
        <v>398</v>
      </c>
      <c r="E389" s="100"/>
      <c r="F389" s="98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8">
        <v>384</v>
      </c>
      <c r="D390" s="102" t="s">
        <v>399</v>
      </c>
      <c r="E390" s="100"/>
      <c r="F390" s="98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8">
        <v>385</v>
      </c>
      <c r="D391" s="119" t="s">
        <v>400</v>
      </c>
      <c r="E391" s="100"/>
      <c r="F391" s="98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8">
        <v>386</v>
      </c>
      <c r="D392" s="117" t="s">
        <v>401</v>
      </c>
      <c r="E392" s="100"/>
      <c r="F392" s="98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8">
        <v>387</v>
      </c>
      <c r="D393" s="103" t="s">
        <v>402</v>
      </c>
      <c r="E393" s="100"/>
      <c r="F393" s="98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8">
        <v>388</v>
      </c>
      <c r="D394" s="102" t="s">
        <v>403</v>
      </c>
      <c r="E394" s="100"/>
      <c r="F394" s="98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8">
        <v>389</v>
      </c>
      <c r="D395" s="103" t="s">
        <v>404</v>
      </c>
      <c r="E395" s="100"/>
      <c r="F395" s="98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8">
        <v>390</v>
      </c>
      <c r="D396" s="102" t="s">
        <v>405</v>
      </c>
      <c r="E396" s="100"/>
      <c r="F396" s="98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8">
        <v>391</v>
      </c>
      <c r="D397" s="103" t="s">
        <v>406</v>
      </c>
      <c r="E397" s="100"/>
      <c r="F397" s="98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8">
        <v>392</v>
      </c>
      <c r="D398" s="114" t="s">
        <v>407</v>
      </c>
      <c r="E398" s="100"/>
      <c r="F398" s="98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8">
        <v>393</v>
      </c>
      <c r="D399" s="119" t="s">
        <v>408</v>
      </c>
      <c r="E399" s="100"/>
      <c r="F399" s="98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8">
        <v>394</v>
      </c>
      <c r="D400" s="112" t="s">
        <v>409</v>
      </c>
      <c r="E400" s="100"/>
      <c r="F400" s="98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8">
        <v>395</v>
      </c>
      <c r="D401" s="113" t="s">
        <v>410</v>
      </c>
      <c r="E401" s="100"/>
      <c r="F401" s="98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8">
        <v>396</v>
      </c>
      <c r="D402" s="114" t="s">
        <v>411</v>
      </c>
      <c r="E402" s="100"/>
      <c r="F402" s="98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8">
        <v>397</v>
      </c>
      <c r="D403" s="113" t="s">
        <v>412</v>
      </c>
      <c r="E403" s="100"/>
      <c r="F403" s="98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8">
        <v>398</v>
      </c>
      <c r="D404" s="112" t="s">
        <v>413</v>
      </c>
      <c r="E404" s="100"/>
      <c r="F404" s="98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8">
        <v>399</v>
      </c>
      <c r="D405" s="118" t="s">
        <v>414</v>
      </c>
      <c r="E405" s="100"/>
      <c r="F405" s="98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8">
        <v>400</v>
      </c>
      <c r="D406" s="114" t="s">
        <v>415</v>
      </c>
      <c r="E406" s="100"/>
      <c r="F406" s="98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8">
        <v>401</v>
      </c>
      <c r="D407" s="115" t="s">
        <v>416</v>
      </c>
      <c r="E407" s="100"/>
      <c r="F407" s="98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8">
        <v>402</v>
      </c>
      <c r="D408" s="104" t="s">
        <v>417</v>
      </c>
      <c r="E408" s="100"/>
      <c r="F408" s="98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8">
        <v>403</v>
      </c>
      <c r="D409" s="103" t="s">
        <v>418</v>
      </c>
      <c r="E409" s="100"/>
      <c r="F409" s="98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8">
        <v>404</v>
      </c>
      <c r="D410" s="114" t="s">
        <v>419</v>
      </c>
      <c r="E410" s="100"/>
      <c r="F410" s="98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8">
        <v>405</v>
      </c>
      <c r="D411" s="103" t="s">
        <v>420</v>
      </c>
      <c r="E411" s="100"/>
      <c r="F411" s="98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8">
        <v>406</v>
      </c>
      <c r="D412" s="102" t="s">
        <v>421</v>
      </c>
      <c r="E412" s="100"/>
      <c r="F412" s="98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8">
        <v>407</v>
      </c>
      <c r="D413" s="118" t="s">
        <v>422</v>
      </c>
      <c r="E413" s="100"/>
      <c r="F413" s="98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8">
        <v>408</v>
      </c>
      <c r="D414" s="112" t="s">
        <v>423</v>
      </c>
      <c r="E414" s="100"/>
      <c r="F414" s="98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8">
        <v>409</v>
      </c>
      <c r="D415" s="113" t="s">
        <v>424</v>
      </c>
      <c r="E415" s="100"/>
      <c r="F415" s="98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8">
        <v>410</v>
      </c>
      <c r="D416" s="116" t="s">
        <v>425</v>
      </c>
      <c r="E416" s="100"/>
      <c r="F416" s="98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8">
        <v>411</v>
      </c>
      <c r="D417" s="113" t="s">
        <v>426</v>
      </c>
      <c r="E417" s="100"/>
      <c r="F417" s="98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8">
        <v>412</v>
      </c>
      <c r="D418" s="116" t="s">
        <v>427</v>
      </c>
      <c r="E418" s="100"/>
      <c r="F418" s="98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8">
        <v>413</v>
      </c>
      <c r="D419" s="106" t="s">
        <v>428</v>
      </c>
      <c r="E419" s="100"/>
      <c r="F419" s="98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8">
        <v>414</v>
      </c>
      <c r="D420" s="114" t="s">
        <v>429</v>
      </c>
      <c r="E420" s="100"/>
      <c r="F420" s="98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8">
        <v>415</v>
      </c>
      <c r="D421" s="119" t="s">
        <v>430</v>
      </c>
      <c r="E421" s="100"/>
      <c r="F421" s="98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8">
        <v>416</v>
      </c>
      <c r="D422" s="114" t="s">
        <v>431</v>
      </c>
      <c r="E422" s="100"/>
      <c r="F422" s="98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8">
        <v>417</v>
      </c>
      <c r="D423" s="99" t="s">
        <v>432</v>
      </c>
      <c r="E423" s="100"/>
      <c r="F423" s="98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8">
        <v>418</v>
      </c>
      <c r="D424" s="104" t="s">
        <v>433</v>
      </c>
      <c r="E424" s="100"/>
      <c r="F424" s="98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8">
        <v>419</v>
      </c>
      <c r="D425" s="113" t="s">
        <v>434</v>
      </c>
      <c r="E425" s="100"/>
      <c r="F425" s="98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8">
        <v>420</v>
      </c>
      <c r="D426" s="104" t="s">
        <v>435</v>
      </c>
      <c r="E426" s="100"/>
      <c r="F426" s="98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8">
        <v>421</v>
      </c>
      <c r="D427" s="115" t="s">
        <v>436</v>
      </c>
      <c r="E427" s="100"/>
      <c r="F427" s="98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8">
        <v>422</v>
      </c>
      <c r="D428" s="102" t="s">
        <v>437</v>
      </c>
      <c r="E428" s="100"/>
      <c r="F428" s="98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8">
        <v>423</v>
      </c>
      <c r="D429" s="103" t="s">
        <v>438</v>
      </c>
      <c r="E429" s="100"/>
      <c r="F429" s="98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8">
        <v>424</v>
      </c>
      <c r="D430" s="112" t="s">
        <v>439</v>
      </c>
      <c r="E430" s="100"/>
      <c r="F430" s="98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8">
        <v>425</v>
      </c>
      <c r="D431" s="99" t="s">
        <v>440</v>
      </c>
      <c r="E431" s="100"/>
      <c r="F431" s="98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8">
        <v>426</v>
      </c>
      <c r="D432" s="108" t="s">
        <v>441</v>
      </c>
      <c r="E432" s="100"/>
      <c r="F432" s="98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8">
        <v>427</v>
      </c>
      <c r="D433" s="118" t="s">
        <v>442</v>
      </c>
      <c r="E433" s="100"/>
      <c r="F433" s="98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8">
        <v>428</v>
      </c>
      <c r="D434" s="108" t="s">
        <v>443</v>
      </c>
      <c r="E434" s="100"/>
      <c r="F434" s="98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8">
        <v>429</v>
      </c>
      <c r="D435" s="118" t="s">
        <v>444</v>
      </c>
      <c r="E435" s="100"/>
      <c r="F435" s="98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8">
        <v>430</v>
      </c>
      <c r="D436" s="117" t="s">
        <v>445</v>
      </c>
      <c r="E436" s="100"/>
      <c r="F436" s="98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8">
        <v>431</v>
      </c>
      <c r="D437" s="115" t="s">
        <v>446</v>
      </c>
      <c r="E437" s="100"/>
      <c r="F437" s="98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8">
        <v>432</v>
      </c>
      <c r="D438" s="104" t="s">
        <v>447</v>
      </c>
      <c r="E438" s="100"/>
      <c r="F438" s="98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8">
        <v>433</v>
      </c>
      <c r="D439" s="99" t="s">
        <v>448</v>
      </c>
      <c r="E439" s="100"/>
      <c r="F439" s="98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8">
        <v>434</v>
      </c>
      <c r="D440" s="102" t="s">
        <v>449</v>
      </c>
      <c r="E440" s="100"/>
      <c r="F440" s="98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8">
        <v>435</v>
      </c>
      <c r="D441" s="118" t="s">
        <v>450</v>
      </c>
      <c r="E441" s="100"/>
      <c r="F441" s="98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8">
        <v>436</v>
      </c>
      <c r="D442" s="102" t="s">
        <v>451</v>
      </c>
      <c r="E442" s="100"/>
      <c r="F442" s="98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8">
        <v>437</v>
      </c>
      <c r="D443" s="113" t="s">
        <v>452</v>
      </c>
      <c r="E443" s="100"/>
      <c r="F443" s="98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8">
        <v>438</v>
      </c>
      <c r="D444" s="114" t="s">
        <v>453</v>
      </c>
      <c r="E444" s="100"/>
      <c r="F444" s="98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8">
        <v>439</v>
      </c>
      <c r="D445" s="113" t="s">
        <v>454</v>
      </c>
      <c r="E445" s="100"/>
      <c r="F445" s="98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8">
        <v>440</v>
      </c>
      <c r="D446" s="102" t="s">
        <v>455</v>
      </c>
      <c r="E446" s="100"/>
      <c r="F446" s="98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8">
        <v>441</v>
      </c>
      <c r="D447" s="115" t="s">
        <v>456</v>
      </c>
      <c r="E447" s="100"/>
      <c r="F447" s="98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8">
        <v>442</v>
      </c>
      <c r="D448" s="116" t="s">
        <v>457</v>
      </c>
      <c r="E448" s="100"/>
      <c r="F448" s="98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8">
        <v>443</v>
      </c>
      <c r="D449" s="118" t="s">
        <v>458</v>
      </c>
      <c r="E449" s="100"/>
      <c r="F449" s="98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8">
        <v>444</v>
      </c>
      <c r="D450" s="123" t="s">
        <v>459</v>
      </c>
      <c r="E450" s="100"/>
      <c r="F450" s="98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8">
        <v>445</v>
      </c>
      <c r="D451" s="105" t="s">
        <v>460</v>
      </c>
      <c r="E451" s="100"/>
      <c r="F451" s="98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8">
        <v>446</v>
      </c>
      <c r="D452" s="114" t="s">
        <v>461</v>
      </c>
      <c r="E452" s="100"/>
      <c r="F452" s="98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8">
        <v>447</v>
      </c>
      <c r="D453" s="99" t="s">
        <v>462</v>
      </c>
      <c r="E453" s="100"/>
      <c r="F453" s="98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8">
        <v>448</v>
      </c>
      <c r="D454" s="112" t="s">
        <v>463</v>
      </c>
      <c r="E454" s="100"/>
      <c r="F454" s="98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8">
        <v>449</v>
      </c>
      <c r="D455" s="103" t="s">
        <v>464</v>
      </c>
      <c r="E455" s="100"/>
      <c r="F455" s="98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8">
        <v>450</v>
      </c>
      <c r="D456" s="102" t="s">
        <v>465</v>
      </c>
      <c r="E456" s="100"/>
      <c r="F456" s="98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8">
        <v>451</v>
      </c>
      <c r="D457" s="119" t="s">
        <v>466</v>
      </c>
      <c r="E457" s="100"/>
      <c r="F457" s="98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8">
        <v>452</v>
      </c>
      <c r="D458" s="112" t="s">
        <v>467</v>
      </c>
      <c r="E458" s="100"/>
      <c r="F458" s="98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8">
        <v>453</v>
      </c>
      <c r="D459" s="103" t="s">
        <v>468</v>
      </c>
      <c r="E459" s="100"/>
      <c r="F459" s="98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8">
        <v>454</v>
      </c>
      <c r="D460" s="117" t="s">
        <v>469</v>
      </c>
      <c r="E460" s="100"/>
      <c r="F460" s="98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8">
        <v>455</v>
      </c>
      <c r="D461" s="106" t="s">
        <v>470</v>
      </c>
      <c r="E461" s="100"/>
      <c r="F461" s="98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8">
        <v>456</v>
      </c>
      <c r="D462" s="108" t="s">
        <v>471</v>
      </c>
      <c r="E462" s="100"/>
      <c r="F462" s="98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8">
        <v>457</v>
      </c>
      <c r="D463" s="113" t="s">
        <v>472</v>
      </c>
      <c r="E463" s="100"/>
      <c r="F463" s="98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8">
        <v>458</v>
      </c>
      <c r="D464" s="109" t="s">
        <v>473</v>
      </c>
      <c r="E464" s="100"/>
      <c r="F464" s="98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8">
        <v>459</v>
      </c>
      <c r="D465" s="113" t="s">
        <v>474</v>
      </c>
      <c r="E465" s="100"/>
      <c r="F465" s="98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8">
        <v>460</v>
      </c>
      <c r="D466" s="116" t="s">
        <v>475</v>
      </c>
      <c r="E466" s="100"/>
      <c r="F466" s="98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8">
        <v>461</v>
      </c>
      <c r="D467" s="105" t="s">
        <v>476</v>
      </c>
      <c r="E467" s="100"/>
      <c r="F467" s="98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8">
        <v>462</v>
      </c>
      <c r="D468" s="112" t="s">
        <v>477</v>
      </c>
      <c r="E468" s="100"/>
      <c r="F468" s="98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8">
        <v>463</v>
      </c>
      <c r="D469" s="119" t="s">
        <v>478</v>
      </c>
      <c r="E469" s="100"/>
      <c r="F469" s="98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8">
        <v>464</v>
      </c>
      <c r="D470" s="117" t="s">
        <v>479</v>
      </c>
      <c r="E470" s="100"/>
      <c r="F470" s="98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8">
        <v>465</v>
      </c>
      <c r="D471" s="106" t="s">
        <v>480</v>
      </c>
      <c r="E471" s="100"/>
      <c r="F471" s="98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8">
        <v>466</v>
      </c>
      <c r="D472" s="112" t="s">
        <v>481</v>
      </c>
      <c r="E472" s="100"/>
      <c r="F472" s="98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8">
        <v>467</v>
      </c>
      <c r="D473" s="103" t="s">
        <v>482</v>
      </c>
      <c r="E473" s="100"/>
      <c r="F473" s="98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8">
        <v>468</v>
      </c>
      <c r="D474" s="114" t="s">
        <v>483</v>
      </c>
      <c r="E474" s="100"/>
      <c r="F474" s="98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8">
        <v>469</v>
      </c>
      <c r="D475" s="105" t="s">
        <v>484</v>
      </c>
      <c r="E475" s="100"/>
      <c r="F475" s="98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8">
        <v>470</v>
      </c>
      <c r="D476" s="112" t="s">
        <v>485</v>
      </c>
      <c r="E476" s="100"/>
      <c r="F476" s="98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8">
        <v>471</v>
      </c>
      <c r="D477" s="124"/>
      <c r="E477" s="100"/>
      <c r="F477" s="98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8">
        <v>472</v>
      </c>
      <c r="D478" s="124"/>
      <c r="E478" s="100"/>
      <c r="F478" s="98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8">
        <v>473</v>
      </c>
      <c r="D479" s="124"/>
      <c r="E479" s="100"/>
      <c r="F479" s="98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8">
        <v>474</v>
      </c>
      <c r="D480" s="124"/>
      <c r="E480" s="100"/>
      <c r="F480" s="98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8">
        <v>475</v>
      </c>
      <c r="D481" s="124"/>
      <c r="E481" s="100"/>
      <c r="F481" s="98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8">
        <v>476</v>
      </c>
      <c r="D482" s="124"/>
      <c r="E482" s="100"/>
      <c r="F482" s="98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8">
        <v>477</v>
      </c>
      <c r="D483" s="124"/>
      <c r="E483" s="100"/>
      <c r="F483" s="98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8">
        <v>478</v>
      </c>
      <c r="D484" s="124"/>
      <c r="E484" s="100"/>
      <c r="F484" s="98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8">
        <v>479</v>
      </c>
      <c r="D485" s="124"/>
      <c r="E485" s="100"/>
      <c r="F485" s="98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8">
        <v>480</v>
      </c>
      <c r="D486" s="124"/>
      <c r="E486" s="100"/>
      <c r="F486" s="98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8">
        <v>481</v>
      </c>
      <c r="D487" s="124"/>
      <c r="E487" s="100"/>
      <c r="F487" s="98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8">
        <v>482</v>
      </c>
      <c r="D488" s="124"/>
      <c r="E488" s="100"/>
      <c r="F488" s="98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8">
        <v>483</v>
      </c>
      <c r="D489" s="124"/>
      <c r="E489" s="100"/>
      <c r="F489" s="98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8">
        <v>484</v>
      </c>
      <c r="D490" s="124"/>
      <c r="E490" s="100"/>
      <c r="F490" s="98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8">
        <v>485</v>
      </c>
      <c r="D491" s="124"/>
      <c r="E491" s="100"/>
      <c r="F491" s="98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8">
        <v>486</v>
      </c>
      <c r="D492" s="124"/>
      <c r="E492" s="100"/>
      <c r="F492" s="98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8">
        <v>487</v>
      </c>
      <c r="D493" s="124"/>
      <c r="E493" s="100"/>
      <c r="F493" s="98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8">
        <v>488</v>
      </c>
      <c r="D494" s="124"/>
      <c r="E494" s="100"/>
      <c r="F494" s="98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8">
        <v>489</v>
      </c>
      <c r="D495" s="124"/>
      <c r="E495" s="100"/>
      <c r="F495" s="98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8">
        <v>490</v>
      </c>
      <c r="D496" s="124"/>
      <c r="E496" s="100"/>
      <c r="F496" s="98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8">
        <v>491</v>
      </c>
      <c r="D497" s="124"/>
      <c r="E497" s="100"/>
      <c r="F497" s="98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8">
        <v>492</v>
      </c>
      <c r="D498" s="124"/>
      <c r="E498" s="100"/>
      <c r="F498" s="98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8">
        <v>493</v>
      </c>
      <c r="D499" s="124"/>
      <c r="E499" s="100"/>
      <c r="F499" s="98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8">
        <v>494</v>
      </c>
      <c r="D500" s="124"/>
      <c r="E500" s="100"/>
      <c r="F500" s="98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8">
        <v>495</v>
      </c>
      <c r="D501" s="124"/>
      <c r="E501" s="100"/>
      <c r="F501" s="98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8">
        <v>496</v>
      </c>
      <c r="D502" s="124"/>
      <c r="E502" s="100"/>
      <c r="F502" s="98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8">
        <v>497</v>
      </c>
      <c r="D503" s="124"/>
      <c r="E503" s="100"/>
      <c r="F503" s="98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8">
        <v>498</v>
      </c>
      <c r="D504" s="124"/>
      <c r="E504" s="100"/>
      <c r="F504" s="98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8">
        <v>499</v>
      </c>
      <c r="D505" s="124"/>
      <c r="E505" s="100"/>
      <c r="F505" s="98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8">
        <v>500</v>
      </c>
      <c r="D506" s="124"/>
      <c r="E506" s="100"/>
      <c r="F506" s="98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8">
        <v>501</v>
      </c>
      <c r="D507" s="124"/>
      <c r="E507" s="100"/>
      <c r="F507" s="98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8">
        <v>502</v>
      </c>
      <c r="D508" s="124"/>
      <c r="E508" s="100"/>
      <c r="F508" s="98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8">
        <v>503</v>
      </c>
      <c r="D509" s="124"/>
      <c r="E509" s="100"/>
      <c r="F509" s="98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8">
        <v>504</v>
      </c>
      <c r="D510" s="124"/>
      <c r="E510" s="100"/>
      <c r="F510" s="98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8">
        <v>505</v>
      </c>
      <c r="D511" s="124"/>
      <c r="E511" s="100"/>
      <c r="F511" s="98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8">
        <v>506</v>
      </c>
      <c r="D512" s="124"/>
      <c r="E512" s="100"/>
      <c r="F512" s="98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8">
        <v>507</v>
      </c>
      <c r="D513" s="124"/>
      <c r="E513" s="100"/>
      <c r="F513" s="98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8">
        <v>508</v>
      </c>
      <c r="D514" s="124"/>
      <c r="E514" s="100"/>
      <c r="F514" s="98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8">
        <v>509</v>
      </c>
      <c r="D515" s="124"/>
      <c r="E515" s="100"/>
      <c r="F515" s="98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8">
        <v>510</v>
      </c>
      <c r="D516" s="124"/>
      <c r="E516" s="100"/>
      <c r="F516" s="98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8">
        <v>511</v>
      </c>
      <c r="D517" s="124"/>
      <c r="E517" s="100"/>
      <c r="F517" s="98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8">
        <v>512</v>
      </c>
      <c r="D518" s="124"/>
      <c r="E518" s="100"/>
      <c r="F518" s="98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8">
        <v>513</v>
      </c>
      <c r="D519" s="124"/>
      <c r="E519" s="100"/>
      <c r="F519" s="98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8">
        <v>514</v>
      </c>
      <c r="D520" s="124"/>
      <c r="E520" s="100"/>
      <c r="F520" s="98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8">
        <v>515</v>
      </c>
      <c r="D521" s="124"/>
      <c r="E521" s="100"/>
      <c r="F521" s="98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8">
        <v>516</v>
      </c>
      <c r="D522" s="124"/>
      <c r="E522" s="100"/>
      <c r="F522" s="98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8">
        <v>517</v>
      </c>
      <c r="D523" s="124"/>
      <c r="E523" s="100"/>
      <c r="F523" s="98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8">
        <v>518</v>
      </c>
      <c r="D524" s="124"/>
      <c r="E524" s="100"/>
      <c r="F524" s="98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8">
        <v>519</v>
      </c>
      <c r="D525" s="124"/>
      <c r="E525" s="100"/>
      <c r="F525" s="98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8">
        <v>520</v>
      </c>
      <c r="D526" s="124"/>
      <c r="E526" s="100"/>
      <c r="F526" s="98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8">
        <v>521</v>
      </c>
      <c r="D527" s="124"/>
      <c r="E527" s="100"/>
      <c r="F527" s="98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8">
        <v>522</v>
      </c>
      <c r="D528" s="124"/>
      <c r="E528" s="100"/>
      <c r="F528" s="98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8">
        <v>523</v>
      </c>
      <c r="D529" s="124"/>
      <c r="E529" s="100"/>
      <c r="F529" s="98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8">
        <v>524</v>
      </c>
      <c r="D530" s="124"/>
      <c r="E530" s="100"/>
      <c r="F530" s="98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8">
        <v>525</v>
      </c>
      <c r="D531" s="124"/>
      <c r="E531" s="100"/>
      <c r="F531" s="98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8">
        <v>526</v>
      </c>
      <c r="D532" s="124"/>
      <c r="E532" s="100"/>
      <c r="F532" s="98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8">
        <v>527</v>
      </c>
      <c r="D533" s="124"/>
      <c r="E533" s="100"/>
      <c r="F533" s="98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8">
        <v>528</v>
      </c>
      <c r="D534" s="124"/>
      <c r="E534" s="100"/>
      <c r="F534" s="98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8">
        <v>529</v>
      </c>
      <c r="D535" s="124"/>
      <c r="E535" s="100"/>
      <c r="F535" s="98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8">
        <v>530</v>
      </c>
      <c r="D536" s="124"/>
      <c r="E536" s="100"/>
      <c r="F536" s="98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8">
        <v>531</v>
      </c>
      <c r="D537" s="124"/>
      <c r="E537" s="100"/>
      <c r="F537" s="98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8">
        <v>532</v>
      </c>
      <c r="D538" s="124"/>
      <c r="E538" s="100"/>
      <c r="F538" s="98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8">
        <v>533</v>
      </c>
      <c r="D539" s="124"/>
      <c r="E539" s="100"/>
      <c r="F539" s="98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8">
        <v>534</v>
      </c>
      <c r="D540" s="124"/>
      <c r="E540" s="100"/>
      <c r="F540" s="98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8">
        <v>535</v>
      </c>
      <c r="D541" s="124"/>
      <c r="E541" s="100"/>
      <c r="F541" s="98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8">
        <v>536</v>
      </c>
      <c r="D542" s="124"/>
      <c r="E542" s="100"/>
      <c r="F542" s="98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8">
        <v>537</v>
      </c>
      <c r="D543" s="124"/>
      <c r="E543" s="100"/>
      <c r="F543" s="98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8">
        <v>538</v>
      </c>
      <c r="D544" s="124"/>
      <c r="E544" s="100"/>
      <c r="F544" s="98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8">
        <v>539</v>
      </c>
      <c r="D545" s="124"/>
      <c r="E545" s="100"/>
      <c r="F545" s="98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8">
        <v>540</v>
      </c>
      <c r="D546" s="124"/>
      <c r="E546" s="100"/>
      <c r="F546" s="98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8">
        <v>541</v>
      </c>
      <c r="D547" s="124"/>
      <c r="E547" s="100"/>
      <c r="F547" s="98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8">
        <v>542</v>
      </c>
      <c r="D548" s="124"/>
      <c r="E548" s="100"/>
      <c r="F548" s="98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8">
        <v>543</v>
      </c>
      <c r="D549" s="124"/>
      <c r="E549" s="100"/>
      <c r="F549" s="98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8">
        <v>544</v>
      </c>
      <c r="D550" s="124"/>
      <c r="E550" s="100"/>
      <c r="F550" s="98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8">
        <v>545</v>
      </c>
      <c r="D551" s="124"/>
      <c r="E551" s="100"/>
      <c r="F551" s="98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8">
        <v>546</v>
      </c>
      <c r="D552" s="124"/>
      <c r="E552" s="100"/>
      <c r="F552" s="98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8">
        <v>547</v>
      </c>
      <c r="D553" s="124"/>
      <c r="E553" s="100"/>
      <c r="F553" s="98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8">
        <v>548</v>
      </c>
      <c r="D554" s="124"/>
      <c r="E554" s="100"/>
      <c r="F554" s="98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8">
        <v>549</v>
      </c>
      <c r="D555" s="124"/>
      <c r="E555" s="100"/>
      <c r="F555" s="98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8">
        <v>550</v>
      </c>
      <c r="D556" s="124"/>
      <c r="E556" s="100"/>
      <c r="F556" s="98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8">
        <v>551</v>
      </c>
      <c r="D557" s="124"/>
      <c r="E557" s="100"/>
      <c r="F557" s="98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8">
        <v>552</v>
      </c>
      <c r="D558" s="124"/>
      <c r="E558" s="100"/>
      <c r="F558" s="98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8">
        <v>553</v>
      </c>
      <c r="D559" s="124"/>
      <c r="E559" s="100"/>
      <c r="F559" s="98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8">
        <v>554</v>
      </c>
      <c r="D560" s="124"/>
      <c r="E560" s="100"/>
      <c r="F560" s="98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8">
        <v>555</v>
      </c>
      <c r="D561" s="124"/>
      <c r="E561" s="100"/>
      <c r="F561" s="98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8">
        <v>556</v>
      </c>
      <c r="D562" s="124"/>
      <c r="E562" s="100"/>
      <c r="F562" s="98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8">
        <v>557</v>
      </c>
      <c r="D563" s="124"/>
      <c r="E563" s="100"/>
      <c r="F563" s="98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8">
        <v>558</v>
      </c>
      <c r="D564" s="124"/>
      <c r="E564" s="100"/>
      <c r="F564" s="98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8">
        <v>559</v>
      </c>
      <c r="D565" s="124"/>
      <c r="E565" s="100"/>
      <c r="F565" s="98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8">
        <v>560</v>
      </c>
      <c r="D566" s="124"/>
      <c r="E566" s="100"/>
      <c r="F566" s="98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8">
        <v>561</v>
      </c>
      <c r="D567" s="124"/>
      <c r="E567" s="100"/>
      <c r="F567" s="98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8">
        <v>562</v>
      </c>
      <c r="D568" s="124"/>
      <c r="E568" s="100"/>
      <c r="F568" s="98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8">
        <v>563</v>
      </c>
      <c r="D569" s="124"/>
      <c r="E569" s="100"/>
      <c r="F569" s="98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8">
        <v>564</v>
      </c>
      <c r="D570" s="124"/>
      <c r="E570" s="100"/>
      <c r="F570" s="98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8">
        <v>565</v>
      </c>
      <c r="D571" s="124"/>
      <c r="E571" s="100"/>
      <c r="F571" s="98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8">
        <v>566</v>
      </c>
      <c r="D572" s="124"/>
      <c r="E572" s="100"/>
      <c r="F572" s="98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8">
        <v>567</v>
      </c>
      <c r="D573" s="124"/>
      <c r="E573" s="100"/>
      <c r="F573" s="98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8">
        <v>568</v>
      </c>
      <c r="D574" s="124"/>
      <c r="E574" s="100"/>
      <c r="F574" s="98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8">
        <v>569</v>
      </c>
      <c r="D575" s="124"/>
      <c r="E575" s="100"/>
      <c r="F575" s="98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8">
        <v>570</v>
      </c>
      <c r="D576" s="124"/>
      <c r="E576" s="100"/>
      <c r="F576" s="98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8">
        <v>571</v>
      </c>
      <c r="D577" s="124"/>
      <c r="E577" s="100"/>
      <c r="F577" s="98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8">
        <v>572</v>
      </c>
      <c r="D578" s="124"/>
      <c r="E578" s="100"/>
      <c r="F578" s="98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8">
        <v>573</v>
      </c>
      <c r="D579" s="124"/>
      <c r="E579" s="100"/>
      <c r="F579" s="98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8">
        <v>574</v>
      </c>
      <c r="D580" s="124"/>
      <c r="E580" s="100"/>
      <c r="F580" s="98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8">
        <v>575</v>
      </c>
      <c r="D581" s="124"/>
      <c r="E581" s="100"/>
      <c r="F581" s="98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8">
        <v>576</v>
      </c>
      <c r="D582" s="124"/>
      <c r="E582" s="100"/>
      <c r="F582" s="98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8">
        <v>577</v>
      </c>
      <c r="D583" s="124"/>
      <c r="E583" s="100"/>
      <c r="F583" s="98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8">
        <v>578</v>
      </c>
      <c r="D584" s="124"/>
      <c r="E584" s="100"/>
      <c r="F584" s="98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8">
        <v>579</v>
      </c>
      <c r="D585" s="124"/>
      <c r="E585" s="100"/>
      <c r="F585" s="98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8">
        <v>580</v>
      </c>
      <c r="D586" s="124"/>
      <c r="E586" s="100"/>
      <c r="F586" s="98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8">
        <v>581</v>
      </c>
      <c r="D587" s="124"/>
      <c r="E587" s="100"/>
      <c r="F587" s="98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8">
        <v>582</v>
      </c>
      <c r="D588" s="124"/>
      <c r="E588" s="100"/>
      <c r="F588" s="98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8">
        <v>583</v>
      </c>
      <c r="D589" s="124"/>
      <c r="E589" s="100"/>
      <c r="F589" s="98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8">
        <v>584</v>
      </c>
      <c r="D590" s="124"/>
      <c r="E590" s="100"/>
      <c r="F590" s="98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8">
        <v>585</v>
      </c>
      <c r="D591" s="124"/>
      <c r="E591" s="100"/>
      <c r="F591" s="98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8">
        <v>586</v>
      </c>
      <c r="D592" s="124"/>
      <c r="E592" s="100"/>
      <c r="F592" s="98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8">
        <v>587</v>
      </c>
      <c r="D593" s="124"/>
      <c r="E593" s="100"/>
      <c r="F593" s="98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8">
        <v>588</v>
      </c>
      <c r="D594" s="124"/>
      <c r="E594" s="100"/>
      <c r="F594" s="98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8">
        <v>589</v>
      </c>
      <c r="D595" s="124"/>
      <c r="E595" s="100"/>
      <c r="F595" s="98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8">
        <v>590</v>
      </c>
      <c r="D596" s="124"/>
      <c r="E596" s="100"/>
      <c r="F596" s="98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8">
        <v>591</v>
      </c>
      <c r="D597" s="124"/>
      <c r="E597" s="100"/>
      <c r="F597" s="98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8">
        <v>592</v>
      </c>
      <c r="D598" s="124"/>
      <c r="E598" s="100"/>
      <c r="F598" s="98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8">
        <v>593</v>
      </c>
      <c r="D599" s="124"/>
      <c r="E599" s="100"/>
      <c r="F599" s="98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8">
        <v>594</v>
      </c>
      <c r="D600" s="124"/>
      <c r="E600" s="100"/>
      <c r="F600" s="98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8">
        <v>595</v>
      </c>
      <c r="D601" s="124"/>
      <c r="E601" s="100"/>
      <c r="F601" s="98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8">
        <v>596</v>
      </c>
      <c r="D602" s="124"/>
      <c r="E602" s="100"/>
      <c r="F602" s="98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8">
        <v>597</v>
      </c>
      <c r="D603" s="124"/>
      <c r="E603" s="100"/>
      <c r="F603" s="98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8">
        <v>598</v>
      </c>
      <c r="D604" s="124"/>
      <c r="E604" s="100"/>
      <c r="F604" s="98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8">
        <v>599</v>
      </c>
      <c r="D605" s="124"/>
      <c r="E605" s="100"/>
      <c r="F605" s="98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8">
        <v>600</v>
      </c>
      <c r="D606" s="124"/>
      <c r="E606" s="100"/>
      <c r="F606" s="98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8">
        <v>601</v>
      </c>
      <c r="D607" s="124"/>
      <c r="E607" s="100"/>
      <c r="F607" s="98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8">
        <v>602</v>
      </c>
      <c r="D608" s="124"/>
      <c r="E608" s="100"/>
      <c r="F608" s="98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8">
        <v>603</v>
      </c>
      <c r="D609" s="124"/>
      <c r="E609" s="100"/>
      <c r="F609" s="98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8">
        <v>604</v>
      </c>
      <c r="D610" s="124"/>
      <c r="E610" s="100"/>
      <c r="F610" s="98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8">
        <v>605</v>
      </c>
      <c r="D611" s="124"/>
      <c r="E611" s="100"/>
      <c r="F611" s="98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8">
        <v>606</v>
      </c>
      <c r="D612" s="124"/>
      <c r="E612" s="100"/>
      <c r="F612" s="98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8">
        <v>607</v>
      </c>
      <c r="D613" s="124"/>
      <c r="E613" s="100"/>
      <c r="F613" s="98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8">
        <v>608</v>
      </c>
      <c r="D614" s="124"/>
      <c r="E614" s="100"/>
      <c r="F614" s="98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8">
        <v>609</v>
      </c>
      <c r="D615" s="124"/>
      <c r="E615" s="100"/>
      <c r="F615" s="98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8">
        <v>610</v>
      </c>
      <c r="D616" s="124"/>
      <c r="E616" s="100"/>
      <c r="F616" s="98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8">
        <v>611</v>
      </c>
      <c r="D617" s="124"/>
      <c r="E617" s="100"/>
      <c r="F617" s="98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8">
        <v>612</v>
      </c>
      <c r="D618" s="124"/>
      <c r="E618" s="100"/>
      <c r="F618" s="98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8">
        <v>613</v>
      </c>
      <c r="D619" s="124"/>
      <c r="E619" s="100"/>
      <c r="F619" s="98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8">
        <v>614</v>
      </c>
      <c r="D620" s="124"/>
      <c r="E620" s="100"/>
      <c r="F620" s="98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8">
        <v>615</v>
      </c>
      <c r="D621" s="124"/>
      <c r="E621" s="100"/>
      <c r="F621" s="98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8">
        <v>616</v>
      </c>
      <c r="D622" s="124"/>
      <c r="E622" s="100"/>
      <c r="F622" s="98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8">
        <v>617</v>
      </c>
      <c r="D623" s="124"/>
      <c r="E623" s="100"/>
      <c r="F623" s="98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8">
        <v>618</v>
      </c>
      <c r="D624" s="124"/>
      <c r="E624" s="100"/>
      <c r="F624" s="98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8">
        <v>619</v>
      </c>
      <c r="D625" s="124"/>
      <c r="E625" s="100"/>
      <c r="F625" s="98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8">
        <v>620</v>
      </c>
      <c r="D626" s="124"/>
      <c r="E626" s="100"/>
      <c r="F626" s="98"/>
      <c r="G626" s="1"/>
      <c r="H626" s="1"/>
      <c r="I626" s="1"/>
      <c r="J626" s="1"/>
      <c r="K626" s="1"/>
      <c r="L626" s="1"/>
      <c r="M626" s="1"/>
      <c r="N626" s="1"/>
    </row>
  </sheetData>
  <sheetProtection algorithmName="SHA-512" hashValue="AfNSuyiGyze/H1KqpIXpEP02MdQom8GBL6g1AWmUrLPGU9Rj0Y+4BoxgzIFys+h3pFMHJVxcb8Sx6AktYhqwJQ==" saltValue="AVSntpvFj1BNbWTYSi5bLQ==" spinCount="100000"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E7" sqref="E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8" t="s">
        <v>489</v>
      </c>
      <c r="D2" s="139"/>
      <c r="E2" s="139"/>
      <c r="F2" s="1"/>
    </row>
    <row r="3" spans="2:6" ht="27.75" customHeight="1" x14ac:dyDescent="0.25">
      <c r="B3" s="137"/>
      <c r="C3" s="137"/>
      <c r="D3" s="137"/>
      <c r="E3" s="137"/>
      <c r="F3" s="137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8">
        <v>155</v>
      </c>
      <c r="D7" s="125" t="s">
        <v>639</v>
      </c>
      <c r="E7" s="98"/>
      <c r="F7" s="1"/>
    </row>
    <row r="8" spans="2:6" x14ac:dyDescent="0.25">
      <c r="B8" s="1"/>
      <c r="C8" s="98">
        <v>45</v>
      </c>
      <c r="D8" s="125" t="s">
        <v>533</v>
      </c>
      <c r="E8" s="98"/>
      <c r="F8" s="1"/>
    </row>
    <row r="9" spans="2:6" x14ac:dyDescent="0.25">
      <c r="B9" s="1"/>
      <c r="C9" s="98">
        <v>145</v>
      </c>
      <c r="D9" s="125" t="s">
        <v>629</v>
      </c>
      <c r="E9" s="98"/>
      <c r="F9" s="1"/>
    </row>
    <row r="10" spans="2:6" x14ac:dyDescent="0.25">
      <c r="B10" s="1"/>
      <c r="C10" s="98">
        <v>161</v>
      </c>
      <c r="D10" s="125" t="s">
        <v>21</v>
      </c>
      <c r="E10" s="98"/>
      <c r="F10" s="1"/>
    </row>
    <row r="11" spans="2:6" x14ac:dyDescent="0.25">
      <c r="B11" s="1"/>
      <c r="C11" s="98">
        <v>47</v>
      </c>
      <c r="D11" s="125" t="s">
        <v>535</v>
      </c>
      <c r="E11" s="98"/>
      <c r="F11" s="1"/>
    </row>
    <row r="12" spans="2:6" x14ac:dyDescent="0.25">
      <c r="B12" s="1"/>
      <c r="C12" s="98">
        <v>138</v>
      </c>
      <c r="D12" s="125" t="s">
        <v>622</v>
      </c>
      <c r="E12" s="98"/>
      <c r="F12" s="1"/>
    </row>
    <row r="13" spans="2:6" x14ac:dyDescent="0.25">
      <c r="B13" s="1"/>
      <c r="C13" s="98">
        <v>133</v>
      </c>
      <c r="D13" s="125" t="s">
        <v>617</v>
      </c>
      <c r="E13" s="98"/>
      <c r="F13" s="1"/>
    </row>
    <row r="14" spans="2:6" x14ac:dyDescent="0.25">
      <c r="B14" s="1"/>
      <c r="C14" s="98">
        <v>135</v>
      </c>
      <c r="D14" s="125" t="s">
        <v>619</v>
      </c>
      <c r="E14" s="98"/>
      <c r="F14" s="1"/>
    </row>
    <row r="15" spans="2:6" x14ac:dyDescent="0.25">
      <c r="B15" s="1"/>
      <c r="C15" s="98">
        <v>134</v>
      </c>
      <c r="D15" s="125" t="s">
        <v>618</v>
      </c>
      <c r="E15" s="98"/>
      <c r="F15" s="1"/>
    </row>
    <row r="16" spans="2:6" x14ac:dyDescent="0.25">
      <c r="B16" s="1"/>
      <c r="C16" s="98">
        <v>136</v>
      </c>
      <c r="D16" s="125" t="s">
        <v>620</v>
      </c>
      <c r="E16" s="98"/>
      <c r="F16" s="1"/>
    </row>
    <row r="17" spans="2:6" x14ac:dyDescent="0.25">
      <c r="B17" s="1"/>
      <c r="C17" s="98">
        <v>73</v>
      </c>
      <c r="D17" s="125" t="s">
        <v>561</v>
      </c>
      <c r="E17" s="98"/>
      <c r="F17" s="1"/>
    </row>
    <row r="18" spans="2:6" x14ac:dyDescent="0.25">
      <c r="B18" s="1"/>
      <c r="C18" s="98">
        <v>49</v>
      </c>
      <c r="D18" s="125" t="s">
        <v>537</v>
      </c>
      <c r="E18" s="98"/>
      <c r="F18" s="1"/>
    </row>
    <row r="19" spans="2:6" x14ac:dyDescent="0.25">
      <c r="B19" s="1"/>
      <c r="C19" s="98">
        <v>12</v>
      </c>
      <c r="D19" s="125" t="s">
        <v>500</v>
      </c>
      <c r="E19" s="98"/>
      <c r="F19" s="1"/>
    </row>
    <row r="20" spans="2:6" x14ac:dyDescent="0.25">
      <c r="B20" s="1"/>
      <c r="C20" s="98">
        <v>57</v>
      </c>
      <c r="D20" s="125" t="s">
        <v>545</v>
      </c>
      <c r="E20" s="98"/>
      <c r="F20" s="1"/>
    </row>
    <row r="21" spans="2:6" x14ac:dyDescent="0.25">
      <c r="B21" s="1"/>
      <c r="C21" s="98">
        <v>18</v>
      </c>
      <c r="D21" s="125" t="s">
        <v>506</v>
      </c>
      <c r="E21" s="98"/>
      <c r="F21" s="1"/>
    </row>
    <row r="22" spans="2:6" x14ac:dyDescent="0.25">
      <c r="B22" s="1"/>
      <c r="C22" s="98">
        <v>117</v>
      </c>
      <c r="D22" s="126" t="s">
        <v>603</v>
      </c>
      <c r="E22" s="98"/>
      <c r="F22" s="1"/>
    </row>
    <row r="23" spans="2:6" x14ac:dyDescent="0.25">
      <c r="B23" s="1"/>
      <c r="C23" s="98">
        <v>17</v>
      </c>
      <c r="D23" s="125" t="s">
        <v>505</v>
      </c>
      <c r="E23" s="98"/>
      <c r="F23" s="1"/>
    </row>
    <row r="24" spans="2:6" x14ac:dyDescent="0.25">
      <c r="B24" s="1"/>
      <c r="C24" s="98">
        <v>91</v>
      </c>
      <c r="D24" s="126" t="s">
        <v>577</v>
      </c>
      <c r="E24" s="98"/>
      <c r="F24" s="1"/>
    </row>
    <row r="25" spans="2:6" x14ac:dyDescent="0.25">
      <c r="B25" s="1"/>
      <c r="C25" s="98">
        <v>175</v>
      </c>
      <c r="D25" s="125" t="s">
        <v>655</v>
      </c>
      <c r="E25" s="98"/>
      <c r="F25" s="1"/>
    </row>
    <row r="26" spans="2:6" x14ac:dyDescent="0.25">
      <c r="B26" s="1"/>
      <c r="C26" s="98">
        <v>179</v>
      </c>
      <c r="D26" s="125" t="s">
        <v>659</v>
      </c>
      <c r="E26" s="98"/>
      <c r="F26" s="1"/>
    </row>
    <row r="27" spans="2:6" x14ac:dyDescent="0.25">
      <c r="B27" s="1"/>
      <c r="C27" s="98">
        <v>163</v>
      </c>
      <c r="D27" s="125" t="s">
        <v>643</v>
      </c>
      <c r="E27" s="98"/>
      <c r="F27" s="1"/>
    </row>
    <row r="28" spans="2:6" x14ac:dyDescent="0.25">
      <c r="B28" s="1"/>
      <c r="C28" s="98">
        <v>5</v>
      </c>
      <c r="D28" s="125" t="s">
        <v>493</v>
      </c>
      <c r="E28" s="98"/>
      <c r="F28" s="1"/>
    </row>
    <row r="29" spans="2:6" x14ac:dyDescent="0.25">
      <c r="B29" s="1"/>
      <c r="C29" s="98">
        <v>76</v>
      </c>
      <c r="D29" s="127" t="s">
        <v>564</v>
      </c>
      <c r="E29" s="98"/>
      <c r="F29" s="1"/>
    </row>
    <row r="30" spans="2:6" x14ac:dyDescent="0.25">
      <c r="B30" s="1"/>
      <c r="C30" s="98">
        <v>77</v>
      </c>
      <c r="D30" s="127" t="s">
        <v>565</v>
      </c>
      <c r="E30" s="98"/>
      <c r="F30" s="1"/>
    </row>
    <row r="31" spans="2:6" x14ac:dyDescent="0.25">
      <c r="B31" s="1"/>
      <c r="C31" s="98">
        <v>129</v>
      </c>
      <c r="D31" s="125" t="s">
        <v>613</v>
      </c>
      <c r="E31" s="98"/>
      <c r="F31" s="1"/>
    </row>
    <row r="32" spans="2:6" x14ac:dyDescent="0.25">
      <c r="B32" s="1"/>
      <c r="C32" s="98">
        <v>156</v>
      </c>
      <c r="D32" s="125" t="s">
        <v>640</v>
      </c>
      <c r="E32" s="98"/>
      <c r="F32" s="1"/>
    </row>
    <row r="33" spans="2:6" x14ac:dyDescent="0.25">
      <c r="B33" s="1"/>
      <c r="C33" s="98">
        <v>157</v>
      </c>
      <c r="D33" s="125" t="s">
        <v>641</v>
      </c>
      <c r="E33" s="98"/>
      <c r="F33" s="1"/>
    </row>
    <row r="34" spans="2:6" x14ac:dyDescent="0.25">
      <c r="B34" s="1"/>
      <c r="C34" s="98">
        <v>16</v>
      </c>
      <c r="D34" s="125" t="s">
        <v>504</v>
      </c>
      <c r="E34" s="98"/>
      <c r="F34" s="1"/>
    </row>
    <row r="35" spans="2:6" x14ac:dyDescent="0.25">
      <c r="B35" s="1"/>
      <c r="C35" s="98">
        <v>13</v>
      </c>
      <c r="D35" s="125" t="s">
        <v>501</v>
      </c>
      <c r="E35" s="98"/>
      <c r="F35" s="1"/>
    </row>
    <row r="36" spans="2:6" x14ac:dyDescent="0.25">
      <c r="B36" s="1"/>
      <c r="C36" s="98">
        <v>162</v>
      </c>
      <c r="D36" s="125" t="s">
        <v>642</v>
      </c>
      <c r="E36" s="98"/>
      <c r="F36" s="1"/>
    </row>
    <row r="37" spans="2:6" x14ac:dyDescent="0.25">
      <c r="B37" s="1"/>
      <c r="C37" s="98">
        <v>142</v>
      </c>
      <c r="D37" s="125" t="s">
        <v>626</v>
      </c>
      <c r="E37" s="98"/>
      <c r="F37" s="1"/>
    </row>
    <row r="38" spans="2:6" x14ac:dyDescent="0.25">
      <c r="B38" s="1"/>
      <c r="C38" s="98">
        <v>143</v>
      </c>
      <c r="D38" s="125" t="s">
        <v>627</v>
      </c>
      <c r="E38" s="98"/>
      <c r="F38" s="1"/>
    </row>
    <row r="39" spans="2:6" x14ac:dyDescent="0.25">
      <c r="B39" s="1"/>
      <c r="C39" s="98">
        <v>58</v>
      </c>
      <c r="D39" s="125" t="s">
        <v>546</v>
      </c>
      <c r="E39" s="98"/>
      <c r="F39" s="1"/>
    </row>
    <row r="40" spans="2:6" x14ac:dyDescent="0.25">
      <c r="B40" s="1"/>
      <c r="C40" s="98">
        <v>35</v>
      </c>
      <c r="D40" s="125" t="s">
        <v>523</v>
      </c>
      <c r="E40" s="98"/>
      <c r="F40" s="1"/>
    </row>
    <row r="41" spans="2:6" x14ac:dyDescent="0.25">
      <c r="B41" s="1"/>
      <c r="C41" s="98">
        <v>78</v>
      </c>
      <c r="D41" s="127" t="s">
        <v>566</v>
      </c>
      <c r="E41" s="98"/>
      <c r="F41" s="1"/>
    </row>
    <row r="42" spans="2:6" x14ac:dyDescent="0.25">
      <c r="B42" s="1"/>
      <c r="C42" s="98">
        <v>3</v>
      </c>
      <c r="D42" s="125" t="s">
        <v>491</v>
      </c>
      <c r="E42" s="98"/>
      <c r="F42" s="1"/>
    </row>
    <row r="43" spans="2:6" x14ac:dyDescent="0.25">
      <c r="B43" s="1"/>
      <c r="C43" s="98">
        <v>99</v>
      </c>
      <c r="D43" s="126" t="s">
        <v>585</v>
      </c>
      <c r="E43" s="98"/>
      <c r="F43" s="1"/>
    </row>
    <row r="44" spans="2:6" x14ac:dyDescent="0.25">
      <c r="B44" s="1"/>
      <c r="C44" s="98">
        <v>50</v>
      </c>
      <c r="D44" s="125" t="s">
        <v>538</v>
      </c>
      <c r="E44" s="98"/>
      <c r="F44" s="1"/>
    </row>
    <row r="45" spans="2:6" x14ac:dyDescent="0.25">
      <c r="B45" s="1"/>
      <c r="C45" s="98">
        <v>74</v>
      </c>
      <c r="D45" s="125" t="s">
        <v>562</v>
      </c>
      <c r="E45" s="98"/>
      <c r="F45" s="1"/>
    </row>
    <row r="46" spans="2:6" x14ac:dyDescent="0.25">
      <c r="B46" s="1"/>
      <c r="C46" s="98">
        <v>160</v>
      </c>
      <c r="D46" s="125" t="s">
        <v>95</v>
      </c>
      <c r="E46" s="98"/>
      <c r="F46" s="1"/>
    </row>
    <row r="47" spans="2:6" x14ac:dyDescent="0.25">
      <c r="B47" s="1"/>
      <c r="C47" s="98">
        <v>14</v>
      </c>
      <c r="D47" s="125" t="s">
        <v>502</v>
      </c>
      <c r="E47" s="98"/>
      <c r="F47" s="1"/>
    </row>
    <row r="48" spans="2:6" x14ac:dyDescent="0.25">
      <c r="B48" s="1"/>
      <c r="C48" s="98">
        <v>146</v>
      </c>
      <c r="D48" s="125" t="s">
        <v>630</v>
      </c>
      <c r="E48" s="98"/>
      <c r="F48" s="1"/>
    </row>
    <row r="49" spans="2:6" x14ac:dyDescent="0.25">
      <c r="B49" s="1"/>
      <c r="C49" s="98">
        <v>113</v>
      </c>
      <c r="D49" s="125" t="s">
        <v>599</v>
      </c>
      <c r="E49" s="98"/>
      <c r="F49" s="1"/>
    </row>
    <row r="50" spans="2:6" x14ac:dyDescent="0.25">
      <c r="B50" s="1"/>
      <c r="C50" s="98">
        <v>41</v>
      </c>
      <c r="D50" s="125" t="s">
        <v>529</v>
      </c>
      <c r="E50" s="98"/>
      <c r="F50" s="1"/>
    </row>
    <row r="51" spans="2:6" x14ac:dyDescent="0.25">
      <c r="B51" s="1"/>
      <c r="C51" s="98">
        <v>7</v>
      </c>
      <c r="D51" s="125" t="s">
        <v>495</v>
      </c>
      <c r="E51" s="98"/>
      <c r="F51" s="1"/>
    </row>
    <row r="52" spans="2:6" x14ac:dyDescent="0.25">
      <c r="B52" s="1"/>
      <c r="C52" s="98">
        <v>67</v>
      </c>
      <c r="D52" s="125" t="s">
        <v>555</v>
      </c>
      <c r="E52" s="98"/>
      <c r="F52" s="1"/>
    </row>
    <row r="53" spans="2:6" x14ac:dyDescent="0.25">
      <c r="B53" s="1"/>
      <c r="C53" s="98">
        <v>132</v>
      </c>
      <c r="D53" s="125" t="s">
        <v>616</v>
      </c>
      <c r="E53" s="98"/>
      <c r="F53" s="1"/>
    </row>
    <row r="54" spans="2:6" x14ac:dyDescent="0.25">
      <c r="B54" s="1"/>
      <c r="C54" s="98">
        <v>79</v>
      </c>
      <c r="D54" s="125" t="s">
        <v>567</v>
      </c>
      <c r="E54" s="98"/>
      <c r="F54" s="1"/>
    </row>
    <row r="55" spans="2:6" x14ac:dyDescent="0.25">
      <c r="B55" s="1"/>
      <c r="C55" s="98">
        <v>149</v>
      </c>
      <c r="D55" s="125" t="s">
        <v>633</v>
      </c>
      <c r="E55" s="98"/>
      <c r="F55" s="1"/>
    </row>
    <row r="56" spans="2:6" x14ac:dyDescent="0.25">
      <c r="B56" s="1"/>
      <c r="C56" s="98">
        <v>75</v>
      </c>
      <c r="D56" s="127" t="s">
        <v>563</v>
      </c>
      <c r="E56" s="98"/>
      <c r="F56" s="1"/>
    </row>
    <row r="57" spans="2:6" x14ac:dyDescent="0.25">
      <c r="B57" s="1"/>
      <c r="C57" s="98">
        <v>37</v>
      </c>
      <c r="D57" s="125" t="s">
        <v>525</v>
      </c>
      <c r="E57" s="98"/>
      <c r="F57" s="1"/>
    </row>
    <row r="58" spans="2:6" x14ac:dyDescent="0.25">
      <c r="B58" s="1"/>
      <c r="C58" s="98">
        <v>43</v>
      </c>
      <c r="D58" s="125" t="s">
        <v>531</v>
      </c>
      <c r="E58" s="98"/>
      <c r="F58" s="1"/>
    </row>
    <row r="59" spans="2:6" x14ac:dyDescent="0.25">
      <c r="B59" s="1"/>
      <c r="C59" s="98">
        <v>4</v>
      </c>
      <c r="D59" s="125" t="s">
        <v>492</v>
      </c>
      <c r="E59" s="98"/>
      <c r="F59" s="1"/>
    </row>
    <row r="60" spans="2:6" x14ac:dyDescent="0.25">
      <c r="B60" s="1"/>
      <c r="C60" s="98">
        <v>148</v>
      </c>
      <c r="D60" s="125" t="s">
        <v>632</v>
      </c>
      <c r="E60" s="98"/>
      <c r="F60" s="1"/>
    </row>
    <row r="61" spans="2:6" x14ac:dyDescent="0.25">
      <c r="B61" s="1"/>
      <c r="C61" s="98">
        <v>80</v>
      </c>
      <c r="D61" s="125" t="s">
        <v>568</v>
      </c>
      <c r="E61" s="98"/>
      <c r="F61" s="1"/>
    </row>
    <row r="62" spans="2:6" x14ac:dyDescent="0.25">
      <c r="B62" s="1"/>
      <c r="C62" s="98">
        <v>140</v>
      </c>
      <c r="D62" s="125" t="s">
        <v>624</v>
      </c>
      <c r="E62" s="98"/>
      <c r="F62" s="1"/>
    </row>
    <row r="63" spans="2:6" x14ac:dyDescent="0.25">
      <c r="B63" s="1"/>
      <c r="C63" s="98">
        <v>81</v>
      </c>
      <c r="D63" s="125" t="s">
        <v>569</v>
      </c>
      <c r="E63" s="98"/>
      <c r="F63" s="1"/>
    </row>
    <row r="64" spans="2:6" x14ac:dyDescent="0.25">
      <c r="B64" s="1"/>
      <c r="C64" s="98">
        <v>139</v>
      </c>
      <c r="D64" s="125" t="s">
        <v>623</v>
      </c>
      <c r="E64" s="98"/>
      <c r="F64" s="1"/>
    </row>
    <row r="65" spans="2:6" x14ac:dyDescent="0.25">
      <c r="B65" s="1"/>
      <c r="C65" s="98">
        <v>181</v>
      </c>
      <c r="D65" s="125" t="s">
        <v>661</v>
      </c>
      <c r="E65" s="98"/>
      <c r="F65" s="1"/>
    </row>
    <row r="66" spans="2:6" x14ac:dyDescent="0.25">
      <c r="B66" s="1"/>
      <c r="C66" s="98">
        <v>82</v>
      </c>
      <c r="D66" s="127" t="s">
        <v>570</v>
      </c>
      <c r="E66" s="98"/>
      <c r="F66" s="1"/>
    </row>
    <row r="67" spans="2:6" x14ac:dyDescent="0.25">
      <c r="B67" s="1"/>
      <c r="C67" s="98">
        <v>167</v>
      </c>
      <c r="D67" s="125" t="s">
        <v>647</v>
      </c>
      <c r="E67" s="98"/>
      <c r="F67" s="1"/>
    </row>
    <row r="68" spans="2:6" x14ac:dyDescent="0.25">
      <c r="B68" s="1"/>
      <c r="C68" s="98">
        <v>25</v>
      </c>
      <c r="D68" s="127" t="s">
        <v>513</v>
      </c>
      <c r="E68" s="98"/>
      <c r="F68" s="1"/>
    </row>
    <row r="69" spans="2:6" x14ac:dyDescent="0.25">
      <c r="B69" s="1"/>
      <c r="C69" s="98">
        <v>96</v>
      </c>
      <c r="D69" s="126" t="s">
        <v>582</v>
      </c>
      <c r="E69" s="98"/>
      <c r="F69" s="1"/>
    </row>
    <row r="70" spans="2:6" x14ac:dyDescent="0.25">
      <c r="B70" s="1"/>
      <c r="C70" s="98">
        <v>159</v>
      </c>
      <c r="D70" s="125" t="s">
        <v>157</v>
      </c>
      <c r="E70" s="98"/>
      <c r="F70" s="1"/>
    </row>
    <row r="71" spans="2:6" x14ac:dyDescent="0.25">
      <c r="B71" s="1"/>
      <c r="C71" s="98">
        <v>15</v>
      </c>
      <c r="D71" s="125" t="s">
        <v>503</v>
      </c>
      <c r="E71" s="98"/>
      <c r="F71" s="1"/>
    </row>
    <row r="72" spans="2:6" x14ac:dyDescent="0.25">
      <c r="B72" s="1"/>
      <c r="C72" s="98">
        <v>21</v>
      </c>
      <c r="D72" s="125" t="s">
        <v>509</v>
      </c>
      <c r="E72" s="98"/>
      <c r="F72" s="1"/>
    </row>
    <row r="73" spans="2:6" x14ac:dyDescent="0.25">
      <c r="B73" s="1"/>
      <c r="C73" s="98">
        <v>83</v>
      </c>
      <c r="D73" s="125" t="s">
        <v>571</v>
      </c>
      <c r="E73" s="98"/>
      <c r="F73" s="1"/>
    </row>
    <row r="74" spans="2:6" x14ac:dyDescent="0.25">
      <c r="B74" s="1"/>
      <c r="C74" s="98">
        <v>53</v>
      </c>
      <c r="D74" s="125" t="s">
        <v>541</v>
      </c>
      <c r="E74" s="98"/>
      <c r="F74" s="1"/>
    </row>
    <row r="75" spans="2:6" x14ac:dyDescent="0.25">
      <c r="B75" s="1"/>
      <c r="C75" s="98">
        <v>54</v>
      </c>
      <c r="D75" s="125" t="s">
        <v>542</v>
      </c>
      <c r="E75" s="98"/>
      <c r="F75" s="1"/>
    </row>
    <row r="76" spans="2:6" x14ac:dyDescent="0.25">
      <c r="B76" s="1"/>
      <c r="C76" s="98">
        <v>176</v>
      </c>
      <c r="D76" s="125" t="s">
        <v>656</v>
      </c>
      <c r="E76" s="98"/>
      <c r="F76" s="1"/>
    </row>
    <row r="77" spans="2:6" x14ac:dyDescent="0.25">
      <c r="B77" s="1"/>
      <c r="C77" s="98">
        <v>151</v>
      </c>
      <c r="D77" s="125" t="s">
        <v>635</v>
      </c>
      <c r="E77" s="98"/>
      <c r="F77" s="1"/>
    </row>
    <row r="78" spans="2:6" x14ac:dyDescent="0.25">
      <c r="B78" s="1"/>
      <c r="C78" s="98">
        <v>32</v>
      </c>
      <c r="D78" s="125" t="s">
        <v>520</v>
      </c>
      <c r="E78" s="98"/>
      <c r="F78" s="1"/>
    </row>
    <row r="79" spans="2:6" x14ac:dyDescent="0.25">
      <c r="B79" s="1"/>
      <c r="C79" s="98">
        <v>44</v>
      </c>
      <c r="D79" s="125" t="s">
        <v>532</v>
      </c>
      <c r="E79" s="98"/>
      <c r="F79" s="1"/>
    </row>
    <row r="80" spans="2:6" x14ac:dyDescent="0.25">
      <c r="B80" s="1"/>
      <c r="C80" s="98">
        <v>8</v>
      </c>
      <c r="D80" s="125" t="s">
        <v>496</v>
      </c>
      <c r="E80" s="98"/>
      <c r="F80" s="1"/>
    </row>
    <row r="81" spans="2:6" x14ac:dyDescent="0.25">
      <c r="B81" s="1"/>
      <c r="C81" s="98">
        <v>28</v>
      </c>
      <c r="D81" s="125" t="s">
        <v>516</v>
      </c>
      <c r="E81" s="98"/>
      <c r="F81" s="1"/>
    </row>
    <row r="82" spans="2:6" x14ac:dyDescent="0.25">
      <c r="B82" s="1"/>
      <c r="C82" s="98">
        <v>70</v>
      </c>
      <c r="D82" s="125" t="s">
        <v>558</v>
      </c>
      <c r="E82" s="98"/>
      <c r="F82" s="1"/>
    </row>
    <row r="83" spans="2:6" x14ac:dyDescent="0.25">
      <c r="B83" s="1"/>
      <c r="C83" s="98">
        <v>52</v>
      </c>
      <c r="D83" s="125" t="s">
        <v>540</v>
      </c>
      <c r="E83" s="98"/>
      <c r="F83" s="1"/>
    </row>
    <row r="84" spans="2:6" x14ac:dyDescent="0.25">
      <c r="B84" s="1"/>
      <c r="C84" s="98">
        <v>33</v>
      </c>
      <c r="D84" s="125" t="s">
        <v>521</v>
      </c>
      <c r="E84" s="98"/>
      <c r="F84" s="1"/>
    </row>
    <row r="85" spans="2:6" x14ac:dyDescent="0.25">
      <c r="B85" s="1"/>
      <c r="C85" s="98">
        <v>46</v>
      </c>
      <c r="D85" s="125" t="s">
        <v>534</v>
      </c>
      <c r="E85" s="98"/>
      <c r="F85" s="1"/>
    </row>
    <row r="86" spans="2:6" x14ac:dyDescent="0.25">
      <c r="B86" s="1"/>
      <c r="C86" s="98">
        <v>178</v>
      </c>
      <c r="D86" s="125" t="s">
        <v>658</v>
      </c>
      <c r="E86" s="98"/>
      <c r="F86" s="1"/>
    </row>
    <row r="87" spans="2:6" x14ac:dyDescent="0.25">
      <c r="B87" s="1"/>
      <c r="C87" s="98">
        <v>11</v>
      </c>
      <c r="D87" s="125" t="s">
        <v>499</v>
      </c>
      <c r="E87" s="98"/>
      <c r="F87" s="1"/>
    </row>
    <row r="88" spans="2:6" x14ac:dyDescent="0.25">
      <c r="B88" s="1"/>
      <c r="C88" s="98">
        <v>64</v>
      </c>
      <c r="D88" s="128" t="s">
        <v>552</v>
      </c>
      <c r="E88" s="98"/>
      <c r="F88" s="1"/>
    </row>
    <row r="89" spans="2:6" x14ac:dyDescent="0.25">
      <c r="B89" s="1"/>
      <c r="C89" s="98">
        <v>123</v>
      </c>
      <c r="D89" s="125" t="s">
        <v>206</v>
      </c>
      <c r="E89" s="98"/>
      <c r="F89" s="1"/>
    </row>
    <row r="90" spans="2:6" x14ac:dyDescent="0.25">
      <c r="B90" s="1"/>
      <c r="C90" s="98">
        <v>39</v>
      </c>
      <c r="D90" s="125" t="s">
        <v>527</v>
      </c>
      <c r="E90" s="98"/>
      <c r="F90" s="1"/>
    </row>
    <row r="91" spans="2:6" x14ac:dyDescent="0.25">
      <c r="B91" s="1"/>
      <c r="C91" s="98">
        <v>72</v>
      </c>
      <c r="D91" s="125" t="s">
        <v>560</v>
      </c>
      <c r="E91" s="98"/>
      <c r="F91" s="1"/>
    </row>
    <row r="92" spans="2:6" x14ac:dyDescent="0.25">
      <c r="B92" s="1"/>
      <c r="C92" s="98">
        <v>22</v>
      </c>
      <c r="D92" s="125" t="s">
        <v>510</v>
      </c>
      <c r="E92" s="98"/>
      <c r="F92" s="1"/>
    </row>
    <row r="93" spans="2:6" x14ac:dyDescent="0.25">
      <c r="B93" s="1"/>
      <c r="C93" s="98">
        <v>177</v>
      </c>
      <c r="D93" s="125" t="s">
        <v>657</v>
      </c>
      <c r="E93" s="98"/>
      <c r="F93" s="1"/>
    </row>
    <row r="94" spans="2:6" x14ac:dyDescent="0.25">
      <c r="B94" s="1"/>
      <c r="C94" s="98">
        <v>152</v>
      </c>
      <c r="D94" s="125" t="s">
        <v>636</v>
      </c>
      <c r="E94" s="98"/>
      <c r="F94" s="1"/>
    </row>
    <row r="95" spans="2:6" x14ac:dyDescent="0.25">
      <c r="B95" s="1"/>
      <c r="C95" s="98">
        <v>144</v>
      </c>
      <c r="D95" s="125" t="s">
        <v>628</v>
      </c>
      <c r="E95" s="98"/>
      <c r="F95" s="1"/>
    </row>
    <row r="96" spans="2:6" x14ac:dyDescent="0.25">
      <c r="B96" s="1"/>
      <c r="C96" s="98">
        <v>150</v>
      </c>
      <c r="D96" s="125" t="s">
        <v>634</v>
      </c>
      <c r="E96" s="98"/>
      <c r="F96" s="1"/>
    </row>
    <row r="97" spans="2:6" x14ac:dyDescent="0.25">
      <c r="B97" s="1"/>
      <c r="C97" s="98">
        <v>121</v>
      </c>
      <c r="D97" s="125" t="s">
        <v>607</v>
      </c>
      <c r="E97" s="98"/>
      <c r="F97" s="1"/>
    </row>
    <row r="98" spans="2:6" x14ac:dyDescent="0.25">
      <c r="B98" s="1"/>
      <c r="C98" s="98">
        <v>120</v>
      </c>
      <c r="D98" s="125" t="s">
        <v>606</v>
      </c>
      <c r="E98" s="98"/>
      <c r="F98" s="1"/>
    </row>
    <row r="99" spans="2:6" x14ac:dyDescent="0.25">
      <c r="B99" s="1"/>
      <c r="C99" s="98">
        <v>165</v>
      </c>
      <c r="D99" s="125" t="s">
        <v>645</v>
      </c>
      <c r="E99" s="98"/>
      <c r="F99" s="1"/>
    </row>
    <row r="100" spans="2:6" x14ac:dyDescent="0.25">
      <c r="B100" s="1"/>
      <c r="C100" s="98">
        <v>19</v>
      </c>
      <c r="D100" s="125" t="s">
        <v>507</v>
      </c>
      <c r="E100" s="98"/>
      <c r="F100" s="1"/>
    </row>
    <row r="101" spans="2:6" x14ac:dyDescent="0.25">
      <c r="B101" s="1"/>
      <c r="C101" s="98">
        <v>180</v>
      </c>
      <c r="D101" s="125" t="s">
        <v>660</v>
      </c>
      <c r="E101" s="98"/>
      <c r="F101" s="1"/>
    </row>
    <row r="102" spans="2:6" x14ac:dyDescent="0.25">
      <c r="B102" s="1"/>
      <c r="C102" s="98">
        <v>84</v>
      </c>
      <c r="D102" s="125" t="s">
        <v>572</v>
      </c>
      <c r="E102" s="98"/>
      <c r="F102" s="1"/>
    </row>
    <row r="103" spans="2:6" x14ac:dyDescent="0.25">
      <c r="B103" s="1"/>
      <c r="C103" s="98">
        <v>56</v>
      </c>
      <c r="D103" s="125" t="s">
        <v>544</v>
      </c>
      <c r="E103" s="98"/>
      <c r="F103" s="1"/>
    </row>
    <row r="104" spans="2:6" x14ac:dyDescent="0.25">
      <c r="B104" s="1"/>
      <c r="C104" s="98">
        <v>42</v>
      </c>
      <c r="D104" s="125" t="s">
        <v>530</v>
      </c>
      <c r="E104" s="98"/>
      <c r="F104" s="1"/>
    </row>
    <row r="105" spans="2:6" x14ac:dyDescent="0.25">
      <c r="B105" s="1"/>
      <c r="C105" s="98">
        <v>40</v>
      </c>
      <c r="D105" s="125" t="s">
        <v>528</v>
      </c>
      <c r="E105" s="98"/>
      <c r="F105" s="1"/>
    </row>
    <row r="106" spans="2:6" x14ac:dyDescent="0.25">
      <c r="B106" s="1"/>
      <c r="C106" s="98">
        <v>112</v>
      </c>
      <c r="D106" s="125" t="s">
        <v>598</v>
      </c>
      <c r="E106" s="98"/>
      <c r="F106" s="1"/>
    </row>
    <row r="107" spans="2:6" x14ac:dyDescent="0.25">
      <c r="B107" s="1"/>
      <c r="C107" s="98">
        <v>85</v>
      </c>
      <c r="D107" s="125" t="s">
        <v>276</v>
      </c>
      <c r="E107" s="98"/>
      <c r="F107" s="1"/>
    </row>
    <row r="108" spans="2:6" x14ac:dyDescent="0.25">
      <c r="B108" s="1"/>
      <c r="C108" s="98">
        <v>154</v>
      </c>
      <c r="D108" s="125" t="s">
        <v>638</v>
      </c>
      <c r="E108" s="98"/>
      <c r="F108" s="1"/>
    </row>
    <row r="109" spans="2:6" x14ac:dyDescent="0.25">
      <c r="B109" s="1"/>
      <c r="C109" s="98">
        <v>158</v>
      </c>
      <c r="D109" s="125" t="s">
        <v>294</v>
      </c>
      <c r="E109" s="98"/>
      <c r="F109" s="1"/>
    </row>
    <row r="110" spans="2:6" x14ac:dyDescent="0.25">
      <c r="B110" s="1"/>
      <c r="C110" s="98">
        <v>131</v>
      </c>
      <c r="D110" s="125" t="s">
        <v>615</v>
      </c>
      <c r="E110" s="98"/>
      <c r="F110" s="1"/>
    </row>
    <row r="111" spans="2:6" x14ac:dyDescent="0.25">
      <c r="B111" s="1"/>
      <c r="C111" s="98">
        <v>130</v>
      </c>
      <c r="D111" s="125" t="s">
        <v>614</v>
      </c>
      <c r="E111" s="98"/>
      <c r="F111" s="1"/>
    </row>
    <row r="112" spans="2:6" x14ac:dyDescent="0.25">
      <c r="B112" s="1"/>
      <c r="C112" s="98">
        <v>170</v>
      </c>
      <c r="D112" s="125" t="s">
        <v>650</v>
      </c>
      <c r="E112" s="98"/>
      <c r="F112" s="1"/>
    </row>
    <row r="113" spans="2:6" x14ac:dyDescent="0.25">
      <c r="B113" s="1"/>
      <c r="C113" s="98">
        <v>182</v>
      </c>
      <c r="D113" s="98" t="s">
        <v>720</v>
      </c>
      <c r="E113" s="98"/>
      <c r="F113" s="1"/>
    </row>
    <row r="114" spans="2:6" x14ac:dyDescent="0.25">
      <c r="B114" s="1"/>
      <c r="C114" s="98">
        <v>102</v>
      </c>
      <c r="D114" s="126" t="s">
        <v>588</v>
      </c>
      <c r="E114" s="98"/>
      <c r="F114" s="1"/>
    </row>
    <row r="115" spans="2:6" x14ac:dyDescent="0.25">
      <c r="B115" s="1"/>
      <c r="C115" s="98">
        <v>101</v>
      </c>
      <c r="D115" s="126" t="s">
        <v>587</v>
      </c>
      <c r="E115" s="98"/>
      <c r="F115" s="1"/>
    </row>
    <row r="116" spans="2:6" x14ac:dyDescent="0.25">
      <c r="B116" s="1"/>
      <c r="C116" s="98">
        <v>114</v>
      </c>
      <c r="D116" s="126" t="s">
        <v>600</v>
      </c>
      <c r="E116" s="98"/>
      <c r="F116" s="1"/>
    </row>
    <row r="117" spans="2:6" x14ac:dyDescent="0.25">
      <c r="B117" s="1"/>
      <c r="C117" s="98">
        <v>98</v>
      </c>
      <c r="D117" s="126" t="s">
        <v>584</v>
      </c>
      <c r="E117" s="98"/>
      <c r="F117" s="1"/>
    </row>
    <row r="118" spans="2:6" x14ac:dyDescent="0.25">
      <c r="B118" s="1"/>
      <c r="C118" s="98">
        <v>169</v>
      </c>
      <c r="D118" s="125" t="s">
        <v>649</v>
      </c>
      <c r="E118" s="98"/>
      <c r="F118" s="1"/>
    </row>
    <row r="119" spans="2:6" x14ac:dyDescent="0.25">
      <c r="B119" s="1"/>
      <c r="C119" s="98">
        <v>168</v>
      </c>
      <c r="D119" s="125" t="s">
        <v>648</v>
      </c>
      <c r="E119" s="98"/>
      <c r="F119" s="1"/>
    </row>
    <row r="120" spans="2:6" x14ac:dyDescent="0.25">
      <c r="B120" s="1"/>
      <c r="C120" s="98">
        <v>38</v>
      </c>
      <c r="D120" s="125" t="s">
        <v>526</v>
      </c>
      <c r="E120" s="98"/>
      <c r="F120" s="1"/>
    </row>
    <row r="121" spans="2:6" x14ac:dyDescent="0.25">
      <c r="B121" s="1"/>
      <c r="C121" s="98">
        <v>164</v>
      </c>
      <c r="D121" s="125" t="s">
        <v>644</v>
      </c>
      <c r="E121" s="98"/>
      <c r="F121" s="1"/>
    </row>
    <row r="122" spans="2:6" x14ac:dyDescent="0.25">
      <c r="B122" s="1"/>
      <c r="C122" s="98">
        <v>92</v>
      </c>
      <c r="D122" s="126" t="s">
        <v>578</v>
      </c>
      <c r="E122" s="98"/>
      <c r="F122" s="1"/>
    </row>
    <row r="123" spans="2:6" x14ac:dyDescent="0.25">
      <c r="B123" s="1"/>
      <c r="C123" s="98">
        <v>105</v>
      </c>
      <c r="D123" s="125" t="s">
        <v>591</v>
      </c>
      <c r="E123" s="98"/>
      <c r="F123" s="1"/>
    </row>
    <row r="124" spans="2:6" x14ac:dyDescent="0.25">
      <c r="B124" s="1"/>
      <c r="C124" s="98">
        <v>104</v>
      </c>
      <c r="D124" s="128" t="s">
        <v>590</v>
      </c>
      <c r="E124" s="98"/>
      <c r="F124" s="1"/>
    </row>
    <row r="125" spans="2:6" x14ac:dyDescent="0.25">
      <c r="B125" s="1"/>
      <c r="C125" s="98">
        <v>86</v>
      </c>
      <c r="D125" s="125" t="s">
        <v>573</v>
      </c>
      <c r="E125" s="98"/>
      <c r="F125" s="1"/>
    </row>
    <row r="126" spans="2:6" x14ac:dyDescent="0.25">
      <c r="B126" s="1"/>
      <c r="C126" s="98">
        <v>93</v>
      </c>
      <c r="D126" s="126" t="s">
        <v>579</v>
      </c>
      <c r="E126" s="98"/>
      <c r="F126" s="1"/>
    </row>
    <row r="127" spans="2:6" x14ac:dyDescent="0.25">
      <c r="B127" s="1"/>
      <c r="C127" s="98">
        <v>173</v>
      </c>
      <c r="D127" s="125" t="s">
        <v>653</v>
      </c>
      <c r="E127" s="98"/>
      <c r="F127" s="1"/>
    </row>
    <row r="128" spans="2:6" x14ac:dyDescent="0.25">
      <c r="B128" s="1"/>
      <c r="C128" s="98">
        <v>26</v>
      </c>
      <c r="D128" s="127" t="s">
        <v>514</v>
      </c>
      <c r="E128" s="98"/>
      <c r="F128" s="1"/>
    </row>
    <row r="129" spans="2:6" x14ac:dyDescent="0.25">
      <c r="B129" s="1"/>
      <c r="C129" s="98">
        <v>6</v>
      </c>
      <c r="D129" s="125" t="s">
        <v>494</v>
      </c>
      <c r="E129" s="98"/>
      <c r="F129" s="1"/>
    </row>
    <row r="130" spans="2:6" x14ac:dyDescent="0.25">
      <c r="B130" s="1"/>
      <c r="C130" s="98">
        <v>106</v>
      </c>
      <c r="D130" s="125" t="s">
        <v>592</v>
      </c>
      <c r="E130" s="98"/>
      <c r="F130" s="1"/>
    </row>
    <row r="131" spans="2:6" x14ac:dyDescent="0.25">
      <c r="B131" s="1"/>
      <c r="C131" s="98">
        <v>119</v>
      </c>
      <c r="D131" s="125" t="s">
        <v>605</v>
      </c>
      <c r="E131" s="98"/>
      <c r="F131" s="1"/>
    </row>
    <row r="132" spans="2:6" x14ac:dyDescent="0.25">
      <c r="B132" s="1"/>
      <c r="C132" s="98">
        <v>29</v>
      </c>
      <c r="D132" s="125" t="s">
        <v>517</v>
      </c>
      <c r="E132" s="98"/>
      <c r="F132" s="1"/>
    </row>
    <row r="133" spans="2:6" x14ac:dyDescent="0.25">
      <c r="B133" s="1"/>
      <c r="C133" s="98">
        <v>107</v>
      </c>
      <c r="D133" s="125" t="s">
        <v>593</v>
      </c>
      <c r="E133" s="98"/>
      <c r="F133" s="1"/>
    </row>
    <row r="134" spans="2:6" x14ac:dyDescent="0.25">
      <c r="B134" s="1"/>
      <c r="C134" s="98">
        <v>111</v>
      </c>
      <c r="D134" s="125" t="s">
        <v>597</v>
      </c>
      <c r="E134" s="98"/>
      <c r="F134" s="1"/>
    </row>
    <row r="135" spans="2:6" x14ac:dyDescent="0.25">
      <c r="B135" s="1"/>
      <c r="C135" s="98">
        <v>61</v>
      </c>
      <c r="D135" s="125" t="s">
        <v>549</v>
      </c>
      <c r="E135" s="98"/>
      <c r="F135" s="1"/>
    </row>
    <row r="136" spans="2:6" x14ac:dyDescent="0.25">
      <c r="B136" s="1"/>
      <c r="C136" s="98">
        <v>65</v>
      </c>
      <c r="D136" s="128" t="s">
        <v>553</v>
      </c>
      <c r="E136" s="98"/>
      <c r="F136" s="1"/>
    </row>
    <row r="137" spans="2:6" x14ac:dyDescent="0.25">
      <c r="B137" s="1"/>
      <c r="C137" s="98">
        <v>94</v>
      </c>
      <c r="D137" s="126" t="s">
        <v>580</v>
      </c>
      <c r="E137" s="98"/>
      <c r="F137" s="1"/>
    </row>
    <row r="138" spans="2:6" x14ac:dyDescent="0.25">
      <c r="B138" s="1"/>
      <c r="C138" s="98">
        <v>108</v>
      </c>
      <c r="D138" s="125" t="s">
        <v>594</v>
      </c>
      <c r="E138" s="98"/>
      <c r="F138" s="1"/>
    </row>
    <row r="139" spans="2:6" x14ac:dyDescent="0.25">
      <c r="B139" s="1"/>
      <c r="C139" s="98">
        <v>2</v>
      </c>
      <c r="D139" s="125" t="s">
        <v>490</v>
      </c>
      <c r="E139" s="98"/>
      <c r="F139" s="1"/>
    </row>
    <row r="140" spans="2:6" x14ac:dyDescent="0.25">
      <c r="B140" s="1"/>
      <c r="C140" s="98">
        <v>110</v>
      </c>
      <c r="D140" s="125" t="s">
        <v>596</v>
      </c>
      <c r="E140" s="98"/>
      <c r="F140" s="1"/>
    </row>
    <row r="141" spans="2:6" x14ac:dyDescent="0.25">
      <c r="B141" s="1"/>
      <c r="C141" s="98">
        <v>109</v>
      </c>
      <c r="D141" s="125" t="s">
        <v>595</v>
      </c>
      <c r="E141" s="98"/>
      <c r="F141" s="1"/>
    </row>
    <row r="142" spans="2:6" x14ac:dyDescent="0.25">
      <c r="B142" s="1"/>
      <c r="C142" s="98">
        <v>115</v>
      </c>
      <c r="D142" s="125" t="s">
        <v>601</v>
      </c>
      <c r="E142" s="98"/>
      <c r="F142" s="1"/>
    </row>
    <row r="143" spans="2:6" x14ac:dyDescent="0.25">
      <c r="B143" s="1"/>
      <c r="C143" s="98">
        <v>95</v>
      </c>
      <c r="D143" s="126" t="s">
        <v>581</v>
      </c>
      <c r="E143" s="98"/>
      <c r="F143" s="1"/>
    </row>
    <row r="144" spans="2:6" x14ac:dyDescent="0.25">
      <c r="B144" s="1"/>
      <c r="C144" s="98">
        <v>147</v>
      </c>
      <c r="D144" s="125" t="s">
        <v>631</v>
      </c>
      <c r="E144" s="98"/>
      <c r="F144" s="1"/>
    </row>
    <row r="145" spans="2:6" x14ac:dyDescent="0.25">
      <c r="B145" s="1"/>
      <c r="C145" s="98">
        <v>128</v>
      </c>
      <c r="D145" s="125" t="s">
        <v>361</v>
      </c>
      <c r="E145" s="98"/>
      <c r="F145" s="1"/>
    </row>
    <row r="146" spans="2:6" x14ac:dyDescent="0.25">
      <c r="B146" s="1"/>
      <c r="C146" s="98">
        <v>100</v>
      </c>
      <c r="D146" s="126" t="s">
        <v>586</v>
      </c>
      <c r="E146" s="98"/>
      <c r="F146" s="1"/>
    </row>
    <row r="147" spans="2:6" x14ac:dyDescent="0.25">
      <c r="B147" s="1"/>
      <c r="C147" s="98">
        <v>36</v>
      </c>
      <c r="D147" s="125" t="s">
        <v>524</v>
      </c>
      <c r="E147" s="98"/>
      <c r="F147" s="1"/>
    </row>
    <row r="148" spans="2:6" x14ac:dyDescent="0.25">
      <c r="B148" s="1"/>
      <c r="C148" s="98">
        <v>122</v>
      </c>
      <c r="D148" s="125" t="s">
        <v>608</v>
      </c>
      <c r="E148" s="98"/>
      <c r="F148" s="1"/>
    </row>
    <row r="149" spans="2:6" x14ac:dyDescent="0.25">
      <c r="B149" s="1"/>
      <c r="C149" s="98">
        <v>87</v>
      </c>
      <c r="D149" s="125" t="s">
        <v>574</v>
      </c>
      <c r="E149" s="98"/>
      <c r="F149" s="1"/>
    </row>
    <row r="150" spans="2:6" x14ac:dyDescent="0.25">
      <c r="B150" s="1"/>
      <c r="C150" s="98">
        <v>59</v>
      </c>
      <c r="D150" s="125" t="s">
        <v>547</v>
      </c>
      <c r="E150" s="98"/>
      <c r="F150" s="1"/>
    </row>
    <row r="151" spans="2:6" x14ac:dyDescent="0.25">
      <c r="B151" s="1"/>
      <c r="C151" s="98">
        <v>10</v>
      </c>
      <c r="D151" s="125" t="s">
        <v>498</v>
      </c>
      <c r="E151" s="98"/>
      <c r="F151" s="1"/>
    </row>
    <row r="152" spans="2:6" x14ac:dyDescent="0.25">
      <c r="B152" s="1"/>
      <c r="C152" s="98">
        <v>116</v>
      </c>
      <c r="D152" s="126" t="s">
        <v>602</v>
      </c>
      <c r="E152" s="98"/>
      <c r="F152" s="1"/>
    </row>
    <row r="153" spans="2:6" x14ac:dyDescent="0.25">
      <c r="B153" s="1"/>
      <c r="C153" s="98">
        <v>34</v>
      </c>
      <c r="D153" s="125" t="s">
        <v>522</v>
      </c>
      <c r="E153" s="98"/>
      <c r="F153" s="1"/>
    </row>
    <row r="154" spans="2:6" x14ac:dyDescent="0.25">
      <c r="B154" s="1"/>
      <c r="C154" s="98">
        <v>69</v>
      </c>
      <c r="D154" s="125" t="s">
        <v>557</v>
      </c>
      <c r="E154" s="98"/>
      <c r="F154" s="1"/>
    </row>
    <row r="155" spans="2:6" x14ac:dyDescent="0.25">
      <c r="B155" s="1"/>
      <c r="C155" s="98">
        <v>51</v>
      </c>
      <c r="D155" s="125" t="s">
        <v>539</v>
      </c>
      <c r="E155" s="98"/>
      <c r="F155" s="1"/>
    </row>
    <row r="156" spans="2:6" x14ac:dyDescent="0.25">
      <c r="B156" s="1"/>
      <c r="C156" s="98">
        <v>172</v>
      </c>
      <c r="D156" s="125" t="s">
        <v>652</v>
      </c>
      <c r="E156" s="98"/>
      <c r="F156" s="1"/>
    </row>
    <row r="157" spans="2:6" x14ac:dyDescent="0.25">
      <c r="B157" s="1"/>
      <c r="C157" s="98">
        <v>171</v>
      </c>
      <c r="D157" s="125" t="s">
        <v>651</v>
      </c>
      <c r="E157" s="98"/>
      <c r="F157" s="1"/>
    </row>
    <row r="158" spans="2:6" x14ac:dyDescent="0.25">
      <c r="B158" s="1"/>
      <c r="C158" s="98">
        <v>31</v>
      </c>
      <c r="D158" s="125" t="s">
        <v>519</v>
      </c>
      <c r="E158" s="98"/>
      <c r="F158" s="1"/>
    </row>
    <row r="159" spans="2:6" x14ac:dyDescent="0.25">
      <c r="B159" s="1"/>
      <c r="C159" s="98">
        <v>174</v>
      </c>
      <c r="D159" s="125" t="s">
        <v>654</v>
      </c>
      <c r="E159" s="98"/>
      <c r="F159" s="1"/>
    </row>
    <row r="160" spans="2:6" x14ac:dyDescent="0.25">
      <c r="B160" s="1"/>
      <c r="C160" s="98">
        <v>118</v>
      </c>
      <c r="D160" s="126" t="s">
        <v>604</v>
      </c>
      <c r="E160" s="98"/>
      <c r="F160" s="1"/>
    </row>
    <row r="161" spans="2:6" x14ac:dyDescent="0.25">
      <c r="B161" s="1"/>
      <c r="C161" s="98">
        <v>103</v>
      </c>
      <c r="D161" s="126" t="s">
        <v>589</v>
      </c>
      <c r="E161" s="98"/>
      <c r="F161" s="1"/>
    </row>
    <row r="162" spans="2:6" x14ac:dyDescent="0.25">
      <c r="B162" s="1"/>
      <c r="C162" s="98">
        <v>48</v>
      </c>
      <c r="D162" s="125" t="s">
        <v>536</v>
      </c>
      <c r="E162" s="98"/>
      <c r="F162" s="1"/>
    </row>
    <row r="163" spans="2:6" x14ac:dyDescent="0.25">
      <c r="B163" s="1"/>
      <c r="C163" s="98">
        <v>20</v>
      </c>
      <c r="D163" s="125" t="s">
        <v>508</v>
      </c>
      <c r="E163" s="98"/>
      <c r="F163" s="1"/>
    </row>
    <row r="164" spans="2:6" x14ac:dyDescent="0.25">
      <c r="B164" s="1"/>
      <c r="C164" s="98">
        <v>68</v>
      </c>
      <c r="D164" s="125" t="s">
        <v>556</v>
      </c>
      <c r="E164" s="98"/>
      <c r="F164" s="1"/>
    </row>
    <row r="165" spans="2:6" x14ac:dyDescent="0.25">
      <c r="B165" s="1"/>
      <c r="C165" s="98">
        <v>63</v>
      </c>
      <c r="D165" s="128" t="s">
        <v>551</v>
      </c>
      <c r="E165" s="98"/>
      <c r="F165" s="1"/>
    </row>
    <row r="166" spans="2:6" x14ac:dyDescent="0.25">
      <c r="B166" s="1"/>
      <c r="C166" s="98">
        <v>62</v>
      </c>
      <c r="D166" s="125" t="s">
        <v>550</v>
      </c>
      <c r="E166" s="98"/>
      <c r="F166" s="1"/>
    </row>
    <row r="167" spans="2:6" x14ac:dyDescent="0.25">
      <c r="B167" s="1"/>
      <c r="C167" s="98">
        <v>27</v>
      </c>
      <c r="D167" s="125" t="s">
        <v>515</v>
      </c>
      <c r="E167" s="98"/>
      <c r="F167" s="1"/>
    </row>
    <row r="168" spans="2:6" x14ac:dyDescent="0.25">
      <c r="B168" s="1"/>
      <c r="C168" s="98">
        <v>137</v>
      </c>
      <c r="D168" s="125" t="s">
        <v>621</v>
      </c>
      <c r="E168" s="98"/>
      <c r="F168" s="1"/>
    </row>
    <row r="169" spans="2:6" x14ac:dyDescent="0.25">
      <c r="B169" s="1"/>
      <c r="C169" s="98">
        <v>126</v>
      </c>
      <c r="D169" s="125" t="s">
        <v>611</v>
      </c>
      <c r="E169" s="98"/>
      <c r="F169" s="1"/>
    </row>
    <row r="170" spans="2:6" x14ac:dyDescent="0.25">
      <c r="B170" s="1"/>
      <c r="C170" s="98">
        <v>127</v>
      </c>
      <c r="D170" s="125" t="s">
        <v>612</v>
      </c>
      <c r="E170" s="98"/>
      <c r="F170" s="1"/>
    </row>
    <row r="171" spans="2:6" x14ac:dyDescent="0.25">
      <c r="B171" s="1"/>
      <c r="C171" s="98">
        <v>124</v>
      </c>
      <c r="D171" s="125" t="s">
        <v>609</v>
      </c>
      <c r="E171" s="98"/>
      <c r="F171" s="1"/>
    </row>
    <row r="172" spans="2:6" x14ac:dyDescent="0.25">
      <c r="B172" s="1"/>
      <c r="C172" s="98">
        <v>88</v>
      </c>
      <c r="D172" s="125" t="s">
        <v>575</v>
      </c>
      <c r="E172" s="98"/>
      <c r="F172" s="1"/>
    </row>
    <row r="173" spans="2:6" x14ac:dyDescent="0.25">
      <c r="B173" s="1"/>
      <c r="C173" s="98">
        <v>71</v>
      </c>
      <c r="D173" s="125" t="s">
        <v>559</v>
      </c>
      <c r="E173" s="98"/>
      <c r="F173" s="1"/>
    </row>
    <row r="174" spans="2:6" x14ac:dyDescent="0.25">
      <c r="B174" s="1"/>
      <c r="C174" s="98">
        <v>60</v>
      </c>
      <c r="D174" s="125" t="s">
        <v>548</v>
      </c>
      <c r="E174" s="98"/>
      <c r="F174" s="1"/>
    </row>
    <row r="175" spans="2:6" x14ac:dyDescent="0.25">
      <c r="B175" s="1"/>
      <c r="C175" s="98">
        <v>30</v>
      </c>
      <c r="D175" s="125" t="s">
        <v>518</v>
      </c>
      <c r="E175" s="98"/>
      <c r="F175" s="1"/>
    </row>
    <row r="176" spans="2:6" x14ac:dyDescent="0.25">
      <c r="B176" s="1"/>
      <c r="C176" s="98">
        <v>55</v>
      </c>
      <c r="D176" s="125" t="s">
        <v>543</v>
      </c>
      <c r="E176" s="98"/>
      <c r="F176" s="1"/>
    </row>
    <row r="177" spans="2:6" x14ac:dyDescent="0.25">
      <c r="B177" s="1"/>
      <c r="C177" s="98">
        <v>97</v>
      </c>
      <c r="D177" s="126" t="s">
        <v>583</v>
      </c>
      <c r="E177" s="98"/>
      <c r="F177" s="1"/>
    </row>
    <row r="178" spans="2:6" x14ac:dyDescent="0.25">
      <c r="B178" s="1"/>
      <c r="C178" s="98">
        <v>183</v>
      </c>
      <c r="D178" s="98" t="s">
        <v>721</v>
      </c>
      <c r="E178" s="98"/>
      <c r="F178" s="1"/>
    </row>
    <row r="179" spans="2:6" x14ac:dyDescent="0.25">
      <c r="B179" s="1"/>
      <c r="C179" s="98">
        <v>66</v>
      </c>
      <c r="D179" s="128" t="s">
        <v>554</v>
      </c>
      <c r="E179" s="98"/>
      <c r="F179" s="1"/>
    </row>
    <row r="180" spans="2:6" x14ac:dyDescent="0.25">
      <c r="B180" s="1"/>
      <c r="C180" s="98">
        <v>166</v>
      </c>
      <c r="D180" s="125" t="s">
        <v>646</v>
      </c>
      <c r="E180" s="98"/>
      <c r="F180" s="1"/>
    </row>
    <row r="181" spans="2:6" x14ac:dyDescent="0.25">
      <c r="B181" s="1"/>
      <c r="C181" s="98">
        <v>89</v>
      </c>
      <c r="D181" s="125" t="s">
        <v>454</v>
      </c>
      <c r="E181" s="98"/>
      <c r="F181" s="1"/>
    </row>
    <row r="182" spans="2:6" x14ac:dyDescent="0.25">
      <c r="B182" s="1"/>
      <c r="C182" s="98">
        <v>23</v>
      </c>
      <c r="D182" s="125" t="s">
        <v>511</v>
      </c>
      <c r="E182" s="98"/>
      <c r="F182" s="1"/>
    </row>
    <row r="183" spans="2:6" x14ac:dyDescent="0.25">
      <c r="B183" s="1"/>
      <c r="C183" s="98">
        <v>141</v>
      </c>
      <c r="D183" s="125" t="s">
        <v>625</v>
      </c>
      <c r="E183" s="98"/>
      <c r="F183" s="1"/>
    </row>
    <row r="184" spans="2:6" x14ac:dyDescent="0.25">
      <c r="B184" s="1"/>
      <c r="C184" s="98">
        <v>24</v>
      </c>
      <c r="D184" s="127" t="s">
        <v>512</v>
      </c>
      <c r="E184" s="98"/>
      <c r="F184" s="1"/>
    </row>
    <row r="185" spans="2:6" x14ac:dyDescent="0.25">
      <c r="B185" s="1"/>
      <c r="C185" s="98">
        <v>153</v>
      </c>
      <c r="D185" s="125" t="s">
        <v>637</v>
      </c>
      <c r="E185" s="98"/>
      <c r="F185" s="1"/>
    </row>
    <row r="186" spans="2:6" x14ac:dyDescent="0.25">
      <c r="B186" s="1"/>
      <c r="C186" s="98">
        <v>90</v>
      </c>
      <c r="D186" s="126" t="s">
        <v>576</v>
      </c>
      <c r="E186" s="98"/>
      <c r="F186" s="1"/>
    </row>
    <row r="187" spans="2:6" x14ac:dyDescent="0.25">
      <c r="B187" s="1"/>
      <c r="C187" s="98">
        <v>125</v>
      </c>
      <c r="D187" s="125" t="s">
        <v>610</v>
      </c>
      <c r="E187" s="98"/>
      <c r="F187" s="1"/>
    </row>
    <row r="188" spans="2:6" x14ac:dyDescent="0.25">
      <c r="B188" s="1"/>
      <c r="C188" s="98">
        <v>9</v>
      </c>
      <c r="D188" s="125" t="s">
        <v>497</v>
      </c>
      <c r="E188" s="98"/>
      <c r="F188" s="1"/>
    </row>
    <row r="189" spans="2:6" x14ac:dyDescent="0.25">
      <c r="B189" s="1"/>
      <c r="C189" s="98">
        <v>184</v>
      </c>
      <c r="D189" s="98"/>
      <c r="E189" s="98"/>
      <c r="F189" s="1"/>
    </row>
    <row r="190" spans="2:6" x14ac:dyDescent="0.25">
      <c r="B190" s="1"/>
      <c r="C190" s="98">
        <v>185</v>
      </c>
      <c r="D190" s="98"/>
      <c r="E190" s="98"/>
      <c r="F190" s="1"/>
    </row>
    <row r="191" spans="2:6" x14ac:dyDescent="0.25">
      <c r="B191" s="1"/>
      <c r="C191" s="98">
        <v>186</v>
      </c>
      <c r="D191" s="98"/>
      <c r="E191" s="98"/>
      <c r="F191" s="1"/>
    </row>
    <row r="192" spans="2:6" x14ac:dyDescent="0.25">
      <c r="B192" s="1"/>
      <c r="C192" s="98">
        <v>187</v>
      </c>
      <c r="D192" s="98"/>
      <c r="E192" s="98"/>
      <c r="F192" s="1"/>
    </row>
    <row r="193" spans="2:6" x14ac:dyDescent="0.25">
      <c r="B193" s="1"/>
      <c r="C193" s="98">
        <v>188</v>
      </c>
      <c r="D193" s="98"/>
      <c r="E193" s="98"/>
      <c r="F193" s="1"/>
    </row>
    <row r="194" spans="2:6" x14ac:dyDescent="0.25">
      <c r="B194" s="1"/>
      <c r="C194" s="98">
        <v>189</v>
      </c>
      <c r="D194" s="98"/>
      <c r="E194" s="98"/>
      <c r="F194" s="1"/>
    </row>
    <row r="195" spans="2:6" x14ac:dyDescent="0.25">
      <c r="B195" s="1"/>
      <c r="C195" s="98">
        <v>190</v>
      </c>
      <c r="D195" s="98"/>
      <c r="E195" s="98"/>
      <c r="F195" s="1"/>
    </row>
    <row r="196" spans="2:6" x14ac:dyDescent="0.25">
      <c r="B196" s="1"/>
      <c r="C196" s="98">
        <v>191</v>
      </c>
      <c r="D196" s="98"/>
      <c r="E196" s="98"/>
      <c r="F196" s="1"/>
    </row>
    <row r="197" spans="2:6" x14ac:dyDescent="0.25">
      <c r="B197" s="1"/>
      <c r="C197" s="98">
        <v>192</v>
      </c>
      <c r="D197" s="98"/>
      <c r="E197" s="98"/>
      <c r="F197" s="1"/>
    </row>
    <row r="198" spans="2:6" x14ac:dyDescent="0.25">
      <c r="B198" s="1"/>
      <c r="C198" s="98">
        <v>193</v>
      </c>
      <c r="D198" s="98"/>
      <c r="E198" s="98"/>
      <c r="F198" s="1"/>
    </row>
    <row r="199" spans="2:6" x14ac:dyDescent="0.25">
      <c r="B199" s="1"/>
      <c r="C199" s="98">
        <v>194</v>
      </c>
      <c r="D199" s="98"/>
      <c r="E199" s="98"/>
      <c r="F199" s="1"/>
    </row>
    <row r="200" spans="2:6" x14ac:dyDescent="0.25">
      <c r="B200" s="1"/>
      <c r="C200" s="98">
        <v>195</v>
      </c>
      <c r="D200" s="98"/>
      <c r="E200" s="98"/>
      <c r="F200" s="1"/>
    </row>
    <row r="201" spans="2:6" x14ac:dyDescent="0.25">
      <c r="B201" s="1"/>
      <c r="C201" s="98">
        <v>196</v>
      </c>
      <c r="D201" s="98"/>
      <c r="E201" s="98"/>
      <c r="F201" s="1"/>
    </row>
    <row r="202" spans="2:6" x14ac:dyDescent="0.25">
      <c r="B202" s="1"/>
      <c r="C202" s="98">
        <v>197</v>
      </c>
      <c r="D202" s="98"/>
      <c r="E202" s="98"/>
      <c r="F202" s="1"/>
    </row>
    <row r="203" spans="2:6" x14ac:dyDescent="0.25">
      <c r="B203" s="1"/>
      <c r="C203" s="98">
        <v>198</v>
      </c>
      <c r="D203" s="98"/>
      <c r="E203" s="98"/>
      <c r="F203" s="1"/>
    </row>
    <row r="204" spans="2:6" x14ac:dyDescent="0.25">
      <c r="B204" s="1"/>
      <c r="C204" s="98">
        <v>199</v>
      </c>
      <c r="D204" s="98"/>
      <c r="E204" s="98"/>
      <c r="F204" s="1"/>
    </row>
    <row r="205" spans="2:6" x14ac:dyDescent="0.25">
      <c r="B205" s="1"/>
      <c r="C205" s="98">
        <v>200</v>
      </c>
      <c r="D205" s="98"/>
      <c r="E205" s="98"/>
      <c r="F205" s="1"/>
    </row>
    <row r="206" spans="2:6" x14ac:dyDescent="0.25">
      <c r="B206" s="1"/>
      <c r="C206" s="1"/>
      <c r="D206" s="1"/>
      <c r="E206" s="1"/>
      <c r="F206" s="1"/>
    </row>
  </sheetData>
  <sheetProtection algorithmName="SHA-512" hashValue="8WNFeFlbgfJaebV7wZ9dUXxXadyg5+ZekO9MNhz36F88d47mafcB9M0wnHIicbep9QkTxozmdHYmL+7JB3PqSg==" saltValue="SUHXSMVkLAm4oZju5fr4F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Ingredientes'!$D$7:$D$60</xm:f>
          </x14:formula1>
          <xm:sqref>E8:E205</xm:sqref>
        </x14:dataValidation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9" sqref="D9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5" t="s">
        <v>663</v>
      </c>
      <c r="D2" s="135"/>
      <c r="E2" s="135"/>
      <c r="F2" s="135"/>
      <c r="G2" s="1"/>
    </row>
    <row r="3" spans="2:7" s="2" customFormat="1" ht="27" customHeight="1" x14ac:dyDescent="0.25">
      <c r="B3" s="137"/>
      <c r="C3" s="137"/>
      <c r="D3" s="137"/>
      <c r="E3" s="137"/>
      <c r="F3" s="137"/>
      <c r="G3" s="137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8" t="s">
        <v>533</v>
      </c>
      <c r="D6" s="129"/>
      <c r="E6" s="130"/>
      <c r="F6" s="98"/>
      <c r="G6" s="1"/>
    </row>
    <row r="7" spans="2:7" s="2" customFormat="1" x14ac:dyDescent="0.25">
      <c r="B7" s="1"/>
      <c r="C7" s="98" t="s">
        <v>21</v>
      </c>
      <c r="D7" s="129"/>
      <c r="E7" s="130"/>
      <c r="F7" s="98"/>
      <c r="G7" s="1"/>
    </row>
    <row r="8" spans="2:7" s="2" customFormat="1" x14ac:dyDescent="0.25">
      <c r="B8" s="1"/>
      <c r="C8" s="98" t="s">
        <v>622</v>
      </c>
      <c r="D8" s="129"/>
      <c r="E8" s="130"/>
      <c r="F8" s="98"/>
      <c r="G8" s="1"/>
    </row>
    <row r="9" spans="2:7" s="2" customFormat="1" x14ac:dyDescent="0.25">
      <c r="B9" s="1"/>
      <c r="C9" s="98"/>
      <c r="D9" s="129"/>
      <c r="E9" s="130"/>
      <c r="F9" s="98"/>
      <c r="G9" s="1"/>
    </row>
    <row r="10" spans="2:7" s="2" customFormat="1" x14ac:dyDescent="0.25">
      <c r="B10" s="1"/>
      <c r="C10" s="98"/>
      <c r="D10" s="129"/>
      <c r="E10" s="130"/>
      <c r="F10" s="98"/>
      <c r="G10" s="1"/>
    </row>
    <row r="11" spans="2:7" s="2" customFormat="1" x14ac:dyDescent="0.25">
      <c r="B11" s="1"/>
      <c r="C11" s="98"/>
      <c r="D11" s="129"/>
      <c r="E11" s="130"/>
      <c r="F11" s="98"/>
      <c r="G11" s="1"/>
    </row>
    <row r="12" spans="2:7" s="2" customFormat="1" x14ac:dyDescent="0.25">
      <c r="B12" s="1"/>
      <c r="C12" s="98"/>
      <c r="D12" s="129"/>
      <c r="E12" s="130"/>
      <c r="F12" s="98"/>
      <c r="G12" s="1"/>
    </row>
    <row r="13" spans="2:7" s="2" customFormat="1" x14ac:dyDescent="0.25">
      <c r="B13" s="1"/>
      <c r="C13" s="98"/>
      <c r="D13" s="129"/>
      <c r="E13" s="130"/>
      <c r="F13" s="98"/>
      <c r="G13" s="1"/>
    </row>
    <row r="14" spans="2:7" s="2" customFormat="1" x14ac:dyDescent="0.25">
      <c r="B14" s="1"/>
      <c r="C14" s="98"/>
      <c r="D14" s="129"/>
      <c r="E14" s="130"/>
      <c r="F14" s="98"/>
      <c r="G14" s="1"/>
    </row>
    <row r="15" spans="2:7" s="2" customFormat="1" x14ac:dyDescent="0.25">
      <c r="B15" s="1"/>
      <c r="C15" s="98"/>
      <c r="D15" s="129"/>
      <c r="E15" s="130"/>
      <c r="F15" s="98"/>
      <c r="G15" s="1"/>
    </row>
    <row r="16" spans="2:7" s="2" customFormat="1" x14ac:dyDescent="0.25">
      <c r="B16" s="1"/>
      <c r="C16" s="98"/>
      <c r="D16" s="129"/>
      <c r="E16" s="130"/>
      <c r="F16" s="98"/>
      <c r="G16" s="1"/>
    </row>
    <row r="17" spans="2:7" s="2" customFormat="1" x14ac:dyDescent="0.25">
      <c r="B17" s="1"/>
      <c r="C17" s="98"/>
      <c r="D17" s="129"/>
      <c r="E17" s="130"/>
      <c r="F17" s="98"/>
      <c r="G17" s="1"/>
    </row>
    <row r="18" spans="2:7" s="2" customFormat="1" x14ac:dyDescent="0.25">
      <c r="B18" s="1"/>
      <c r="C18" s="98"/>
      <c r="D18" s="129"/>
      <c r="E18" s="130"/>
      <c r="F18" s="98"/>
      <c r="G18" s="1"/>
    </row>
    <row r="19" spans="2:7" s="2" customFormat="1" x14ac:dyDescent="0.25">
      <c r="B19" s="1"/>
      <c r="C19" s="98"/>
      <c r="D19" s="129"/>
      <c r="E19" s="130"/>
      <c r="F19" s="98"/>
      <c r="G19" s="1"/>
    </row>
    <row r="20" spans="2:7" s="2" customFormat="1" x14ac:dyDescent="0.25">
      <c r="B20" s="1"/>
      <c r="C20" s="98"/>
      <c r="D20" s="129"/>
      <c r="E20" s="130"/>
      <c r="F20" s="98"/>
      <c r="G20" s="1"/>
    </row>
    <row r="21" spans="2:7" s="2" customFormat="1" x14ac:dyDescent="0.25">
      <c r="B21" s="1"/>
      <c r="C21" s="98"/>
      <c r="D21" s="129"/>
      <c r="E21" s="130"/>
      <c r="F21" s="98"/>
      <c r="G21" s="1"/>
    </row>
    <row r="22" spans="2:7" s="2" customFormat="1" x14ac:dyDescent="0.25">
      <c r="B22" s="1"/>
      <c r="C22" s="98"/>
      <c r="D22" s="129"/>
      <c r="E22" s="130"/>
      <c r="F22" s="98"/>
      <c r="G22" s="1"/>
    </row>
    <row r="23" spans="2:7" s="2" customFormat="1" x14ac:dyDescent="0.25">
      <c r="B23" s="1"/>
      <c r="C23" s="98"/>
      <c r="D23" s="129"/>
      <c r="E23" s="130"/>
      <c r="F23" s="98"/>
      <c r="G23" s="1"/>
    </row>
    <row r="24" spans="2:7" s="2" customFormat="1" x14ac:dyDescent="0.25">
      <c r="B24" s="1"/>
      <c r="C24" s="98"/>
      <c r="D24" s="129"/>
      <c r="E24" s="130"/>
      <c r="F24" s="98"/>
      <c r="G24" s="1"/>
    </row>
    <row r="25" spans="2:7" s="2" customFormat="1" x14ac:dyDescent="0.25">
      <c r="B25" s="1"/>
      <c r="C25" s="98"/>
      <c r="D25" s="129"/>
      <c r="E25" s="130"/>
      <c r="F25" s="98"/>
      <c r="G25" s="1"/>
    </row>
    <row r="26" spans="2:7" s="2" customFormat="1" x14ac:dyDescent="0.25">
      <c r="B26" s="1"/>
      <c r="C26" s="98"/>
      <c r="D26" s="129"/>
      <c r="E26" s="130"/>
      <c r="F26" s="98"/>
      <c r="G26" s="1"/>
    </row>
    <row r="27" spans="2:7" s="2" customFormat="1" x14ac:dyDescent="0.25">
      <c r="B27" s="1"/>
      <c r="C27" s="98"/>
      <c r="D27" s="129"/>
      <c r="E27" s="130"/>
      <c r="F27" s="98"/>
      <c r="G27" s="1"/>
    </row>
    <row r="28" spans="2:7" s="2" customFormat="1" x14ac:dyDescent="0.25">
      <c r="B28" s="1"/>
      <c r="C28" s="98"/>
      <c r="D28" s="129"/>
      <c r="E28" s="130"/>
      <c r="F28" s="98"/>
      <c r="G28" s="1"/>
    </row>
    <row r="29" spans="2:7" s="2" customFormat="1" x14ac:dyDescent="0.25">
      <c r="B29" s="1"/>
      <c r="C29" s="98"/>
      <c r="D29" s="129"/>
      <c r="E29" s="130"/>
      <c r="F29" s="98"/>
      <c r="G29" s="1"/>
    </row>
    <row r="30" spans="2:7" s="2" customFormat="1" x14ac:dyDescent="0.25">
      <c r="B30" s="1"/>
      <c r="C30" s="98"/>
      <c r="D30" s="129"/>
      <c r="E30" s="130"/>
      <c r="F30" s="98"/>
      <c r="G30" s="1"/>
    </row>
    <row r="31" spans="2:7" s="2" customFormat="1" x14ac:dyDescent="0.25">
      <c r="B31" s="1"/>
      <c r="C31" s="98"/>
      <c r="D31" s="129"/>
      <c r="E31" s="130"/>
      <c r="F31" s="98"/>
      <c r="G31" s="1"/>
    </row>
    <row r="32" spans="2:7" s="2" customFormat="1" x14ac:dyDescent="0.25">
      <c r="B32" s="1"/>
      <c r="C32" s="98"/>
      <c r="D32" s="129"/>
      <c r="E32" s="130"/>
      <c r="F32" s="98"/>
      <c r="G32" s="1"/>
    </row>
    <row r="33" spans="2:7" s="2" customFormat="1" x14ac:dyDescent="0.25">
      <c r="B33" s="1"/>
      <c r="C33" s="98"/>
      <c r="D33" s="129"/>
      <c r="E33" s="130"/>
      <c r="F33" s="98"/>
      <c r="G33" s="1"/>
    </row>
    <row r="34" spans="2:7" s="2" customFormat="1" x14ac:dyDescent="0.25">
      <c r="B34" s="1"/>
      <c r="C34" s="98"/>
      <c r="D34" s="129"/>
      <c r="E34" s="130"/>
      <c r="F34" s="98"/>
      <c r="G34" s="1"/>
    </row>
    <row r="35" spans="2:7" s="2" customFormat="1" x14ac:dyDescent="0.25">
      <c r="B35" s="1"/>
      <c r="C35" s="98"/>
      <c r="D35" s="129"/>
      <c r="E35" s="130"/>
      <c r="F35" s="98"/>
      <c r="G35" s="1"/>
    </row>
    <row r="36" spans="2:7" s="2" customFormat="1" x14ac:dyDescent="0.25">
      <c r="B36" s="1"/>
      <c r="C36" s="98"/>
      <c r="D36" s="129"/>
      <c r="E36" s="130"/>
      <c r="F36" s="98"/>
      <c r="G36" s="1"/>
    </row>
    <row r="37" spans="2:7" s="2" customFormat="1" x14ac:dyDescent="0.25">
      <c r="B37" s="1"/>
      <c r="C37" s="98"/>
      <c r="D37" s="129"/>
      <c r="E37" s="130"/>
      <c r="F37" s="98"/>
      <c r="G37" s="1"/>
    </row>
    <row r="38" spans="2:7" s="2" customFormat="1" x14ac:dyDescent="0.25">
      <c r="B38" s="1"/>
      <c r="C38" s="98"/>
      <c r="D38" s="129"/>
      <c r="E38" s="130"/>
      <c r="F38" s="98"/>
      <c r="G38" s="1"/>
    </row>
    <row r="39" spans="2:7" s="2" customFormat="1" x14ac:dyDescent="0.25">
      <c r="B39" s="1"/>
      <c r="C39" s="98"/>
      <c r="D39" s="129"/>
      <c r="E39" s="130"/>
      <c r="F39" s="98"/>
      <c r="G39" s="1"/>
    </row>
    <row r="40" spans="2:7" s="2" customFormat="1" x14ac:dyDescent="0.25">
      <c r="B40" s="1"/>
      <c r="C40" s="98"/>
      <c r="D40" s="129"/>
      <c r="E40" s="130"/>
      <c r="F40" s="98"/>
      <c r="G40" s="1"/>
    </row>
    <row r="41" spans="2:7" s="2" customFormat="1" x14ac:dyDescent="0.25">
      <c r="B41" s="1"/>
      <c r="C41" s="98"/>
      <c r="D41" s="129"/>
      <c r="E41" s="130"/>
      <c r="F41" s="98"/>
      <c r="G41" s="1"/>
    </row>
    <row r="42" spans="2:7" s="2" customFormat="1" x14ac:dyDescent="0.25">
      <c r="B42" s="1"/>
      <c r="C42" s="98"/>
      <c r="D42" s="129"/>
      <c r="E42" s="130"/>
      <c r="F42" s="98"/>
      <c r="G42" s="1"/>
    </row>
    <row r="43" spans="2:7" s="2" customFormat="1" x14ac:dyDescent="0.25">
      <c r="B43" s="1"/>
      <c r="C43" s="98"/>
      <c r="D43" s="129"/>
      <c r="E43" s="130"/>
      <c r="F43" s="98"/>
      <c r="G43" s="1"/>
    </row>
    <row r="44" spans="2:7" s="2" customFormat="1" x14ac:dyDescent="0.25">
      <c r="B44" s="1"/>
      <c r="C44" s="98"/>
      <c r="D44" s="129"/>
      <c r="E44" s="130"/>
      <c r="F44" s="98"/>
      <c r="G44" s="1"/>
    </row>
    <row r="45" spans="2:7" s="2" customFormat="1" x14ac:dyDescent="0.25">
      <c r="B45" s="1"/>
      <c r="C45" s="98"/>
      <c r="D45" s="129"/>
      <c r="E45" s="130"/>
      <c r="F45" s="98"/>
      <c r="G45" s="1"/>
    </row>
    <row r="46" spans="2:7" s="2" customFormat="1" x14ac:dyDescent="0.25">
      <c r="B46" s="1"/>
      <c r="C46" s="98"/>
      <c r="D46" s="129"/>
      <c r="E46" s="130"/>
      <c r="F46" s="98"/>
      <c r="G46" s="1"/>
    </row>
    <row r="47" spans="2:7" s="2" customFormat="1" x14ac:dyDescent="0.25">
      <c r="B47" s="1"/>
      <c r="C47" s="98"/>
      <c r="D47" s="129"/>
      <c r="E47" s="130"/>
      <c r="F47" s="98"/>
      <c r="G47" s="1"/>
    </row>
    <row r="48" spans="2:7" s="2" customFormat="1" x14ac:dyDescent="0.25">
      <c r="B48" s="1"/>
      <c r="C48" s="98"/>
      <c r="D48" s="129"/>
      <c r="E48" s="130"/>
      <c r="F48" s="98"/>
      <c r="G48" s="1"/>
    </row>
    <row r="49" spans="2:7" s="2" customFormat="1" x14ac:dyDescent="0.25">
      <c r="B49" s="1"/>
      <c r="C49" s="98"/>
      <c r="D49" s="129"/>
      <c r="E49" s="130"/>
      <c r="F49" s="98"/>
      <c r="G49" s="1"/>
    </row>
    <row r="50" spans="2:7" s="2" customFormat="1" x14ac:dyDescent="0.25">
      <c r="B50" s="1"/>
      <c r="C50" s="98"/>
      <c r="D50" s="129"/>
      <c r="E50" s="130"/>
      <c r="F50" s="98"/>
      <c r="G50" s="1"/>
    </row>
    <row r="51" spans="2:7" s="2" customFormat="1" x14ac:dyDescent="0.25">
      <c r="B51" s="1"/>
      <c r="C51" s="98"/>
      <c r="D51" s="129"/>
      <c r="E51" s="130"/>
      <c r="F51" s="98"/>
      <c r="G51" s="1"/>
    </row>
    <row r="52" spans="2:7" s="2" customFormat="1" x14ac:dyDescent="0.25">
      <c r="B52" s="1"/>
      <c r="C52" s="98"/>
      <c r="D52" s="129"/>
      <c r="E52" s="130"/>
      <c r="F52" s="98"/>
      <c r="G52" s="1"/>
    </row>
    <row r="53" spans="2:7" s="2" customFormat="1" x14ac:dyDescent="0.25">
      <c r="B53" s="1"/>
      <c r="C53" s="98"/>
      <c r="D53" s="129"/>
      <c r="E53" s="130"/>
      <c r="F53" s="98"/>
      <c r="G53" s="1"/>
    </row>
    <row r="54" spans="2:7" s="2" customFormat="1" x14ac:dyDescent="0.25">
      <c r="B54" s="1"/>
      <c r="C54" s="98"/>
      <c r="D54" s="129"/>
      <c r="E54" s="130"/>
      <c r="F54" s="98"/>
      <c r="G54" s="1"/>
    </row>
    <row r="55" spans="2:7" s="2" customFormat="1" x14ac:dyDescent="0.25">
      <c r="B55" s="1"/>
      <c r="C55" s="98"/>
      <c r="D55" s="129"/>
      <c r="E55" s="130"/>
      <c r="F55" s="98"/>
      <c r="G55" s="1"/>
    </row>
    <row r="56" spans="2:7" s="2" customFormat="1" x14ac:dyDescent="0.25">
      <c r="B56" s="1"/>
      <c r="C56" s="98"/>
      <c r="D56" s="129"/>
      <c r="E56" s="130"/>
      <c r="F56" s="98"/>
      <c r="G56" s="1"/>
    </row>
    <row r="57" spans="2:7" s="2" customFormat="1" x14ac:dyDescent="0.25">
      <c r="B57" s="1"/>
      <c r="C57" s="98"/>
      <c r="D57" s="129"/>
      <c r="E57" s="130"/>
      <c r="F57" s="98"/>
      <c r="G57" s="1"/>
    </row>
    <row r="58" spans="2:7" s="2" customFormat="1" x14ac:dyDescent="0.25">
      <c r="B58" s="1"/>
      <c r="C58" s="98"/>
      <c r="D58" s="129"/>
      <c r="E58" s="130"/>
      <c r="F58" s="98"/>
      <c r="G58" s="1"/>
    </row>
    <row r="59" spans="2:7" s="2" customFormat="1" x14ac:dyDescent="0.25">
      <c r="B59" s="1"/>
      <c r="C59" s="98"/>
      <c r="D59" s="129"/>
      <c r="E59" s="130"/>
      <c r="F59" s="98"/>
      <c r="G59" s="1"/>
    </row>
    <row r="60" spans="2:7" s="2" customFormat="1" x14ac:dyDescent="0.25">
      <c r="B60" s="1"/>
      <c r="C60" s="98"/>
      <c r="D60" s="129"/>
      <c r="E60" s="130"/>
      <c r="F60" s="98"/>
      <c r="G60" s="1"/>
    </row>
    <row r="61" spans="2:7" s="2" customFormat="1" x14ac:dyDescent="0.25">
      <c r="B61" s="1"/>
      <c r="C61" s="98"/>
      <c r="D61" s="129"/>
      <c r="E61" s="130"/>
      <c r="F61" s="98"/>
      <c r="G61" s="1"/>
    </row>
    <row r="62" spans="2:7" s="2" customFormat="1" x14ac:dyDescent="0.25">
      <c r="B62" s="1"/>
      <c r="C62" s="98"/>
      <c r="D62" s="129"/>
      <c r="E62" s="130"/>
      <c r="F62" s="98"/>
      <c r="G62" s="1"/>
    </row>
    <row r="63" spans="2:7" s="2" customFormat="1" x14ac:dyDescent="0.25">
      <c r="B63" s="1"/>
      <c r="C63" s="98"/>
      <c r="D63" s="129"/>
      <c r="E63" s="130"/>
      <c r="F63" s="98"/>
      <c r="G63" s="1"/>
    </row>
    <row r="64" spans="2:7" s="2" customFormat="1" x14ac:dyDescent="0.25">
      <c r="B64" s="1"/>
      <c r="C64" s="98"/>
      <c r="D64" s="129"/>
      <c r="E64" s="130"/>
      <c r="F64" s="98"/>
      <c r="G64" s="1"/>
    </row>
    <row r="65" spans="2:7" s="2" customFormat="1" x14ac:dyDescent="0.25">
      <c r="B65" s="1"/>
      <c r="C65" s="98"/>
      <c r="D65" s="129"/>
      <c r="E65" s="130"/>
      <c r="F65" s="98"/>
      <c r="G65" s="1"/>
    </row>
    <row r="66" spans="2:7" s="2" customFormat="1" x14ac:dyDescent="0.25">
      <c r="B66" s="1"/>
      <c r="C66" s="98"/>
      <c r="D66" s="129"/>
      <c r="E66" s="130"/>
      <c r="F66" s="98"/>
      <c r="G66" s="1"/>
    </row>
    <row r="67" spans="2:7" s="2" customFormat="1" x14ac:dyDescent="0.25">
      <c r="B67" s="1"/>
      <c r="C67" s="98"/>
      <c r="D67" s="129"/>
      <c r="E67" s="130"/>
      <c r="F67" s="98"/>
      <c r="G67" s="1"/>
    </row>
    <row r="68" spans="2:7" s="2" customFormat="1" x14ac:dyDescent="0.25">
      <c r="B68" s="1"/>
      <c r="C68" s="98"/>
      <c r="D68" s="129"/>
      <c r="E68" s="130"/>
      <c r="F68" s="98"/>
      <c r="G68" s="1"/>
    </row>
    <row r="69" spans="2:7" s="2" customFormat="1" x14ac:dyDescent="0.25">
      <c r="B69" s="1"/>
      <c r="C69" s="98"/>
      <c r="D69" s="129"/>
      <c r="E69" s="130"/>
      <c r="F69" s="98"/>
      <c r="G69" s="1"/>
    </row>
    <row r="70" spans="2:7" s="2" customFormat="1" x14ac:dyDescent="0.25">
      <c r="B70" s="1"/>
      <c r="C70" s="98"/>
      <c r="D70" s="129"/>
      <c r="E70" s="130"/>
      <c r="F70" s="98"/>
      <c r="G70" s="1"/>
    </row>
    <row r="71" spans="2:7" s="2" customFormat="1" x14ac:dyDescent="0.25">
      <c r="B71" s="1"/>
      <c r="C71" s="98"/>
      <c r="D71" s="129"/>
      <c r="E71" s="130"/>
      <c r="F71" s="98"/>
      <c r="G71" s="1"/>
    </row>
    <row r="72" spans="2:7" s="2" customFormat="1" x14ac:dyDescent="0.25">
      <c r="B72" s="1"/>
      <c r="C72" s="98"/>
      <c r="D72" s="129"/>
      <c r="E72" s="130"/>
      <c r="F72" s="98"/>
      <c r="G72" s="1"/>
    </row>
    <row r="73" spans="2:7" s="2" customFormat="1" x14ac:dyDescent="0.25">
      <c r="B73" s="1"/>
      <c r="C73" s="98"/>
      <c r="D73" s="129"/>
      <c r="E73" s="130"/>
      <c r="F73" s="98"/>
      <c r="G73" s="1"/>
    </row>
    <row r="74" spans="2:7" s="2" customFormat="1" x14ac:dyDescent="0.25">
      <c r="B74" s="1"/>
      <c r="C74" s="98"/>
      <c r="D74" s="129"/>
      <c r="E74" s="130"/>
      <c r="F74" s="98"/>
      <c r="G74" s="1"/>
    </row>
    <row r="75" spans="2:7" s="2" customFormat="1" x14ac:dyDescent="0.25">
      <c r="B75" s="1"/>
      <c r="C75" s="98"/>
      <c r="D75" s="129"/>
      <c r="E75" s="130"/>
      <c r="F75" s="98"/>
      <c r="G75" s="1"/>
    </row>
    <row r="76" spans="2:7" s="2" customFormat="1" x14ac:dyDescent="0.25">
      <c r="B76" s="1"/>
      <c r="C76" s="98"/>
      <c r="D76" s="129"/>
      <c r="E76" s="130"/>
      <c r="F76" s="98"/>
      <c r="G76" s="1"/>
    </row>
    <row r="77" spans="2:7" s="2" customFormat="1" x14ac:dyDescent="0.25">
      <c r="B77" s="1"/>
      <c r="C77" s="98"/>
      <c r="D77" s="129"/>
      <c r="E77" s="130"/>
      <c r="F77" s="98"/>
      <c r="G77" s="1"/>
    </row>
    <row r="78" spans="2:7" s="2" customFormat="1" x14ac:dyDescent="0.25">
      <c r="B78" s="1"/>
      <c r="C78" s="98"/>
      <c r="D78" s="129"/>
      <c r="E78" s="130"/>
      <c r="F78" s="98"/>
      <c r="G78" s="1"/>
    </row>
    <row r="79" spans="2:7" s="2" customFormat="1" x14ac:dyDescent="0.25">
      <c r="B79" s="1"/>
      <c r="C79" s="98"/>
      <c r="D79" s="129"/>
      <c r="E79" s="130"/>
      <c r="F79" s="98"/>
      <c r="G79" s="1"/>
    </row>
    <row r="80" spans="2:7" s="2" customFormat="1" x14ac:dyDescent="0.25">
      <c r="B80" s="1"/>
      <c r="C80" s="98"/>
      <c r="D80" s="129"/>
      <c r="E80" s="130"/>
      <c r="F80" s="98"/>
      <c r="G80" s="1"/>
    </row>
    <row r="81" spans="2:7" s="2" customFormat="1" x14ac:dyDescent="0.25">
      <c r="B81" s="1"/>
      <c r="C81" s="98"/>
      <c r="D81" s="129"/>
      <c r="E81" s="130"/>
      <c r="F81" s="98"/>
      <c r="G81" s="1"/>
    </row>
    <row r="82" spans="2:7" s="2" customFormat="1" x14ac:dyDescent="0.25">
      <c r="B82" s="1"/>
      <c r="C82" s="98"/>
      <c r="D82" s="129"/>
      <c r="E82" s="130"/>
      <c r="F82" s="98"/>
      <c r="G82" s="1"/>
    </row>
    <row r="83" spans="2:7" s="2" customFormat="1" x14ac:dyDescent="0.25">
      <c r="B83" s="1"/>
      <c r="C83" s="98"/>
      <c r="D83" s="129"/>
      <c r="E83" s="130"/>
      <c r="F83" s="98"/>
      <c r="G83" s="1"/>
    </row>
    <row r="84" spans="2:7" s="2" customFormat="1" x14ac:dyDescent="0.25">
      <c r="B84" s="1"/>
      <c r="C84" s="98"/>
      <c r="D84" s="129"/>
      <c r="E84" s="130"/>
      <c r="F84" s="98"/>
      <c r="G84" s="1"/>
    </row>
    <row r="85" spans="2:7" s="2" customFormat="1" x14ac:dyDescent="0.25">
      <c r="B85" s="1"/>
      <c r="C85" s="98"/>
      <c r="D85" s="129"/>
      <c r="E85" s="130"/>
      <c r="F85" s="98"/>
      <c r="G85" s="1"/>
    </row>
    <row r="86" spans="2:7" s="2" customFormat="1" x14ac:dyDescent="0.25">
      <c r="B86" s="1"/>
      <c r="C86" s="98"/>
      <c r="D86" s="129"/>
      <c r="E86" s="130"/>
      <c r="F86" s="98"/>
      <c r="G86" s="1"/>
    </row>
    <row r="87" spans="2:7" s="2" customFormat="1" x14ac:dyDescent="0.25">
      <c r="B87" s="1"/>
      <c r="C87" s="98"/>
      <c r="D87" s="129"/>
      <c r="E87" s="130"/>
      <c r="F87" s="98"/>
      <c r="G87" s="1"/>
    </row>
    <row r="88" spans="2:7" s="2" customFormat="1" x14ac:dyDescent="0.25">
      <c r="B88" s="1"/>
      <c r="C88" s="98"/>
      <c r="D88" s="129"/>
      <c r="E88" s="130"/>
      <c r="F88" s="98"/>
      <c r="G88" s="1"/>
    </row>
    <row r="89" spans="2:7" s="2" customFormat="1" x14ac:dyDescent="0.25">
      <c r="B89" s="1"/>
      <c r="C89" s="98"/>
      <c r="D89" s="129"/>
      <c r="E89" s="130"/>
      <c r="F89" s="98"/>
      <c r="G89" s="1"/>
    </row>
    <row r="90" spans="2:7" s="2" customFormat="1" x14ac:dyDescent="0.25">
      <c r="B90" s="1"/>
      <c r="C90" s="98"/>
      <c r="D90" s="129"/>
      <c r="E90" s="130"/>
      <c r="F90" s="98"/>
      <c r="G90" s="1"/>
    </row>
    <row r="91" spans="2:7" s="2" customFormat="1" x14ac:dyDescent="0.25">
      <c r="B91" s="1"/>
      <c r="C91" s="98"/>
      <c r="D91" s="129"/>
      <c r="E91" s="130"/>
      <c r="F91" s="98"/>
      <c r="G91" s="1"/>
    </row>
    <row r="92" spans="2:7" s="2" customFormat="1" x14ac:dyDescent="0.25">
      <c r="B92" s="1"/>
      <c r="C92" s="98"/>
      <c r="D92" s="129"/>
      <c r="E92" s="130"/>
      <c r="F92" s="98"/>
      <c r="G92" s="1"/>
    </row>
    <row r="93" spans="2:7" s="2" customFormat="1" x14ac:dyDescent="0.25">
      <c r="B93" s="1"/>
      <c r="C93" s="98"/>
      <c r="D93" s="129"/>
      <c r="E93" s="130"/>
      <c r="F93" s="98"/>
      <c r="G93" s="1"/>
    </row>
    <row r="94" spans="2:7" s="2" customFormat="1" x14ac:dyDescent="0.25">
      <c r="B94" s="1"/>
      <c r="C94" s="98"/>
      <c r="D94" s="129"/>
      <c r="E94" s="130"/>
      <c r="F94" s="98"/>
      <c r="G94" s="1"/>
    </row>
    <row r="95" spans="2:7" s="2" customFormat="1" x14ac:dyDescent="0.25">
      <c r="B95" s="1"/>
      <c r="C95" s="98"/>
      <c r="D95" s="129"/>
      <c r="E95" s="130"/>
      <c r="F95" s="98"/>
      <c r="G95" s="1"/>
    </row>
    <row r="96" spans="2:7" s="2" customFormat="1" x14ac:dyDescent="0.25">
      <c r="B96" s="1"/>
      <c r="C96" s="98"/>
      <c r="D96" s="129"/>
      <c r="E96" s="130"/>
      <c r="F96" s="98"/>
      <c r="G96" s="1"/>
    </row>
    <row r="97" spans="2:7" s="2" customFormat="1" x14ac:dyDescent="0.25">
      <c r="B97" s="1"/>
      <c r="C97" s="98"/>
      <c r="D97" s="129"/>
      <c r="E97" s="130"/>
      <c r="F97" s="98"/>
      <c r="G97" s="1"/>
    </row>
    <row r="98" spans="2:7" s="2" customFormat="1" x14ac:dyDescent="0.25">
      <c r="B98" s="1"/>
      <c r="C98" s="98"/>
      <c r="D98" s="129"/>
      <c r="E98" s="130"/>
      <c r="F98" s="98"/>
      <c r="G98" s="1"/>
    </row>
    <row r="99" spans="2:7" s="2" customFormat="1" x14ac:dyDescent="0.25">
      <c r="B99" s="1"/>
      <c r="C99" s="98"/>
      <c r="D99" s="129"/>
      <c r="E99" s="130"/>
      <c r="F99" s="98"/>
      <c r="G99" s="1"/>
    </row>
    <row r="100" spans="2:7" s="2" customFormat="1" x14ac:dyDescent="0.25">
      <c r="B100" s="1"/>
      <c r="C100" s="98"/>
      <c r="D100" s="129"/>
      <c r="E100" s="130"/>
      <c r="F100" s="98"/>
      <c r="G100" s="1"/>
    </row>
    <row r="101" spans="2:7" s="2" customFormat="1" x14ac:dyDescent="0.25">
      <c r="B101" s="1"/>
      <c r="C101" s="98"/>
      <c r="D101" s="129"/>
      <c r="E101" s="130"/>
      <c r="F101" s="98"/>
      <c r="G101" s="1"/>
    </row>
    <row r="102" spans="2:7" s="2" customFormat="1" x14ac:dyDescent="0.25">
      <c r="B102" s="1"/>
      <c r="C102" s="98"/>
      <c r="D102" s="129"/>
      <c r="E102" s="130"/>
      <c r="F102" s="98"/>
      <c r="G102" s="1"/>
    </row>
    <row r="103" spans="2:7" s="2" customFormat="1" x14ac:dyDescent="0.25">
      <c r="B103" s="1"/>
      <c r="C103" s="98"/>
      <c r="D103" s="129"/>
      <c r="E103" s="130"/>
      <c r="F103" s="98"/>
      <c r="G103" s="1"/>
    </row>
    <row r="104" spans="2:7" s="2" customFormat="1" x14ac:dyDescent="0.25">
      <c r="B104" s="1"/>
      <c r="C104" s="98"/>
      <c r="D104" s="129"/>
      <c r="E104" s="130"/>
      <c r="F104" s="98"/>
      <c r="G104" s="1"/>
    </row>
    <row r="105" spans="2:7" s="2" customFormat="1" x14ac:dyDescent="0.25">
      <c r="B105" s="1"/>
      <c r="C105" s="98"/>
      <c r="D105" s="129"/>
      <c r="E105" s="130"/>
      <c r="F105" s="98"/>
      <c r="G105" s="1"/>
    </row>
    <row r="106" spans="2:7" s="2" customFormat="1" x14ac:dyDescent="0.25">
      <c r="B106" s="1"/>
      <c r="C106" s="98"/>
      <c r="D106" s="129"/>
      <c r="E106" s="130"/>
      <c r="F106" s="98"/>
      <c r="G106" s="1"/>
    </row>
    <row r="107" spans="2:7" s="2" customFormat="1" x14ac:dyDescent="0.25">
      <c r="B107" s="1"/>
      <c r="C107" s="98"/>
      <c r="D107" s="129"/>
      <c r="E107" s="130"/>
      <c r="F107" s="98"/>
      <c r="G107" s="1"/>
    </row>
    <row r="108" spans="2:7" s="2" customFormat="1" x14ac:dyDescent="0.25">
      <c r="B108" s="1"/>
      <c r="C108" s="98"/>
      <c r="D108" s="129"/>
      <c r="E108" s="130"/>
      <c r="F108" s="98"/>
      <c r="G108" s="1"/>
    </row>
    <row r="109" spans="2:7" s="2" customFormat="1" x14ac:dyDescent="0.25">
      <c r="B109" s="1"/>
      <c r="C109" s="98"/>
      <c r="D109" s="129"/>
      <c r="E109" s="130"/>
      <c r="F109" s="98"/>
      <c r="G109" s="1"/>
    </row>
    <row r="110" spans="2:7" s="2" customFormat="1" x14ac:dyDescent="0.25">
      <c r="B110" s="1"/>
      <c r="C110" s="98"/>
      <c r="D110" s="129"/>
      <c r="E110" s="130"/>
      <c r="F110" s="98"/>
      <c r="G110" s="1"/>
    </row>
    <row r="111" spans="2:7" s="2" customFormat="1" x14ac:dyDescent="0.25">
      <c r="B111" s="1"/>
      <c r="C111" s="98"/>
      <c r="D111" s="129"/>
      <c r="E111" s="130"/>
      <c r="F111" s="98"/>
      <c r="G111" s="1"/>
    </row>
    <row r="112" spans="2:7" x14ac:dyDescent="0.25">
      <c r="B112" s="1"/>
      <c r="C112" s="98"/>
      <c r="D112" s="129"/>
      <c r="E112" s="130"/>
      <c r="F112" s="98"/>
      <c r="G112" s="1"/>
    </row>
    <row r="113" spans="2:7" x14ac:dyDescent="0.25">
      <c r="B113" s="1"/>
      <c r="C113" s="98"/>
      <c r="D113" s="129"/>
      <c r="E113" s="130"/>
      <c r="F113" s="98"/>
      <c r="G113" s="1"/>
    </row>
    <row r="114" spans="2:7" x14ac:dyDescent="0.25">
      <c r="B114" s="1"/>
      <c r="C114" s="98"/>
      <c r="D114" s="129"/>
      <c r="E114" s="130"/>
      <c r="F114" s="98"/>
      <c r="G114" s="1"/>
    </row>
    <row r="115" spans="2:7" x14ac:dyDescent="0.25">
      <c r="B115" s="1"/>
      <c r="C115" s="98"/>
      <c r="D115" s="129"/>
      <c r="E115" s="130"/>
      <c r="F115" s="98"/>
      <c r="G115" s="1"/>
    </row>
    <row r="116" spans="2:7" x14ac:dyDescent="0.25">
      <c r="B116" s="1"/>
      <c r="C116" s="98"/>
      <c r="D116" s="129"/>
      <c r="E116" s="130"/>
      <c r="F116" s="98"/>
      <c r="G116" s="1"/>
    </row>
    <row r="117" spans="2:7" x14ac:dyDescent="0.25">
      <c r="B117" s="1"/>
      <c r="C117" s="98"/>
      <c r="D117" s="129"/>
      <c r="E117" s="130"/>
      <c r="F117" s="98"/>
      <c r="G117" s="1"/>
    </row>
    <row r="118" spans="2:7" x14ac:dyDescent="0.25">
      <c r="B118" s="1"/>
      <c r="C118" s="98"/>
      <c r="D118" s="129"/>
      <c r="E118" s="130"/>
      <c r="F118" s="98"/>
      <c r="G118" s="1"/>
    </row>
    <row r="119" spans="2:7" x14ac:dyDescent="0.25">
      <c r="B119" s="1"/>
      <c r="C119" s="98"/>
      <c r="D119" s="129"/>
      <c r="E119" s="130"/>
      <c r="F119" s="98"/>
      <c r="G119" s="1"/>
    </row>
    <row r="120" spans="2:7" x14ac:dyDescent="0.25">
      <c r="B120" s="1"/>
      <c r="C120" s="98"/>
      <c r="D120" s="129"/>
      <c r="E120" s="130"/>
      <c r="F120" s="98"/>
      <c r="G120" s="1"/>
    </row>
    <row r="121" spans="2:7" x14ac:dyDescent="0.25">
      <c r="B121" s="1"/>
      <c r="C121" s="98"/>
      <c r="D121" s="129"/>
      <c r="E121" s="130"/>
      <c r="F121" s="98"/>
      <c r="G121" s="1"/>
    </row>
    <row r="122" spans="2:7" x14ac:dyDescent="0.25">
      <c r="B122" s="1"/>
      <c r="C122" s="98"/>
      <c r="D122" s="129"/>
      <c r="E122" s="130"/>
      <c r="F122" s="98"/>
      <c r="G122" s="1"/>
    </row>
    <row r="123" spans="2:7" x14ac:dyDescent="0.25">
      <c r="B123" s="1"/>
      <c r="C123" s="98"/>
      <c r="D123" s="129"/>
      <c r="E123" s="130"/>
      <c r="F123" s="98"/>
      <c r="G123" s="1"/>
    </row>
    <row r="124" spans="2:7" x14ac:dyDescent="0.25">
      <c r="B124" s="1"/>
      <c r="C124" s="98"/>
      <c r="D124" s="129"/>
      <c r="E124" s="130"/>
      <c r="F124" s="98"/>
      <c r="G124" s="1"/>
    </row>
    <row r="125" spans="2:7" x14ac:dyDescent="0.25">
      <c r="B125" s="1"/>
      <c r="C125" s="98"/>
      <c r="D125" s="129"/>
      <c r="E125" s="130"/>
      <c r="F125" s="98"/>
      <c r="G125" s="1"/>
    </row>
    <row r="126" spans="2:7" x14ac:dyDescent="0.25">
      <c r="B126" s="1"/>
      <c r="C126" s="98"/>
      <c r="D126" s="129"/>
      <c r="E126" s="130"/>
      <c r="F126" s="98"/>
      <c r="G126" s="1"/>
    </row>
    <row r="127" spans="2:7" x14ac:dyDescent="0.25">
      <c r="B127" s="1"/>
      <c r="C127" s="98"/>
      <c r="D127" s="129"/>
      <c r="E127" s="130"/>
      <c r="F127" s="98"/>
      <c r="G127" s="1"/>
    </row>
    <row r="128" spans="2:7" x14ac:dyDescent="0.25">
      <c r="B128" s="1"/>
      <c r="C128" s="98"/>
      <c r="D128" s="129"/>
      <c r="E128" s="130"/>
      <c r="F128" s="98"/>
      <c r="G128" s="1"/>
    </row>
    <row r="129" spans="2:7" x14ac:dyDescent="0.25">
      <c r="B129" s="1"/>
      <c r="C129" s="98"/>
      <c r="D129" s="129"/>
      <c r="E129" s="130"/>
      <c r="F129" s="98"/>
      <c r="G129" s="1"/>
    </row>
    <row r="130" spans="2:7" x14ac:dyDescent="0.25">
      <c r="B130" s="1"/>
      <c r="C130" s="98"/>
      <c r="D130" s="129"/>
      <c r="E130" s="130"/>
      <c r="F130" s="98"/>
      <c r="G130" s="1"/>
    </row>
    <row r="131" spans="2:7" x14ac:dyDescent="0.25">
      <c r="B131" s="1"/>
      <c r="C131" s="98"/>
      <c r="D131" s="129"/>
      <c r="E131" s="130"/>
      <c r="F131" s="98"/>
      <c r="G131" s="1"/>
    </row>
    <row r="132" spans="2:7" x14ac:dyDescent="0.25">
      <c r="B132" s="1"/>
      <c r="C132" s="98"/>
      <c r="D132" s="129"/>
      <c r="E132" s="130"/>
      <c r="F132" s="98"/>
      <c r="G132" s="1"/>
    </row>
    <row r="133" spans="2:7" x14ac:dyDescent="0.25">
      <c r="B133" s="1"/>
      <c r="C133" s="98"/>
      <c r="D133" s="129"/>
      <c r="E133" s="130"/>
      <c r="F133" s="98"/>
      <c r="G133" s="1"/>
    </row>
    <row r="134" spans="2:7" x14ac:dyDescent="0.25">
      <c r="B134" s="1"/>
      <c r="C134" s="98"/>
      <c r="D134" s="129"/>
      <c r="E134" s="130"/>
      <c r="F134" s="98"/>
      <c r="G134" s="1"/>
    </row>
    <row r="135" spans="2:7" x14ac:dyDescent="0.25">
      <c r="B135" s="1"/>
      <c r="C135" s="98"/>
      <c r="D135" s="129"/>
      <c r="E135" s="130"/>
      <c r="F135" s="98"/>
      <c r="G135" s="1"/>
    </row>
    <row r="136" spans="2:7" x14ac:dyDescent="0.25">
      <c r="B136" s="1"/>
      <c r="C136" s="98"/>
      <c r="D136" s="129"/>
      <c r="E136" s="130"/>
      <c r="F136" s="98"/>
      <c r="G136" s="1"/>
    </row>
    <row r="137" spans="2:7" x14ac:dyDescent="0.25">
      <c r="B137" s="1"/>
      <c r="C137" s="98"/>
      <c r="D137" s="129"/>
      <c r="E137" s="130"/>
      <c r="F137" s="98"/>
      <c r="G137" s="1"/>
    </row>
    <row r="138" spans="2:7" x14ac:dyDescent="0.25">
      <c r="B138" s="1"/>
      <c r="C138" s="98"/>
      <c r="D138" s="129"/>
      <c r="E138" s="130"/>
      <c r="F138" s="98"/>
      <c r="G138" s="1"/>
    </row>
    <row r="139" spans="2:7" x14ac:dyDescent="0.25">
      <c r="B139" s="1"/>
      <c r="C139" s="98"/>
      <c r="D139" s="129"/>
      <c r="E139" s="130"/>
      <c r="F139" s="98"/>
      <c r="G139" s="1"/>
    </row>
    <row r="140" spans="2:7" x14ac:dyDescent="0.25">
      <c r="B140" s="1"/>
      <c r="C140" s="98"/>
      <c r="D140" s="129"/>
      <c r="E140" s="130"/>
      <c r="F140" s="98"/>
      <c r="G140" s="1"/>
    </row>
    <row r="141" spans="2:7" x14ac:dyDescent="0.25">
      <c r="B141" s="1"/>
      <c r="C141" s="98"/>
      <c r="D141" s="129"/>
      <c r="E141" s="130"/>
      <c r="F141" s="98"/>
      <c r="G141" s="1"/>
    </row>
    <row r="142" spans="2:7" x14ac:dyDescent="0.25">
      <c r="B142" s="1"/>
      <c r="C142" s="98"/>
      <c r="D142" s="129"/>
      <c r="E142" s="130"/>
      <c r="F142" s="98"/>
      <c r="G142" s="1"/>
    </row>
    <row r="143" spans="2:7" x14ac:dyDescent="0.25">
      <c r="B143" s="1"/>
      <c r="C143" s="98"/>
      <c r="D143" s="129"/>
      <c r="E143" s="130"/>
      <c r="F143" s="98"/>
      <c r="G143" s="1"/>
    </row>
    <row r="144" spans="2:7" x14ac:dyDescent="0.25">
      <c r="B144" s="1"/>
      <c r="C144" s="98"/>
      <c r="D144" s="129"/>
      <c r="E144" s="130"/>
      <c r="F144" s="98"/>
      <c r="G144" s="1"/>
    </row>
    <row r="145" spans="2:7" x14ac:dyDescent="0.25">
      <c r="B145" s="1"/>
      <c r="C145" s="98"/>
      <c r="D145" s="129"/>
      <c r="E145" s="130"/>
      <c r="F145" s="98"/>
      <c r="G145" s="1"/>
    </row>
    <row r="146" spans="2:7" x14ac:dyDescent="0.25">
      <c r="B146" s="1"/>
      <c r="C146" s="98"/>
      <c r="D146" s="129"/>
      <c r="E146" s="130"/>
      <c r="F146" s="98"/>
      <c r="G146" s="1"/>
    </row>
    <row r="147" spans="2:7" x14ac:dyDescent="0.25">
      <c r="B147" s="1"/>
      <c r="C147" s="98"/>
      <c r="D147" s="129"/>
      <c r="E147" s="130"/>
      <c r="F147" s="98"/>
      <c r="G147" s="1"/>
    </row>
    <row r="148" spans="2:7" x14ac:dyDescent="0.25">
      <c r="B148" s="1"/>
      <c r="C148" s="98"/>
      <c r="D148" s="129"/>
      <c r="E148" s="130"/>
      <c r="F148" s="98"/>
      <c r="G148" s="1"/>
    </row>
    <row r="149" spans="2:7" x14ac:dyDescent="0.25">
      <c r="B149" s="1"/>
      <c r="C149" s="98"/>
      <c r="D149" s="129"/>
      <c r="E149" s="130"/>
      <c r="F149" s="98"/>
      <c r="G149" s="1"/>
    </row>
    <row r="150" spans="2:7" x14ac:dyDescent="0.25">
      <c r="B150" s="1"/>
      <c r="C150" s="98"/>
      <c r="D150" s="129"/>
      <c r="E150" s="130"/>
      <c r="F150" s="98"/>
      <c r="G150" s="1"/>
    </row>
    <row r="151" spans="2:7" x14ac:dyDescent="0.25">
      <c r="B151" s="1"/>
      <c r="C151" s="98"/>
      <c r="D151" s="129"/>
      <c r="E151" s="130"/>
      <c r="F151" s="98"/>
      <c r="G151" s="1"/>
    </row>
    <row r="152" spans="2:7" x14ac:dyDescent="0.25">
      <c r="B152" s="1"/>
      <c r="C152" s="98"/>
      <c r="D152" s="129"/>
      <c r="E152" s="130"/>
      <c r="F152" s="98"/>
      <c r="G152" s="1"/>
    </row>
    <row r="153" spans="2:7" x14ac:dyDescent="0.25">
      <c r="B153" s="1"/>
      <c r="C153" s="98"/>
      <c r="D153" s="129"/>
      <c r="E153" s="130"/>
      <c r="F153" s="98"/>
      <c r="G153" s="1"/>
    </row>
    <row r="154" spans="2:7" x14ac:dyDescent="0.25">
      <c r="B154" s="1"/>
      <c r="C154" s="98"/>
      <c r="D154" s="129"/>
      <c r="E154" s="130"/>
      <c r="F154" s="98"/>
      <c r="G154" s="1"/>
    </row>
    <row r="155" spans="2:7" x14ac:dyDescent="0.25">
      <c r="B155" s="1"/>
      <c r="C155" s="98"/>
      <c r="D155" s="129"/>
      <c r="E155" s="130"/>
      <c r="F155" s="98"/>
      <c r="G155" s="1"/>
    </row>
    <row r="156" spans="2:7" x14ac:dyDescent="0.25">
      <c r="B156" s="1"/>
      <c r="C156" s="98"/>
      <c r="D156" s="129"/>
      <c r="E156" s="130"/>
      <c r="F156" s="98"/>
      <c r="G156" s="1"/>
    </row>
    <row r="157" spans="2:7" x14ac:dyDescent="0.25">
      <c r="B157" s="1"/>
      <c r="C157" s="98"/>
      <c r="D157" s="129"/>
      <c r="E157" s="130"/>
      <c r="F157" s="98"/>
      <c r="G157" s="1"/>
    </row>
    <row r="158" spans="2:7" x14ac:dyDescent="0.25">
      <c r="B158" s="1"/>
      <c r="C158" s="98"/>
      <c r="D158" s="129"/>
      <c r="E158" s="130"/>
      <c r="F158" s="98"/>
      <c r="G158" s="1"/>
    </row>
    <row r="159" spans="2:7" x14ac:dyDescent="0.25">
      <c r="B159" s="1"/>
      <c r="C159" s="98"/>
      <c r="D159" s="129"/>
      <c r="E159" s="130"/>
      <c r="F159" s="98"/>
      <c r="G159" s="1"/>
    </row>
    <row r="160" spans="2:7" x14ac:dyDescent="0.25">
      <c r="B160" s="1"/>
      <c r="C160" s="98"/>
      <c r="D160" s="129"/>
      <c r="E160" s="130"/>
      <c r="F160" s="98"/>
      <c r="G160" s="1"/>
    </row>
    <row r="161" spans="2:7" x14ac:dyDescent="0.25">
      <c r="B161" s="1"/>
      <c r="C161" s="98"/>
      <c r="D161" s="129"/>
      <c r="E161" s="130"/>
      <c r="F161" s="98"/>
      <c r="G161" s="1"/>
    </row>
    <row r="162" spans="2:7" x14ac:dyDescent="0.25">
      <c r="B162" s="1"/>
      <c r="C162" s="98"/>
      <c r="D162" s="129"/>
      <c r="E162" s="130"/>
      <c r="F162" s="98"/>
      <c r="G162" s="1"/>
    </row>
    <row r="163" spans="2:7" x14ac:dyDescent="0.25">
      <c r="B163" s="1"/>
      <c r="C163" s="98"/>
      <c r="D163" s="129"/>
      <c r="E163" s="130"/>
      <c r="F163" s="98"/>
      <c r="G163" s="1"/>
    </row>
    <row r="164" spans="2:7" x14ac:dyDescent="0.25">
      <c r="B164" s="1"/>
      <c r="C164" s="98"/>
      <c r="D164" s="129"/>
      <c r="E164" s="130"/>
      <c r="F164" s="98"/>
      <c r="G164" s="1"/>
    </row>
    <row r="165" spans="2:7" x14ac:dyDescent="0.25">
      <c r="B165" s="1"/>
      <c r="C165" s="98"/>
      <c r="D165" s="129"/>
      <c r="E165" s="130"/>
      <c r="F165" s="98"/>
      <c r="G165" s="1"/>
    </row>
    <row r="166" spans="2:7" x14ac:dyDescent="0.25">
      <c r="B166" s="1"/>
      <c r="C166" s="98"/>
      <c r="D166" s="129"/>
      <c r="E166" s="130"/>
      <c r="F166" s="98"/>
      <c r="G166" s="1"/>
    </row>
    <row r="167" spans="2:7" x14ac:dyDescent="0.25">
      <c r="B167" s="1"/>
      <c r="C167" s="98"/>
      <c r="D167" s="129"/>
      <c r="E167" s="130"/>
      <c r="F167" s="98"/>
      <c r="G167" s="1"/>
    </row>
    <row r="168" spans="2:7" x14ac:dyDescent="0.25">
      <c r="B168" s="1"/>
      <c r="C168" s="98"/>
      <c r="D168" s="129"/>
      <c r="E168" s="130"/>
      <c r="F168" s="98"/>
      <c r="G168" s="1"/>
    </row>
    <row r="169" spans="2:7" x14ac:dyDescent="0.25">
      <c r="B169" s="1"/>
      <c r="C169" s="98"/>
      <c r="D169" s="129"/>
      <c r="E169" s="130"/>
      <c r="F169" s="98"/>
      <c r="G169" s="1"/>
    </row>
    <row r="170" spans="2:7" x14ac:dyDescent="0.25">
      <c r="B170" s="1"/>
      <c r="C170" s="98"/>
      <c r="D170" s="129"/>
      <c r="E170" s="130"/>
      <c r="F170" s="98"/>
      <c r="G170" s="1"/>
    </row>
    <row r="171" spans="2:7" x14ac:dyDescent="0.25">
      <c r="B171" s="1"/>
      <c r="C171" s="98"/>
      <c r="D171" s="129"/>
      <c r="E171" s="130"/>
      <c r="F171" s="98"/>
      <c r="G171" s="1"/>
    </row>
    <row r="172" spans="2:7" x14ac:dyDescent="0.25">
      <c r="B172" s="1"/>
      <c r="C172" s="98"/>
      <c r="D172" s="129"/>
      <c r="E172" s="130"/>
      <c r="F172" s="98"/>
      <c r="G172" s="1"/>
    </row>
    <row r="173" spans="2:7" x14ac:dyDescent="0.25">
      <c r="B173" s="1"/>
      <c r="C173" s="98"/>
      <c r="D173" s="129"/>
      <c r="E173" s="130"/>
      <c r="F173" s="98"/>
      <c r="G173" s="1"/>
    </row>
    <row r="174" spans="2:7" x14ac:dyDescent="0.25">
      <c r="B174" s="1"/>
      <c r="C174" s="98"/>
      <c r="D174" s="129"/>
      <c r="E174" s="130"/>
      <c r="F174" s="98"/>
      <c r="G174" s="1"/>
    </row>
    <row r="175" spans="2:7" x14ac:dyDescent="0.25">
      <c r="B175" s="1"/>
      <c r="C175" s="98"/>
      <c r="D175" s="129"/>
      <c r="E175" s="130"/>
      <c r="F175" s="98"/>
      <c r="G175" s="1"/>
    </row>
    <row r="176" spans="2:7" x14ac:dyDescent="0.25">
      <c r="B176" s="1"/>
      <c r="C176" s="98"/>
      <c r="D176" s="129"/>
      <c r="E176" s="130"/>
      <c r="F176" s="98"/>
      <c r="G176" s="1"/>
    </row>
    <row r="177" spans="2:7" x14ac:dyDescent="0.25">
      <c r="B177" s="1"/>
      <c r="C177" s="98"/>
      <c r="D177" s="129"/>
      <c r="E177" s="130"/>
      <c r="F177" s="98"/>
      <c r="G177" s="1"/>
    </row>
    <row r="178" spans="2:7" x14ac:dyDescent="0.25">
      <c r="B178" s="1"/>
      <c r="C178" s="98"/>
      <c r="D178" s="129"/>
      <c r="E178" s="130"/>
      <c r="F178" s="98"/>
      <c r="G178" s="1"/>
    </row>
    <row r="179" spans="2:7" x14ac:dyDescent="0.25">
      <c r="B179" s="1"/>
      <c r="C179" s="98"/>
      <c r="D179" s="129"/>
      <c r="E179" s="130"/>
      <c r="F179" s="98"/>
      <c r="G179" s="1"/>
    </row>
    <row r="180" spans="2:7" x14ac:dyDescent="0.25">
      <c r="B180" s="1"/>
      <c r="C180" s="98"/>
      <c r="D180" s="129"/>
      <c r="E180" s="130"/>
      <c r="F180" s="98"/>
      <c r="G180" s="1"/>
    </row>
    <row r="181" spans="2:7" x14ac:dyDescent="0.25">
      <c r="B181" s="1"/>
      <c r="C181" s="98"/>
      <c r="D181" s="129"/>
      <c r="E181" s="130"/>
      <c r="F181" s="98"/>
      <c r="G181" s="1"/>
    </row>
    <row r="182" spans="2:7" x14ac:dyDescent="0.25">
      <c r="B182" s="1"/>
      <c r="C182" s="98"/>
      <c r="D182" s="129"/>
      <c r="E182" s="130"/>
      <c r="F182" s="98"/>
      <c r="G182" s="1"/>
    </row>
    <row r="183" spans="2:7" x14ac:dyDescent="0.25">
      <c r="B183" s="1"/>
      <c r="C183" s="98"/>
      <c r="D183" s="129"/>
      <c r="E183" s="130"/>
      <c r="F183" s="98"/>
      <c r="G183" s="1"/>
    </row>
    <row r="184" spans="2:7" x14ac:dyDescent="0.25">
      <c r="B184" s="1"/>
      <c r="C184" s="98"/>
      <c r="D184" s="129"/>
      <c r="E184" s="130"/>
      <c r="F184" s="98"/>
      <c r="G184" s="1"/>
    </row>
    <row r="185" spans="2:7" x14ac:dyDescent="0.25">
      <c r="B185" s="1"/>
      <c r="C185" s="98"/>
      <c r="D185" s="129"/>
      <c r="E185" s="130"/>
      <c r="F185" s="98"/>
      <c r="G185" s="1"/>
    </row>
    <row r="186" spans="2:7" x14ac:dyDescent="0.25">
      <c r="B186" s="1"/>
      <c r="C186" s="98"/>
      <c r="D186" s="129"/>
      <c r="E186" s="130"/>
      <c r="F186" s="98"/>
      <c r="G186" s="1"/>
    </row>
    <row r="187" spans="2:7" x14ac:dyDescent="0.25">
      <c r="B187" s="1"/>
      <c r="C187" s="98"/>
      <c r="D187" s="129"/>
      <c r="E187" s="130"/>
      <c r="F187" s="98"/>
      <c r="G187" s="1"/>
    </row>
    <row r="188" spans="2:7" x14ac:dyDescent="0.25">
      <c r="B188" s="1"/>
      <c r="C188" s="98"/>
      <c r="D188" s="129"/>
      <c r="E188" s="130"/>
      <c r="F188" s="98"/>
      <c r="G188" s="1"/>
    </row>
    <row r="189" spans="2:7" x14ac:dyDescent="0.25">
      <c r="B189" s="1"/>
      <c r="C189" s="98"/>
      <c r="D189" s="129"/>
      <c r="E189" s="130"/>
      <c r="F189" s="98"/>
      <c r="G189" s="1"/>
    </row>
    <row r="190" spans="2:7" x14ac:dyDescent="0.25">
      <c r="B190" s="1"/>
      <c r="C190" s="98"/>
      <c r="D190" s="129"/>
      <c r="E190" s="130"/>
      <c r="F190" s="98"/>
      <c r="G190" s="1"/>
    </row>
    <row r="191" spans="2:7" x14ac:dyDescent="0.25">
      <c r="B191" s="1"/>
      <c r="C191" s="98"/>
      <c r="D191" s="129"/>
      <c r="E191" s="130"/>
      <c r="F191" s="98"/>
      <c r="G191" s="1"/>
    </row>
    <row r="192" spans="2:7" x14ac:dyDescent="0.25">
      <c r="B192" s="1"/>
      <c r="C192" s="98"/>
      <c r="D192" s="129"/>
      <c r="E192" s="130"/>
      <c r="F192" s="98"/>
      <c r="G192" s="1"/>
    </row>
    <row r="193" spans="2:7" x14ac:dyDescent="0.25">
      <c r="B193" s="1"/>
      <c r="C193" s="98"/>
      <c r="D193" s="129"/>
      <c r="E193" s="130"/>
      <c r="F193" s="98"/>
      <c r="G193" s="1"/>
    </row>
    <row r="194" spans="2:7" x14ac:dyDescent="0.25">
      <c r="B194" s="1"/>
      <c r="C194" s="98"/>
      <c r="D194" s="129"/>
      <c r="E194" s="130"/>
      <c r="F194" s="98"/>
      <c r="G194" s="1"/>
    </row>
    <row r="195" spans="2:7" x14ac:dyDescent="0.25">
      <c r="B195" s="1"/>
      <c r="C195" s="98"/>
      <c r="D195" s="129"/>
      <c r="E195" s="130"/>
      <c r="F195" s="98"/>
      <c r="G195" s="1"/>
    </row>
    <row r="196" spans="2:7" x14ac:dyDescent="0.25">
      <c r="B196" s="1"/>
      <c r="C196" s="98"/>
      <c r="D196" s="129"/>
      <c r="E196" s="130"/>
      <c r="F196" s="98"/>
      <c r="G196" s="1"/>
    </row>
    <row r="197" spans="2:7" x14ac:dyDescent="0.25">
      <c r="B197" s="1"/>
      <c r="C197" s="98"/>
      <c r="D197" s="129"/>
      <c r="E197" s="130"/>
      <c r="F197" s="98"/>
      <c r="G197" s="1"/>
    </row>
    <row r="198" spans="2:7" x14ac:dyDescent="0.25">
      <c r="B198" s="1"/>
      <c r="C198" s="98"/>
      <c r="D198" s="129"/>
      <c r="E198" s="130"/>
      <c r="F198" s="98"/>
      <c r="G198" s="1"/>
    </row>
    <row r="199" spans="2:7" x14ac:dyDescent="0.25">
      <c r="B199" s="1"/>
      <c r="C199" s="98"/>
      <c r="D199" s="129"/>
      <c r="E199" s="130"/>
      <c r="F199" s="98"/>
      <c r="G199" s="1"/>
    </row>
    <row r="200" spans="2:7" x14ac:dyDescent="0.25">
      <c r="B200" s="1"/>
      <c r="C200" s="98"/>
      <c r="D200" s="129"/>
      <c r="E200" s="130"/>
      <c r="F200" s="98"/>
      <c r="G200" s="1"/>
    </row>
    <row r="201" spans="2:7" x14ac:dyDescent="0.25">
      <c r="B201" s="1"/>
      <c r="C201" s="98"/>
      <c r="D201" s="129"/>
      <c r="E201" s="130"/>
      <c r="F201" s="98"/>
      <c r="G201" s="1"/>
    </row>
    <row r="202" spans="2:7" x14ac:dyDescent="0.25">
      <c r="B202" s="1"/>
      <c r="C202" s="98"/>
      <c r="D202" s="129"/>
      <c r="E202" s="130"/>
      <c r="F202" s="98"/>
      <c r="G202" s="1"/>
    </row>
    <row r="203" spans="2:7" x14ac:dyDescent="0.25">
      <c r="B203" s="1"/>
      <c r="C203" s="98"/>
      <c r="D203" s="129"/>
      <c r="E203" s="130"/>
      <c r="F203" s="98"/>
      <c r="G203" s="1"/>
    </row>
    <row r="204" spans="2:7" x14ac:dyDescent="0.25">
      <c r="B204" s="1"/>
      <c r="C204" s="98"/>
      <c r="D204" s="129"/>
      <c r="E204" s="130"/>
      <c r="F204" s="98"/>
      <c r="G204" s="1"/>
    </row>
    <row r="205" spans="2:7" x14ac:dyDescent="0.25">
      <c r="B205" s="1"/>
      <c r="C205" s="98"/>
      <c r="D205" s="129"/>
      <c r="E205" s="130"/>
      <c r="F205" s="98"/>
      <c r="G205" s="1"/>
    </row>
    <row r="206" spans="2:7" x14ac:dyDescent="0.25">
      <c r="B206" s="1"/>
      <c r="C206" s="98"/>
      <c r="D206" s="129"/>
      <c r="E206" s="130"/>
      <c r="F206" s="98"/>
      <c r="G206" s="1"/>
    </row>
    <row r="207" spans="2:7" x14ac:dyDescent="0.25">
      <c r="B207" s="1"/>
      <c r="C207" s="98"/>
      <c r="D207" s="129"/>
      <c r="E207" s="130"/>
      <c r="F207" s="98"/>
      <c r="G207" s="1"/>
    </row>
    <row r="208" spans="2:7" x14ac:dyDescent="0.25">
      <c r="B208" s="1"/>
      <c r="C208" s="98"/>
      <c r="D208" s="129"/>
      <c r="E208" s="130"/>
      <c r="F208" s="98"/>
      <c r="G208" s="1"/>
    </row>
    <row r="209" spans="2:7" x14ac:dyDescent="0.25">
      <c r="B209" s="1"/>
      <c r="C209" s="98"/>
      <c r="D209" s="129"/>
      <c r="E209" s="130"/>
      <c r="F209" s="98"/>
      <c r="G209" s="1"/>
    </row>
    <row r="210" spans="2:7" x14ac:dyDescent="0.25">
      <c r="B210" s="1"/>
      <c r="C210" s="98"/>
      <c r="D210" s="129"/>
      <c r="E210" s="130"/>
      <c r="F210" s="98"/>
      <c r="G210" s="1"/>
    </row>
    <row r="211" spans="2:7" x14ac:dyDescent="0.25">
      <c r="B211" s="1"/>
      <c r="C211" s="98"/>
      <c r="D211" s="129"/>
      <c r="E211" s="130"/>
      <c r="F211" s="98"/>
      <c r="G211" s="1"/>
    </row>
    <row r="212" spans="2:7" x14ac:dyDescent="0.25">
      <c r="B212" s="1"/>
      <c r="C212" s="98"/>
      <c r="D212" s="129"/>
      <c r="E212" s="130"/>
      <c r="F212" s="98"/>
      <c r="G212" s="1"/>
    </row>
    <row r="213" spans="2:7" x14ac:dyDescent="0.25">
      <c r="B213" s="1"/>
      <c r="C213" s="98"/>
      <c r="D213" s="129"/>
      <c r="E213" s="130"/>
      <c r="F213" s="98"/>
      <c r="G213" s="1"/>
    </row>
    <row r="214" spans="2:7" x14ac:dyDescent="0.25">
      <c r="B214" s="1"/>
      <c r="C214" s="98"/>
      <c r="D214" s="129"/>
      <c r="E214" s="130"/>
      <c r="F214" s="98"/>
      <c r="G214" s="1"/>
    </row>
    <row r="215" spans="2:7" x14ac:dyDescent="0.25">
      <c r="B215" s="1"/>
      <c r="C215" s="98"/>
      <c r="D215" s="129"/>
      <c r="E215" s="130"/>
      <c r="F215" s="98"/>
      <c r="G215" s="1"/>
    </row>
    <row r="216" spans="2:7" x14ac:dyDescent="0.25">
      <c r="B216" s="1"/>
      <c r="C216" s="98"/>
      <c r="D216" s="129"/>
      <c r="E216" s="130"/>
      <c r="F216" s="98"/>
      <c r="G216" s="1"/>
    </row>
    <row r="217" spans="2:7" x14ac:dyDescent="0.25">
      <c r="B217" s="1"/>
      <c r="C217" s="98"/>
      <c r="D217" s="129"/>
      <c r="E217" s="130"/>
      <c r="F217" s="98"/>
      <c r="G217" s="1"/>
    </row>
    <row r="218" spans="2:7" x14ac:dyDescent="0.25">
      <c r="B218" s="1"/>
      <c r="C218" s="98"/>
      <c r="D218" s="129"/>
      <c r="E218" s="130"/>
      <c r="F218" s="98"/>
      <c r="G218" s="1"/>
    </row>
    <row r="219" spans="2:7" x14ac:dyDescent="0.25">
      <c r="B219" s="1"/>
      <c r="C219" s="98"/>
      <c r="D219" s="129"/>
      <c r="E219" s="130"/>
      <c r="F219" s="98"/>
      <c r="G219" s="1"/>
    </row>
    <row r="220" spans="2:7" x14ac:dyDescent="0.25">
      <c r="B220" s="1"/>
      <c r="C220" s="98"/>
      <c r="D220" s="129"/>
      <c r="E220" s="130"/>
      <c r="F220" s="98"/>
      <c r="G220" s="1"/>
    </row>
    <row r="221" spans="2:7" x14ac:dyDescent="0.25">
      <c r="B221" s="1"/>
      <c r="C221" s="98"/>
      <c r="D221" s="129"/>
      <c r="E221" s="130"/>
      <c r="F221" s="98"/>
      <c r="G221" s="1"/>
    </row>
    <row r="222" spans="2:7" x14ac:dyDescent="0.25">
      <c r="B222" s="1"/>
      <c r="C222" s="98"/>
      <c r="D222" s="129"/>
      <c r="E222" s="130"/>
      <c r="F222" s="98"/>
      <c r="G222" s="1"/>
    </row>
    <row r="223" spans="2:7" x14ac:dyDescent="0.25">
      <c r="B223" s="1"/>
      <c r="C223" s="98"/>
      <c r="D223" s="129"/>
      <c r="E223" s="130"/>
      <c r="F223" s="98"/>
      <c r="G223" s="1"/>
    </row>
    <row r="224" spans="2:7" x14ac:dyDescent="0.25">
      <c r="B224" s="1"/>
      <c r="C224" s="98"/>
      <c r="D224" s="129"/>
      <c r="E224" s="130"/>
      <c r="F224" s="98"/>
      <c r="G224" s="1"/>
    </row>
    <row r="225" spans="2:7" x14ac:dyDescent="0.25">
      <c r="B225" s="1"/>
      <c r="C225" s="98"/>
      <c r="D225" s="129"/>
      <c r="E225" s="130"/>
      <c r="F225" s="98"/>
      <c r="G225" s="1"/>
    </row>
    <row r="226" spans="2:7" x14ac:dyDescent="0.25">
      <c r="B226" s="1"/>
      <c r="C226" s="98"/>
      <c r="D226" s="129"/>
      <c r="E226" s="130"/>
      <c r="F226" s="98"/>
      <c r="G226" s="1"/>
    </row>
    <row r="227" spans="2:7" x14ac:dyDescent="0.25">
      <c r="B227" s="1"/>
      <c r="C227" s="98"/>
      <c r="D227" s="129"/>
      <c r="E227" s="130"/>
      <c r="F227" s="98"/>
      <c r="G227" s="1"/>
    </row>
    <row r="228" spans="2:7" x14ac:dyDescent="0.25">
      <c r="B228" s="1"/>
      <c r="C228" s="98"/>
      <c r="D228" s="129"/>
      <c r="E228" s="130"/>
      <c r="F228" s="98"/>
      <c r="G228" s="1"/>
    </row>
    <row r="229" spans="2:7" x14ac:dyDescent="0.25">
      <c r="B229" s="1"/>
      <c r="C229" s="98"/>
      <c r="D229" s="129"/>
      <c r="E229" s="130"/>
      <c r="F229" s="98"/>
      <c r="G229" s="1"/>
    </row>
    <row r="230" spans="2:7" x14ac:dyDescent="0.25">
      <c r="B230" s="1"/>
      <c r="C230" s="98"/>
      <c r="D230" s="129"/>
      <c r="E230" s="130"/>
      <c r="F230" s="98"/>
      <c r="G230" s="1"/>
    </row>
    <row r="231" spans="2:7" x14ac:dyDescent="0.25">
      <c r="B231" s="1"/>
      <c r="C231" s="98"/>
      <c r="D231" s="129"/>
      <c r="E231" s="130"/>
      <c r="F231" s="98"/>
      <c r="G231" s="1"/>
    </row>
    <row r="232" spans="2:7" x14ac:dyDescent="0.25">
      <c r="B232" s="1"/>
      <c r="C232" s="98"/>
      <c r="D232" s="129"/>
      <c r="E232" s="130"/>
      <c r="F232" s="98"/>
      <c r="G232" s="1"/>
    </row>
    <row r="233" spans="2:7" x14ac:dyDescent="0.25">
      <c r="B233" s="1"/>
      <c r="C233" s="98"/>
      <c r="D233" s="129"/>
      <c r="E233" s="130"/>
      <c r="F233" s="98"/>
      <c r="G233" s="1"/>
    </row>
    <row r="234" spans="2:7" x14ac:dyDescent="0.25">
      <c r="B234" s="1"/>
      <c r="C234" s="98"/>
      <c r="D234" s="129"/>
      <c r="E234" s="130"/>
      <c r="F234" s="98"/>
      <c r="G234" s="1"/>
    </row>
    <row r="235" spans="2:7" x14ac:dyDescent="0.25">
      <c r="B235" s="1"/>
      <c r="C235" s="98"/>
      <c r="D235" s="129"/>
      <c r="E235" s="130"/>
      <c r="F235" s="98"/>
      <c r="G235" s="1"/>
    </row>
    <row r="236" spans="2:7" x14ac:dyDescent="0.25">
      <c r="B236" s="1"/>
      <c r="C236" s="98"/>
      <c r="D236" s="129"/>
      <c r="E236" s="130"/>
      <c r="F236" s="98"/>
      <c r="G236" s="1"/>
    </row>
    <row r="237" spans="2:7" x14ac:dyDescent="0.25">
      <c r="B237" s="1"/>
      <c r="C237" s="98"/>
      <c r="D237" s="129"/>
      <c r="E237" s="130"/>
      <c r="F237" s="98"/>
      <c r="G237" s="1"/>
    </row>
    <row r="238" spans="2:7" x14ac:dyDescent="0.25">
      <c r="B238" s="1"/>
      <c r="C238" s="98"/>
      <c r="D238" s="129"/>
      <c r="E238" s="130"/>
      <c r="F238" s="98"/>
      <c r="G238" s="1"/>
    </row>
    <row r="239" spans="2:7" x14ac:dyDescent="0.25">
      <c r="B239" s="1"/>
      <c r="C239" s="98"/>
      <c r="D239" s="129"/>
      <c r="E239" s="130"/>
      <c r="F239" s="98"/>
      <c r="G239" s="1"/>
    </row>
    <row r="240" spans="2:7" x14ac:dyDescent="0.25">
      <c r="B240" s="1"/>
      <c r="C240" s="98"/>
      <c r="D240" s="129"/>
      <c r="E240" s="130"/>
      <c r="F240" s="98"/>
      <c r="G240" s="1"/>
    </row>
    <row r="241" spans="2:7" x14ac:dyDescent="0.25">
      <c r="B241" s="1"/>
      <c r="C241" s="98"/>
      <c r="D241" s="129"/>
      <c r="E241" s="130"/>
      <c r="F241" s="98"/>
      <c r="G241" s="1"/>
    </row>
    <row r="242" spans="2:7" x14ac:dyDescent="0.25">
      <c r="B242" s="1"/>
      <c r="C242" s="98"/>
      <c r="D242" s="129"/>
      <c r="E242" s="130"/>
      <c r="F242" s="98"/>
      <c r="G242" s="1"/>
    </row>
    <row r="243" spans="2:7" x14ac:dyDescent="0.25">
      <c r="B243" s="1"/>
      <c r="C243" s="98"/>
      <c r="D243" s="129"/>
      <c r="E243" s="130"/>
      <c r="F243" s="98"/>
      <c r="G243" s="1"/>
    </row>
    <row r="244" spans="2:7" x14ac:dyDescent="0.25">
      <c r="B244" s="1"/>
      <c r="C244" s="98"/>
      <c r="D244" s="129"/>
      <c r="E244" s="130"/>
      <c r="F244" s="98"/>
      <c r="G244" s="1"/>
    </row>
    <row r="245" spans="2:7" x14ac:dyDescent="0.25">
      <c r="B245" s="1"/>
      <c r="C245" s="98"/>
      <c r="D245" s="129"/>
      <c r="E245" s="130"/>
      <c r="F245" s="98"/>
      <c r="G245" s="1"/>
    </row>
    <row r="246" spans="2:7" x14ac:dyDescent="0.25">
      <c r="B246" s="1"/>
      <c r="C246" s="98"/>
      <c r="D246" s="129"/>
      <c r="E246" s="130"/>
      <c r="F246" s="98"/>
      <c r="G246" s="1"/>
    </row>
    <row r="247" spans="2:7" x14ac:dyDescent="0.25">
      <c r="B247" s="1"/>
      <c r="C247" s="98"/>
      <c r="D247" s="129"/>
      <c r="E247" s="130"/>
      <c r="F247" s="98"/>
      <c r="G247" s="1"/>
    </row>
    <row r="248" spans="2:7" x14ac:dyDescent="0.25">
      <c r="B248" s="1"/>
      <c r="C248" s="98"/>
      <c r="D248" s="129"/>
      <c r="E248" s="130"/>
      <c r="F248" s="98"/>
      <c r="G248" s="1"/>
    </row>
    <row r="249" spans="2:7" x14ac:dyDescent="0.25">
      <c r="B249" s="1"/>
      <c r="C249" s="98"/>
      <c r="D249" s="129"/>
      <c r="E249" s="130"/>
      <c r="F249" s="98"/>
      <c r="G249" s="1"/>
    </row>
    <row r="250" spans="2:7" x14ac:dyDescent="0.25">
      <c r="B250" s="1"/>
      <c r="C250" s="98"/>
      <c r="D250" s="129"/>
      <c r="E250" s="130"/>
      <c r="F250" s="98"/>
      <c r="G250" s="1"/>
    </row>
    <row r="251" spans="2:7" x14ac:dyDescent="0.25">
      <c r="B251" s="1"/>
      <c r="C251" s="98"/>
      <c r="D251" s="129"/>
      <c r="E251" s="130"/>
      <c r="F251" s="98"/>
      <c r="G251" s="1"/>
    </row>
    <row r="252" spans="2:7" x14ac:dyDescent="0.25">
      <c r="B252" s="1"/>
      <c r="C252" s="98"/>
      <c r="D252" s="129"/>
      <c r="E252" s="130"/>
      <c r="F252" s="98"/>
      <c r="G252" s="1"/>
    </row>
    <row r="253" spans="2:7" x14ac:dyDescent="0.25">
      <c r="B253" s="1"/>
      <c r="C253" s="98"/>
      <c r="D253" s="129"/>
      <c r="E253" s="130"/>
      <c r="F253" s="98"/>
      <c r="G253" s="1"/>
    </row>
    <row r="254" spans="2:7" x14ac:dyDescent="0.25">
      <c r="B254" s="1"/>
      <c r="C254" s="98"/>
      <c r="D254" s="129"/>
      <c r="E254" s="130"/>
      <c r="F254" s="98"/>
      <c r="G254" s="1"/>
    </row>
    <row r="255" spans="2:7" x14ac:dyDescent="0.25">
      <c r="B255" s="1"/>
      <c r="C255" s="98"/>
      <c r="D255" s="129"/>
      <c r="E255" s="130"/>
      <c r="F255" s="98"/>
      <c r="G255" s="1"/>
    </row>
    <row r="256" spans="2:7" x14ac:dyDescent="0.25">
      <c r="B256" s="1"/>
      <c r="C256" s="98"/>
      <c r="D256" s="129"/>
      <c r="E256" s="130"/>
      <c r="F256" s="98"/>
      <c r="G256" s="1"/>
    </row>
    <row r="257" spans="2:7" x14ac:dyDescent="0.25">
      <c r="B257" s="1"/>
      <c r="C257" s="98"/>
      <c r="D257" s="129"/>
      <c r="E257" s="130"/>
      <c r="F257" s="98"/>
      <c r="G257" s="1"/>
    </row>
    <row r="258" spans="2:7" x14ac:dyDescent="0.25">
      <c r="B258" s="1"/>
      <c r="C258" s="98"/>
      <c r="D258" s="129"/>
      <c r="E258" s="130"/>
      <c r="F258" s="98"/>
      <c r="G258" s="1"/>
    </row>
    <row r="259" spans="2:7" x14ac:dyDescent="0.25">
      <c r="B259" s="1"/>
      <c r="C259" s="98"/>
      <c r="D259" s="129"/>
      <c r="E259" s="130"/>
      <c r="F259" s="98"/>
      <c r="G259" s="1"/>
    </row>
    <row r="260" spans="2:7" x14ac:dyDescent="0.25">
      <c r="B260" s="1"/>
      <c r="C260" s="98"/>
      <c r="D260" s="129"/>
      <c r="E260" s="130"/>
      <c r="F260" s="98"/>
      <c r="G260" s="1"/>
    </row>
    <row r="261" spans="2:7" x14ac:dyDescent="0.25">
      <c r="B261" s="1"/>
      <c r="C261" s="98"/>
      <c r="D261" s="129"/>
      <c r="E261" s="130"/>
      <c r="F261" s="98"/>
      <c r="G261" s="1"/>
    </row>
    <row r="262" spans="2:7" x14ac:dyDescent="0.25">
      <c r="B262" s="1"/>
      <c r="C262" s="98"/>
      <c r="D262" s="129"/>
      <c r="E262" s="130"/>
      <c r="F262" s="98"/>
      <c r="G262" s="1"/>
    </row>
    <row r="263" spans="2:7" x14ac:dyDescent="0.25">
      <c r="B263" s="1"/>
      <c r="C263" s="98"/>
      <c r="D263" s="129"/>
      <c r="E263" s="130"/>
      <c r="F263" s="98"/>
      <c r="G263" s="1"/>
    </row>
    <row r="264" spans="2:7" x14ac:dyDescent="0.25">
      <c r="B264" s="1"/>
      <c r="C264" s="98"/>
      <c r="D264" s="129"/>
      <c r="E264" s="130"/>
      <c r="F264" s="98"/>
      <c r="G264" s="1"/>
    </row>
    <row r="265" spans="2:7" x14ac:dyDescent="0.25">
      <c r="B265" s="1"/>
      <c r="C265" s="98"/>
      <c r="D265" s="129"/>
      <c r="E265" s="130"/>
      <c r="F265" s="98"/>
      <c r="G265" s="1"/>
    </row>
    <row r="266" spans="2:7" x14ac:dyDescent="0.25">
      <c r="B266" s="1"/>
      <c r="C266" s="98"/>
      <c r="D266" s="129"/>
      <c r="E266" s="130"/>
      <c r="F266" s="98"/>
      <c r="G266" s="1"/>
    </row>
    <row r="267" spans="2:7" x14ac:dyDescent="0.25">
      <c r="B267" s="1"/>
      <c r="C267" s="98"/>
      <c r="D267" s="129"/>
      <c r="E267" s="130"/>
      <c r="F267" s="98"/>
      <c r="G267" s="1"/>
    </row>
    <row r="268" spans="2:7" x14ac:dyDescent="0.25">
      <c r="B268" s="1"/>
      <c r="C268" s="98"/>
      <c r="D268" s="129"/>
      <c r="E268" s="130"/>
      <c r="F268" s="98"/>
      <c r="G268" s="1"/>
    </row>
    <row r="269" spans="2:7" x14ac:dyDescent="0.25">
      <c r="B269" s="1"/>
      <c r="C269" s="98"/>
      <c r="D269" s="129"/>
      <c r="E269" s="130"/>
      <c r="F269" s="98"/>
      <c r="G269" s="1"/>
    </row>
    <row r="270" spans="2:7" x14ac:dyDescent="0.25">
      <c r="B270" s="1"/>
      <c r="C270" s="98"/>
      <c r="D270" s="129"/>
      <c r="E270" s="130"/>
      <c r="F270" s="98"/>
      <c r="G270" s="1"/>
    </row>
    <row r="271" spans="2:7" x14ac:dyDescent="0.25">
      <c r="B271" s="1"/>
      <c r="C271" s="98"/>
      <c r="D271" s="129"/>
      <c r="E271" s="130"/>
      <c r="F271" s="98"/>
      <c r="G271" s="1"/>
    </row>
    <row r="272" spans="2:7" x14ac:dyDescent="0.25">
      <c r="B272" s="1"/>
      <c r="C272" s="98"/>
      <c r="D272" s="129"/>
      <c r="E272" s="130"/>
      <c r="F272" s="98"/>
      <c r="G272" s="1"/>
    </row>
    <row r="273" spans="2:7" x14ac:dyDescent="0.25">
      <c r="B273" s="1"/>
      <c r="C273" s="98"/>
      <c r="D273" s="129"/>
      <c r="E273" s="130"/>
      <c r="F273" s="98"/>
      <c r="G273" s="1"/>
    </row>
    <row r="274" spans="2:7" x14ac:dyDescent="0.25">
      <c r="B274" s="1"/>
      <c r="C274" s="98"/>
      <c r="D274" s="129"/>
      <c r="E274" s="130"/>
      <c r="F274" s="98"/>
      <c r="G274" s="1"/>
    </row>
    <row r="275" spans="2:7" x14ac:dyDescent="0.25">
      <c r="B275" s="1"/>
      <c r="C275" s="98"/>
      <c r="D275" s="129"/>
      <c r="E275" s="130"/>
      <c r="F275" s="98"/>
      <c r="G275" s="1"/>
    </row>
    <row r="276" spans="2:7" x14ac:dyDescent="0.25">
      <c r="B276" s="1"/>
      <c r="C276" s="98"/>
      <c r="D276" s="129"/>
      <c r="E276" s="130"/>
      <c r="F276" s="98"/>
      <c r="G276" s="1"/>
    </row>
    <row r="277" spans="2:7" x14ac:dyDescent="0.25">
      <c r="B277" s="1"/>
      <c r="C277" s="98"/>
      <c r="D277" s="129"/>
      <c r="E277" s="130"/>
      <c r="F277" s="98"/>
      <c r="G277" s="1"/>
    </row>
    <row r="278" spans="2:7" x14ac:dyDescent="0.25">
      <c r="B278" s="1"/>
      <c r="C278" s="98"/>
      <c r="D278" s="129"/>
      <c r="E278" s="130"/>
      <c r="F278" s="98"/>
      <c r="G278" s="1"/>
    </row>
    <row r="279" spans="2:7" x14ac:dyDescent="0.25">
      <c r="B279" s="1"/>
      <c r="C279" s="98"/>
      <c r="D279" s="129"/>
      <c r="E279" s="130"/>
      <c r="F279" s="98"/>
      <c r="G279" s="1"/>
    </row>
    <row r="280" spans="2:7" x14ac:dyDescent="0.25">
      <c r="B280" s="1"/>
      <c r="C280" s="98"/>
      <c r="D280" s="129"/>
      <c r="E280" s="130"/>
      <c r="F280" s="98"/>
      <c r="G280" s="1"/>
    </row>
    <row r="281" spans="2:7" x14ac:dyDescent="0.25">
      <c r="B281" s="1"/>
      <c r="C281" s="98"/>
      <c r="D281" s="129"/>
      <c r="E281" s="130"/>
      <c r="F281" s="98"/>
      <c r="G281" s="1"/>
    </row>
    <row r="282" spans="2:7" x14ac:dyDescent="0.25">
      <c r="B282" s="1"/>
      <c r="C282" s="98"/>
      <c r="D282" s="129"/>
      <c r="E282" s="130"/>
      <c r="F282" s="98"/>
      <c r="G282" s="1"/>
    </row>
    <row r="283" spans="2:7" x14ac:dyDescent="0.25">
      <c r="B283" s="1"/>
      <c r="C283" s="98"/>
      <c r="D283" s="129"/>
      <c r="E283" s="130"/>
      <c r="F283" s="98"/>
      <c r="G283" s="1"/>
    </row>
    <row r="284" spans="2:7" x14ac:dyDescent="0.25">
      <c r="B284" s="1"/>
      <c r="C284" s="98"/>
      <c r="D284" s="129"/>
      <c r="E284" s="130"/>
      <c r="F284" s="98"/>
      <c r="G284" s="1"/>
    </row>
    <row r="285" spans="2:7" x14ac:dyDescent="0.25">
      <c r="B285" s="1"/>
      <c r="C285" s="98"/>
      <c r="D285" s="129"/>
      <c r="E285" s="130"/>
      <c r="F285" s="98"/>
      <c r="G285" s="1"/>
    </row>
    <row r="286" spans="2:7" x14ac:dyDescent="0.25">
      <c r="B286" s="1"/>
      <c r="C286" s="98"/>
      <c r="D286" s="129"/>
      <c r="E286" s="130"/>
      <c r="F286" s="98"/>
      <c r="G286" s="1"/>
    </row>
    <row r="287" spans="2:7" x14ac:dyDescent="0.25">
      <c r="B287" s="1"/>
      <c r="C287" s="98"/>
      <c r="D287" s="129"/>
      <c r="E287" s="130"/>
      <c r="F287" s="98"/>
      <c r="G287" s="1"/>
    </row>
    <row r="288" spans="2:7" x14ac:dyDescent="0.25">
      <c r="B288" s="1"/>
      <c r="C288" s="98"/>
      <c r="D288" s="129"/>
      <c r="E288" s="130"/>
      <c r="F288" s="98"/>
      <c r="G288" s="1"/>
    </row>
    <row r="289" spans="2:7" x14ac:dyDescent="0.25">
      <c r="B289" s="1"/>
      <c r="C289" s="98"/>
      <c r="D289" s="129"/>
      <c r="E289" s="130"/>
      <c r="F289" s="98"/>
      <c r="G289" s="1"/>
    </row>
    <row r="290" spans="2:7" x14ac:dyDescent="0.25">
      <c r="B290" s="1"/>
      <c r="C290" s="98"/>
      <c r="D290" s="129"/>
      <c r="E290" s="130"/>
      <c r="F290" s="98"/>
      <c r="G290" s="1"/>
    </row>
    <row r="291" spans="2:7" x14ac:dyDescent="0.25">
      <c r="B291" s="1"/>
      <c r="C291" s="98"/>
      <c r="D291" s="129"/>
      <c r="E291" s="130"/>
      <c r="F291" s="98"/>
      <c r="G291" s="1"/>
    </row>
    <row r="292" spans="2:7" x14ac:dyDescent="0.25">
      <c r="B292" s="1"/>
      <c r="C292" s="98"/>
      <c r="D292" s="129"/>
      <c r="E292" s="130"/>
      <c r="F292" s="98"/>
      <c r="G292" s="1"/>
    </row>
    <row r="293" spans="2:7" x14ac:dyDescent="0.25">
      <c r="B293" s="1"/>
      <c r="C293" s="98"/>
      <c r="D293" s="129"/>
      <c r="E293" s="130"/>
      <c r="F293" s="98"/>
      <c r="G293" s="1"/>
    </row>
    <row r="294" spans="2:7" x14ac:dyDescent="0.25">
      <c r="B294" s="1"/>
      <c r="C294" s="98"/>
      <c r="D294" s="129"/>
      <c r="E294" s="130"/>
      <c r="F294" s="98"/>
      <c r="G294" s="1"/>
    </row>
    <row r="295" spans="2:7" x14ac:dyDescent="0.25">
      <c r="B295" s="1"/>
      <c r="C295" s="98"/>
      <c r="D295" s="129"/>
      <c r="E295" s="130"/>
      <c r="F295" s="98"/>
      <c r="G295" s="1"/>
    </row>
    <row r="296" spans="2:7" x14ac:dyDescent="0.25">
      <c r="B296" s="1"/>
      <c r="C296" s="98"/>
      <c r="D296" s="129"/>
      <c r="E296" s="130"/>
      <c r="F296" s="98"/>
      <c r="G296" s="1"/>
    </row>
    <row r="297" spans="2:7" x14ac:dyDescent="0.25">
      <c r="B297" s="1"/>
      <c r="C297" s="98"/>
      <c r="D297" s="129"/>
      <c r="E297" s="130"/>
      <c r="F297" s="98"/>
      <c r="G297" s="1"/>
    </row>
    <row r="298" spans="2:7" x14ac:dyDescent="0.25">
      <c r="B298" s="1"/>
      <c r="C298" s="98"/>
      <c r="D298" s="129"/>
      <c r="E298" s="130"/>
      <c r="F298" s="98"/>
      <c r="G298" s="1"/>
    </row>
    <row r="299" spans="2:7" x14ac:dyDescent="0.25">
      <c r="B299" s="1"/>
      <c r="C299" s="98"/>
      <c r="D299" s="129"/>
      <c r="E299" s="130"/>
      <c r="F299" s="98"/>
      <c r="G299" s="1"/>
    </row>
    <row r="300" spans="2:7" x14ac:dyDescent="0.25">
      <c r="B300" s="1"/>
      <c r="C300" s="98"/>
      <c r="D300" s="129"/>
      <c r="E300" s="130"/>
      <c r="F300" s="98"/>
      <c r="G300" s="1"/>
    </row>
    <row r="301" spans="2:7" x14ac:dyDescent="0.25">
      <c r="B301" s="1"/>
      <c r="C301" s="98"/>
      <c r="D301" s="129"/>
      <c r="E301" s="130"/>
      <c r="F301" s="98"/>
      <c r="G301" s="1"/>
    </row>
    <row r="302" spans="2:7" x14ac:dyDescent="0.25">
      <c r="B302" s="1"/>
      <c r="C302" s="98"/>
      <c r="D302" s="129"/>
      <c r="E302" s="130"/>
      <c r="F302" s="98"/>
      <c r="G302" s="1"/>
    </row>
    <row r="303" spans="2:7" x14ac:dyDescent="0.25">
      <c r="B303" s="1"/>
      <c r="C303" s="98"/>
      <c r="D303" s="129"/>
      <c r="E303" s="130"/>
      <c r="F303" s="98"/>
      <c r="G303" s="1"/>
    </row>
    <row r="304" spans="2:7" x14ac:dyDescent="0.25">
      <c r="B304" s="1"/>
      <c r="C304" s="98"/>
      <c r="D304" s="129"/>
      <c r="E304" s="130"/>
      <c r="F304" s="98"/>
      <c r="G304" s="1"/>
    </row>
    <row r="305" spans="2:7" x14ac:dyDescent="0.25">
      <c r="B305" s="1"/>
      <c r="C305" s="98"/>
      <c r="D305" s="129"/>
      <c r="E305" s="130"/>
      <c r="F305" s="98"/>
      <c r="G305" s="1"/>
    </row>
    <row r="306" spans="2:7" x14ac:dyDescent="0.25">
      <c r="B306" s="1"/>
      <c r="C306" s="98"/>
      <c r="D306" s="129"/>
      <c r="E306" s="130"/>
      <c r="F306" s="98"/>
      <c r="G306" s="1"/>
    </row>
    <row r="307" spans="2:7" x14ac:dyDescent="0.25">
      <c r="B307" s="1"/>
      <c r="C307" s="98"/>
      <c r="D307" s="129"/>
      <c r="E307" s="130"/>
      <c r="F307" s="98"/>
      <c r="G307" s="1"/>
    </row>
    <row r="308" spans="2:7" x14ac:dyDescent="0.25">
      <c r="B308" s="1"/>
      <c r="C308" s="98"/>
      <c r="D308" s="129"/>
      <c r="E308" s="130"/>
      <c r="F308" s="98"/>
      <c r="G308" s="1"/>
    </row>
    <row r="309" spans="2:7" x14ac:dyDescent="0.25">
      <c r="B309" s="1"/>
      <c r="C309" s="98"/>
      <c r="D309" s="129"/>
      <c r="E309" s="130"/>
      <c r="F309" s="98"/>
      <c r="G309" s="1"/>
    </row>
    <row r="310" spans="2:7" x14ac:dyDescent="0.25">
      <c r="B310" s="1"/>
      <c r="C310" s="98"/>
      <c r="D310" s="129"/>
      <c r="E310" s="130"/>
      <c r="F310" s="98"/>
      <c r="G310" s="1"/>
    </row>
    <row r="311" spans="2:7" x14ac:dyDescent="0.25">
      <c r="B311" s="1"/>
      <c r="C311" s="98"/>
      <c r="D311" s="129"/>
      <c r="E311" s="130"/>
      <c r="F311" s="98"/>
      <c r="G311" s="1"/>
    </row>
    <row r="312" spans="2:7" x14ac:dyDescent="0.25">
      <c r="B312" s="1"/>
      <c r="C312" s="98"/>
      <c r="D312" s="129"/>
      <c r="E312" s="130"/>
      <c r="F312" s="98"/>
      <c r="G312" s="1"/>
    </row>
    <row r="313" spans="2:7" x14ac:dyDescent="0.25">
      <c r="B313" s="1"/>
      <c r="C313" s="98"/>
      <c r="D313" s="129"/>
      <c r="E313" s="130"/>
      <c r="F313" s="98"/>
      <c r="G313" s="1"/>
    </row>
    <row r="314" spans="2:7" x14ac:dyDescent="0.25">
      <c r="B314" s="1"/>
      <c r="C314" s="98"/>
      <c r="D314" s="129"/>
      <c r="E314" s="130"/>
      <c r="F314" s="98"/>
      <c r="G314" s="1"/>
    </row>
    <row r="315" spans="2:7" x14ac:dyDescent="0.25">
      <c r="B315" s="1"/>
      <c r="C315" s="98"/>
      <c r="D315" s="129"/>
      <c r="E315" s="130"/>
      <c r="F315" s="98"/>
      <c r="G315" s="1"/>
    </row>
    <row r="316" spans="2:7" x14ac:dyDescent="0.25">
      <c r="B316" s="1"/>
      <c r="C316" s="98"/>
      <c r="D316" s="129"/>
      <c r="E316" s="130"/>
      <c r="F316" s="98"/>
      <c r="G316" s="1"/>
    </row>
    <row r="317" spans="2:7" x14ac:dyDescent="0.25">
      <c r="B317" s="1"/>
      <c r="C317" s="98"/>
      <c r="D317" s="129"/>
      <c r="E317" s="130"/>
      <c r="F317" s="98"/>
      <c r="G317" s="1"/>
    </row>
    <row r="318" spans="2:7" x14ac:dyDescent="0.25">
      <c r="B318" s="1"/>
      <c r="C318" s="98"/>
      <c r="D318" s="129"/>
      <c r="E318" s="130"/>
      <c r="F318" s="98"/>
      <c r="G318" s="1"/>
    </row>
    <row r="319" spans="2:7" x14ac:dyDescent="0.25">
      <c r="B319" s="1"/>
      <c r="C319" s="98"/>
      <c r="D319" s="129"/>
      <c r="E319" s="130"/>
      <c r="F319" s="98"/>
      <c r="G319" s="1"/>
    </row>
    <row r="320" spans="2:7" x14ac:dyDescent="0.25">
      <c r="B320" s="1"/>
      <c r="C320" s="98"/>
      <c r="D320" s="129"/>
      <c r="E320" s="130"/>
      <c r="F320" s="98"/>
      <c r="G320" s="1"/>
    </row>
    <row r="321" spans="2:7" x14ac:dyDescent="0.25">
      <c r="B321" s="1"/>
      <c r="C321" s="98"/>
      <c r="D321" s="129"/>
      <c r="E321" s="130"/>
      <c r="F321" s="98"/>
      <c r="G321" s="1"/>
    </row>
    <row r="322" spans="2:7" x14ac:dyDescent="0.25">
      <c r="B322" s="1"/>
      <c r="C322" s="98"/>
      <c r="D322" s="129"/>
      <c r="E322" s="130"/>
      <c r="F322" s="98"/>
      <c r="G322" s="1"/>
    </row>
    <row r="323" spans="2:7" x14ac:dyDescent="0.25">
      <c r="B323" s="1"/>
      <c r="C323" s="98"/>
      <c r="D323" s="129"/>
      <c r="E323" s="130"/>
      <c r="F323" s="98"/>
      <c r="G323" s="1"/>
    </row>
    <row r="324" spans="2:7" x14ac:dyDescent="0.25">
      <c r="B324" s="1"/>
      <c r="C324" s="98"/>
      <c r="D324" s="129"/>
      <c r="E324" s="130"/>
      <c r="F324" s="98"/>
      <c r="G324" s="1"/>
    </row>
    <row r="325" spans="2:7" x14ac:dyDescent="0.25">
      <c r="B325" s="1"/>
      <c r="C325" s="98"/>
      <c r="D325" s="129"/>
      <c r="E325" s="130"/>
      <c r="F325" s="98"/>
      <c r="G325" s="1"/>
    </row>
    <row r="326" spans="2:7" x14ac:dyDescent="0.25">
      <c r="B326" s="1"/>
      <c r="C326" s="98"/>
      <c r="D326" s="129"/>
      <c r="E326" s="130"/>
      <c r="F326" s="98"/>
      <c r="G326" s="1"/>
    </row>
    <row r="327" spans="2:7" x14ac:dyDescent="0.25">
      <c r="B327" s="1"/>
      <c r="C327" s="98"/>
      <c r="D327" s="129"/>
      <c r="E327" s="130"/>
      <c r="F327" s="98"/>
      <c r="G327" s="1"/>
    </row>
    <row r="328" spans="2:7" x14ac:dyDescent="0.25">
      <c r="B328" s="1"/>
      <c r="C328" s="98"/>
      <c r="D328" s="129"/>
      <c r="E328" s="130"/>
      <c r="F328" s="98"/>
      <c r="G328" s="1"/>
    </row>
    <row r="329" spans="2:7" x14ac:dyDescent="0.25">
      <c r="B329" s="1"/>
      <c r="C329" s="98"/>
      <c r="D329" s="129"/>
      <c r="E329" s="130"/>
      <c r="F329" s="98"/>
      <c r="G329" s="1"/>
    </row>
    <row r="330" spans="2:7" x14ac:dyDescent="0.25">
      <c r="B330" s="1"/>
      <c r="C330" s="98"/>
      <c r="D330" s="129"/>
      <c r="E330" s="130"/>
      <c r="F330" s="98"/>
      <c r="G330" s="1"/>
    </row>
    <row r="331" spans="2:7" x14ac:dyDescent="0.25">
      <c r="B331" s="1"/>
      <c r="C331" s="98"/>
      <c r="D331" s="129"/>
      <c r="E331" s="130"/>
      <c r="F331" s="98"/>
      <c r="G331" s="1"/>
    </row>
    <row r="332" spans="2:7" x14ac:dyDescent="0.25">
      <c r="B332" s="1"/>
      <c r="C332" s="98"/>
      <c r="D332" s="129"/>
      <c r="E332" s="130"/>
      <c r="F332" s="98"/>
      <c r="G332" s="1"/>
    </row>
    <row r="333" spans="2:7" x14ac:dyDescent="0.25">
      <c r="B333" s="1"/>
      <c r="C333" s="98"/>
      <c r="D333" s="129"/>
      <c r="E333" s="130"/>
      <c r="F333" s="98"/>
      <c r="G333" s="1"/>
    </row>
    <row r="334" spans="2:7" x14ac:dyDescent="0.25">
      <c r="B334" s="1"/>
      <c r="C334" s="98"/>
      <c r="D334" s="129"/>
      <c r="E334" s="130"/>
      <c r="F334" s="98"/>
      <c r="G334" s="1"/>
    </row>
    <row r="335" spans="2:7" x14ac:dyDescent="0.25">
      <c r="B335" s="1"/>
      <c r="C335" s="98"/>
      <c r="D335" s="129"/>
      <c r="E335" s="130"/>
      <c r="F335" s="98"/>
      <c r="G335" s="1"/>
    </row>
    <row r="336" spans="2:7" x14ac:dyDescent="0.25">
      <c r="B336" s="1"/>
      <c r="C336" s="98"/>
      <c r="D336" s="129"/>
      <c r="E336" s="130"/>
      <c r="F336" s="98"/>
      <c r="G336" s="1"/>
    </row>
    <row r="337" spans="2:7" x14ac:dyDescent="0.25">
      <c r="B337" s="1"/>
      <c r="C337" s="98"/>
      <c r="D337" s="129"/>
      <c r="E337" s="130"/>
      <c r="F337" s="98"/>
      <c r="G337" s="1"/>
    </row>
    <row r="338" spans="2:7" x14ac:dyDescent="0.25">
      <c r="B338" s="1"/>
      <c r="C338" s="98"/>
      <c r="D338" s="129"/>
      <c r="E338" s="130"/>
      <c r="F338" s="98"/>
      <c r="G338" s="1"/>
    </row>
    <row r="339" spans="2:7" x14ac:dyDescent="0.25">
      <c r="B339" s="1"/>
      <c r="C339" s="98"/>
      <c r="D339" s="129"/>
      <c r="E339" s="130"/>
      <c r="F339" s="98"/>
      <c r="G339" s="1"/>
    </row>
    <row r="340" spans="2:7" x14ac:dyDescent="0.25">
      <c r="B340" s="1"/>
      <c r="C340" s="98"/>
      <c r="D340" s="129"/>
      <c r="E340" s="130"/>
      <c r="F340" s="98"/>
      <c r="G340" s="1"/>
    </row>
    <row r="341" spans="2:7" x14ac:dyDescent="0.25">
      <c r="B341" s="1"/>
      <c r="C341" s="98"/>
      <c r="D341" s="129"/>
      <c r="E341" s="130"/>
      <c r="F341" s="98"/>
      <c r="G341" s="1"/>
    </row>
    <row r="342" spans="2:7" x14ac:dyDescent="0.25">
      <c r="B342" s="1"/>
      <c r="C342" s="98"/>
      <c r="D342" s="129"/>
      <c r="E342" s="130"/>
      <c r="F342" s="98"/>
      <c r="G342" s="1"/>
    </row>
    <row r="343" spans="2:7" x14ac:dyDescent="0.25">
      <c r="B343" s="1"/>
      <c r="C343" s="98"/>
      <c r="D343" s="129"/>
      <c r="E343" s="130"/>
      <c r="F343" s="98"/>
      <c r="G343" s="1"/>
    </row>
    <row r="344" spans="2:7" x14ac:dyDescent="0.25">
      <c r="B344" s="1"/>
      <c r="C344" s="98"/>
      <c r="D344" s="129"/>
      <c r="E344" s="130"/>
      <c r="F344" s="98"/>
      <c r="G344" s="1"/>
    </row>
    <row r="345" spans="2:7" x14ac:dyDescent="0.25">
      <c r="B345" s="1"/>
      <c r="C345" s="98"/>
      <c r="D345" s="129"/>
      <c r="E345" s="130"/>
      <c r="F345" s="98"/>
      <c r="G345" s="1"/>
    </row>
    <row r="346" spans="2:7" x14ac:dyDescent="0.25">
      <c r="B346" s="1"/>
      <c r="C346" s="98"/>
      <c r="D346" s="129"/>
      <c r="E346" s="130"/>
      <c r="F346" s="98"/>
      <c r="G346" s="1"/>
    </row>
    <row r="347" spans="2:7" x14ac:dyDescent="0.25">
      <c r="B347" s="1"/>
      <c r="C347" s="98"/>
      <c r="D347" s="129"/>
      <c r="E347" s="130"/>
      <c r="F347" s="98"/>
      <c r="G347" s="1"/>
    </row>
    <row r="348" spans="2:7" x14ac:dyDescent="0.25">
      <c r="B348" s="1"/>
      <c r="C348" s="98"/>
      <c r="D348" s="129"/>
      <c r="E348" s="130"/>
      <c r="F348" s="98"/>
      <c r="G348" s="1"/>
    </row>
    <row r="349" spans="2:7" x14ac:dyDescent="0.25">
      <c r="B349" s="1"/>
      <c r="C349" s="98"/>
      <c r="D349" s="129"/>
      <c r="E349" s="130"/>
      <c r="F349" s="98"/>
      <c r="G349" s="1"/>
    </row>
    <row r="350" spans="2:7" x14ac:dyDescent="0.25">
      <c r="B350" s="1"/>
      <c r="C350" s="98"/>
      <c r="D350" s="129"/>
      <c r="E350" s="130"/>
      <c r="F350" s="98"/>
      <c r="G350" s="1"/>
    </row>
    <row r="351" spans="2:7" x14ac:dyDescent="0.25">
      <c r="B351" s="1"/>
      <c r="C351" s="98"/>
      <c r="D351" s="129"/>
      <c r="E351" s="130"/>
      <c r="F351" s="98"/>
      <c r="G351" s="1"/>
    </row>
    <row r="352" spans="2:7" x14ac:dyDescent="0.25">
      <c r="B352" s="1"/>
      <c r="C352" s="98"/>
      <c r="D352" s="129"/>
      <c r="E352" s="130"/>
      <c r="F352" s="98"/>
      <c r="G352" s="1"/>
    </row>
    <row r="353" spans="2:7" x14ac:dyDescent="0.25">
      <c r="B353" s="1"/>
      <c r="C353" s="98"/>
      <c r="D353" s="129"/>
      <c r="E353" s="130"/>
      <c r="F353" s="98"/>
      <c r="G353" s="1"/>
    </row>
    <row r="354" spans="2:7" x14ac:dyDescent="0.25">
      <c r="B354" s="1"/>
      <c r="C354" s="98"/>
      <c r="D354" s="129"/>
      <c r="E354" s="130"/>
      <c r="F354" s="98"/>
      <c r="G354" s="1"/>
    </row>
    <row r="355" spans="2:7" x14ac:dyDescent="0.25">
      <c r="B355" s="1"/>
      <c r="C355" s="98"/>
      <c r="D355" s="129"/>
      <c r="E355" s="130"/>
      <c r="F355" s="98"/>
      <c r="G355" s="1"/>
    </row>
    <row r="356" spans="2:7" x14ac:dyDescent="0.25">
      <c r="B356" s="1"/>
      <c r="C356" s="98"/>
      <c r="D356" s="129"/>
      <c r="E356" s="130"/>
      <c r="F356" s="98"/>
      <c r="G356" s="1"/>
    </row>
    <row r="357" spans="2:7" x14ac:dyDescent="0.25">
      <c r="B357" s="1"/>
      <c r="C357" s="98"/>
      <c r="D357" s="129"/>
      <c r="E357" s="130"/>
      <c r="F357" s="98"/>
      <c r="G357" s="1"/>
    </row>
    <row r="358" spans="2:7" x14ac:dyDescent="0.25">
      <c r="B358" s="1"/>
      <c r="C358" s="98"/>
      <c r="D358" s="129"/>
      <c r="E358" s="130"/>
      <c r="F358" s="98"/>
      <c r="G358" s="1"/>
    </row>
    <row r="359" spans="2:7" x14ac:dyDescent="0.25">
      <c r="B359" s="1"/>
      <c r="C359" s="98"/>
      <c r="D359" s="129"/>
      <c r="E359" s="130"/>
      <c r="F359" s="98"/>
      <c r="G359" s="1"/>
    </row>
    <row r="360" spans="2:7" x14ac:dyDescent="0.25">
      <c r="B360" s="1"/>
      <c r="C360" s="98"/>
      <c r="D360" s="129"/>
      <c r="E360" s="130"/>
      <c r="F360" s="98"/>
      <c r="G360" s="1"/>
    </row>
    <row r="361" spans="2:7" x14ac:dyDescent="0.25">
      <c r="B361" s="1"/>
      <c r="C361" s="98"/>
      <c r="D361" s="129"/>
      <c r="E361" s="130"/>
      <c r="F361" s="98"/>
      <c r="G361" s="1"/>
    </row>
    <row r="362" spans="2:7" x14ac:dyDescent="0.25">
      <c r="B362" s="1"/>
      <c r="C362" s="98"/>
      <c r="D362" s="129"/>
      <c r="E362" s="130"/>
      <c r="F362" s="98"/>
      <c r="G362" s="1"/>
    </row>
    <row r="363" spans="2:7" x14ac:dyDescent="0.25">
      <c r="B363" s="1"/>
      <c r="C363" s="98"/>
      <c r="D363" s="129"/>
      <c r="E363" s="130"/>
      <c r="F363" s="98"/>
      <c r="G363" s="1"/>
    </row>
    <row r="364" spans="2:7" x14ac:dyDescent="0.25">
      <c r="B364" s="1"/>
      <c r="C364" s="98"/>
      <c r="D364" s="129"/>
      <c r="E364" s="130"/>
      <c r="F364" s="98"/>
      <c r="G364" s="1"/>
    </row>
    <row r="365" spans="2:7" x14ac:dyDescent="0.25">
      <c r="B365" s="1"/>
      <c r="C365" s="98"/>
      <c r="D365" s="129"/>
      <c r="E365" s="130"/>
      <c r="F365" s="98"/>
      <c r="G365" s="1"/>
    </row>
    <row r="366" spans="2:7" x14ac:dyDescent="0.25">
      <c r="B366" s="1"/>
      <c r="C366" s="98"/>
      <c r="D366" s="129"/>
      <c r="E366" s="130"/>
      <c r="F366" s="98"/>
      <c r="G366" s="1"/>
    </row>
    <row r="367" spans="2:7" x14ac:dyDescent="0.25">
      <c r="B367" s="1"/>
      <c r="C367" s="98"/>
      <c r="D367" s="129"/>
      <c r="E367" s="130"/>
      <c r="F367" s="98"/>
      <c r="G367" s="1"/>
    </row>
    <row r="368" spans="2:7" x14ac:dyDescent="0.25">
      <c r="B368" s="1"/>
      <c r="C368" s="98"/>
      <c r="D368" s="129"/>
      <c r="E368" s="130"/>
      <c r="F368" s="98"/>
      <c r="G368" s="1"/>
    </row>
    <row r="369" spans="2:7" x14ac:dyDescent="0.25">
      <c r="B369" s="1"/>
      <c r="C369" s="98"/>
      <c r="D369" s="129"/>
      <c r="E369" s="130"/>
      <c r="F369" s="98"/>
      <c r="G369" s="1"/>
    </row>
    <row r="370" spans="2:7" x14ac:dyDescent="0.25">
      <c r="B370" s="1"/>
      <c r="C370" s="98"/>
      <c r="D370" s="129"/>
      <c r="E370" s="130"/>
      <c r="F370" s="98"/>
      <c r="G370" s="1"/>
    </row>
    <row r="371" spans="2:7" x14ac:dyDescent="0.25">
      <c r="B371" s="1"/>
      <c r="C371" s="98"/>
      <c r="D371" s="129"/>
      <c r="E371" s="130"/>
      <c r="F371" s="98"/>
      <c r="G371" s="1"/>
    </row>
    <row r="372" spans="2:7" x14ac:dyDescent="0.25">
      <c r="B372" s="1"/>
      <c r="C372" s="98"/>
      <c r="D372" s="129"/>
      <c r="E372" s="130"/>
      <c r="F372" s="98"/>
      <c r="G372" s="1"/>
    </row>
    <row r="373" spans="2:7" x14ac:dyDescent="0.25">
      <c r="B373" s="1"/>
      <c r="C373" s="98"/>
      <c r="D373" s="129"/>
      <c r="E373" s="130"/>
      <c r="F373" s="98"/>
      <c r="G373" s="1"/>
    </row>
    <row r="374" spans="2:7" x14ac:dyDescent="0.25">
      <c r="B374" s="1"/>
      <c r="C374" s="98"/>
      <c r="D374" s="129"/>
      <c r="E374" s="130"/>
      <c r="F374" s="98"/>
      <c r="G374" s="1"/>
    </row>
    <row r="375" spans="2:7" x14ac:dyDescent="0.25">
      <c r="B375" s="1"/>
      <c r="C375" s="98"/>
      <c r="D375" s="129"/>
      <c r="E375" s="130"/>
      <c r="F375" s="98"/>
      <c r="G375" s="1"/>
    </row>
    <row r="376" spans="2:7" x14ac:dyDescent="0.25">
      <c r="B376" s="1"/>
      <c r="C376" s="98"/>
      <c r="D376" s="129"/>
      <c r="E376" s="130"/>
      <c r="F376" s="98"/>
      <c r="G376" s="1"/>
    </row>
    <row r="377" spans="2:7" x14ac:dyDescent="0.25">
      <c r="B377" s="1"/>
      <c r="C377" s="98"/>
      <c r="D377" s="129"/>
      <c r="E377" s="130"/>
      <c r="F377" s="98"/>
      <c r="G377" s="1"/>
    </row>
    <row r="378" spans="2:7" x14ac:dyDescent="0.25">
      <c r="B378" s="1"/>
      <c r="C378" s="98"/>
      <c r="D378" s="129"/>
      <c r="E378" s="130"/>
      <c r="F378" s="98"/>
      <c r="G378" s="1"/>
    </row>
    <row r="379" spans="2:7" x14ac:dyDescent="0.25">
      <c r="B379" s="1"/>
      <c r="C379" s="98"/>
      <c r="D379" s="129"/>
      <c r="E379" s="130"/>
      <c r="F379" s="98"/>
      <c r="G379" s="1"/>
    </row>
    <row r="380" spans="2:7" x14ac:dyDescent="0.25">
      <c r="B380" s="1"/>
      <c r="C380" s="98"/>
      <c r="D380" s="129"/>
      <c r="E380" s="130"/>
      <c r="F380" s="98"/>
      <c r="G380" s="1"/>
    </row>
    <row r="381" spans="2:7" x14ac:dyDescent="0.25">
      <c r="B381" s="1"/>
      <c r="C381" s="98"/>
      <c r="D381" s="129"/>
      <c r="E381" s="130"/>
      <c r="F381" s="98"/>
      <c r="G381" s="1"/>
    </row>
    <row r="382" spans="2:7" x14ac:dyDescent="0.25">
      <c r="B382" s="1"/>
      <c r="C382" s="98"/>
      <c r="D382" s="129"/>
      <c r="E382" s="130"/>
      <c r="F382" s="98"/>
      <c r="G382" s="1"/>
    </row>
    <row r="383" spans="2:7" x14ac:dyDescent="0.25">
      <c r="B383" s="1"/>
      <c r="C383" s="98"/>
      <c r="D383" s="129"/>
      <c r="E383" s="130"/>
      <c r="F383" s="98"/>
      <c r="G383" s="1"/>
    </row>
    <row r="384" spans="2:7" x14ac:dyDescent="0.25">
      <c r="B384" s="1"/>
      <c r="C384" s="98"/>
      <c r="D384" s="129"/>
      <c r="E384" s="130"/>
      <c r="F384" s="98"/>
      <c r="G384" s="1"/>
    </row>
    <row r="385" spans="2:7" x14ac:dyDescent="0.25">
      <c r="B385" s="1"/>
      <c r="C385" s="98"/>
      <c r="D385" s="129"/>
      <c r="E385" s="130"/>
      <c r="F385" s="98"/>
      <c r="G385" s="1"/>
    </row>
    <row r="386" spans="2:7" x14ac:dyDescent="0.25">
      <c r="B386" s="1"/>
      <c r="C386" s="98"/>
      <c r="D386" s="129"/>
      <c r="E386" s="130"/>
      <c r="F386" s="98"/>
      <c r="G386" s="1"/>
    </row>
    <row r="387" spans="2:7" x14ac:dyDescent="0.25">
      <c r="B387" s="1"/>
      <c r="C387" s="98"/>
      <c r="D387" s="129"/>
      <c r="E387" s="130"/>
      <c r="F387" s="98"/>
      <c r="G387" s="1"/>
    </row>
    <row r="388" spans="2:7" x14ac:dyDescent="0.25">
      <c r="B388" s="1"/>
      <c r="C388" s="98"/>
      <c r="D388" s="129"/>
      <c r="E388" s="130"/>
      <c r="F388" s="98"/>
      <c r="G388" s="1"/>
    </row>
    <row r="389" spans="2:7" x14ac:dyDescent="0.25">
      <c r="B389" s="1"/>
      <c r="C389" s="98"/>
      <c r="D389" s="129"/>
      <c r="E389" s="130"/>
      <c r="F389" s="98"/>
      <c r="G389" s="1"/>
    </row>
    <row r="390" spans="2:7" x14ac:dyDescent="0.25">
      <c r="B390" s="1"/>
      <c r="C390" s="98"/>
      <c r="D390" s="129"/>
      <c r="E390" s="130"/>
      <c r="F390" s="98"/>
      <c r="G390" s="1"/>
    </row>
    <row r="391" spans="2:7" x14ac:dyDescent="0.25">
      <c r="B391" s="1"/>
      <c r="C391" s="98"/>
      <c r="D391" s="129"/>
      <c r="E391" s="130"/>
      <c r="F391" s="98"/>
      <c r="G391" s="1"/>
    </row>
    <row r="392" spans="2:7" x14ac:dyDescent="0.25">
      <c r="B392" s="1"/>
      <c r="C392" s="98"/>
      <c r="D392" s="129"/>
      <c r="E392" s="130"/>
      <c r="F392" s="98"/>
      <c r="G392" s="1"/>
    </row>
    <row r="393" spans="2:7" x14ac:dyDescent="0.25">
      <c r="B393" s="1"/>
      <c r="C393" s="98"/>
      <c r="D393" s="129"/>
      <c r="E393" s="130"/>
      <c r="F393" s="98"/>
      <c r="G393" s="1"/>
    </row>
    <row r="394" spans="2:7" x14ac:dyDescent="0.25">
      <c r="B394" s="1"/>
      <c r="C394" s="98"/>
      <c r="D394" s="129"/>
      <c r="E394" s="130"/>
      <c r="F394" s="98"/>
      <c r="G394" s="1"/>
    </row>
    <row r="395" spans="2:7" x14ac:dyDescent="0.25">
      <c r="B395" s="1"/>
      <c r="C395" s="98"/>
      <c r="D395" s="129"/>
      <c r="E395" s="130"/>
      <c r="F395" s="98"/>
      <c r="G395" s="1"/>
    </row>
    <row r="396" spans="2:7" x14ac:dyDescent="0.25">
      <c r="B396" s="1"/>
      <c r="C396" s="98"/>
      <c r="D396" s="129"/>
      <c r="E396" s="130"/>
      <c r="F396" s="98"/>
      <c r="G396" s="1"/>
    </row>
    <row r="397" spans="2:7" x14ac:dyDescent="0.25">
      <c r="B397" s="1"/>
      <c r="C397" s="98"/>
      <c r="D397" s="129"/>
      <c r="E397" s="130"/>
      <c r="F397" s="98"/>
      <c r="G397" s="1"/>
    </row>
    <row r="398" spans="2:7" x14ac:dyDescent="0.25">
      <c r="B398" s="1"/>
      <c r="C398" s="98"/>
      <c r="D398" s="129"/>
      <c r="E398" s="130"/>
      <c r="F398" s="98"/>
      <c r="G398" s="1"/>
    </row>
    <row r="399" spans="2:7" x14ac:dyDescent="0.25">
      <c r="B399" s="1"/>
      <c r="C399" s="98"/>
      <c r="D399" s="129"/>
      <c r="E399" s="130"/>
      <c r="F399" s="98"/>
      <c r="G399" s="1"/>
    </row>
    <row r="400" spans="2:7" x14ac:dyDescent="0.25">
      <c r="B400" s="1"/>
      <c r="C400" s="98"/>
      <c r="D400" s="129"/>
      <c r="E400" s="130"/>
      <c r="F400" s="98"/>
      <c r="G400" s="1"/>
    </row>
    <row r="401" spans="2:7" x14ac:dyDescent="0.25">
      <c r="B401" s="1"/>
      <c r="C401" s="98"/>
      <c r="D401" s="129"/>
      <c r="E401" s="130"/>
      <c r="F401" s="98"/>
      <c r="G401" s="1"/>
    </row>
    <row r="402" spans="2:7" x14ac:dyDescent="0.25">
      <c r="B402" s="1"/>
      <c r="C402" s="98"/>
      <c r="D402" s="129"/>
      <c r="E402" s="130"/>
      <c r="F402" s="98"/>
      <c r="G402" s="1"/>
    </row>
    <row r="403" spans="2:7" x14ac:dyDescent="0.25">
      <c r="B403" s="1"/>
      <c r="C403" s="98"/>
      <c r="D403" s="129"/>
      <c r="E403" s="130"/>
      <c r="F403" s="98"/>
      <c r="G403" s="1"/>
    </row>
    <row r="404" spans="2:7" x14ac:dyDescent="0.25">
      <c r="B404" s="1"/>
      <c r="C404" s="98"/>
      <c r="D404" s="129"/>
      <c r="E404" s="130"/>
      <c r="F404" s="98"/>
      <c r="G404" s="1"/>
    </row>
    <row r="405" spans="2:7" x14ac:dyDescent="0.25">
      <c r="B405" s="1"/>
      <c r="C405" s="98"/>
      <c r="D405" s="129"/>
      <c r="E405" s="130"/>
      <c r="F405" s="98"/>
      <c r="G405" s="1"/>
    </row>
    <row r="406" spans="2:7" x14ac:dyDescent="0.25">
      <c r="B406" s="1"/>
      <c r="C406" s="98"/>
      <c r="D406" s="129"/>
      <c r="E406" s="130"/>
      <c r="F406" s="98"/>
      <c r="G406" s="1"/>
    </row>
    <row r="407" spans="2:7" x14ac:dyDescent="0.25">
      <c r="B407" s="1"/>
      <c r="C407" s="98"/>
      <c r="D407" s="129"/>
      <c r="E407" s="130"/>
      <c r="F407" s="98"/>
      <c r="G407" s="1"/>
    </row>
    <row r="408" spans="2:7" x14ac:dyDescent="0.25">
      <c r="B408" s="1"/>
      <c r="C408" s="98"/>
      <c r="D408" s="129"/>
      <c r="E408" s="130"/>
      <c r="F408" s="98"/>
      <c r="G408" s="1"/>
    </row>
    <row r="409" spans="2:7" x14ac:dyDescent="0.25">
      <c r="B409" s="1"/>
      <c r="C409" s="98"/>
      <c r="D409" s="129"/>
      <c r="E409" s="130"/>
      <c r="F409" s="98"/>
      <c r="G409" s="1"/>
    </row>
    <row r="410" spans="2:7" x14ac:dyDescent="0.25">
      <c r="B410" s="1"/>
      <c r="C410" s="98"/>
      <c r="D410" s="129"/>
      <c r="E410" s="130"/>
      <c r="F410" s="98"/>
      <c r="G410" s="1"/>
    </row>
    <row r="411" spans="2:7" x14ac:dyDescent="0.25">
      <c r="B411" s="1"/>
      <c r="C411" s="98"/>
      <c r="D411" s="129"/>
      <c r="E411" s="130"/>
      <c r="F411" s="98"/>
      <c r="G411" s="1"/>
    </row>
    <row r="412" spans="2:7" x14ac:dyDescent="0.25">
      <c r="B412" s="1"/>
      <c r="C412" s="98"/>
      <c r="D412" s="129"/>
      <c r="E412" s="130"/>
      <c r="F412" s="98"/>
      <c r="G412" s="1"/>
    </row>
    <row r="413" spans="2:7" x14ac:dyDescent="0.25">
      <c r="B413" s="1"/>
      <c r="C413" s="98"/>
      <c r="D413" s="129"/>
      <c r="E413" s="130"/>
      <c r="F413" s="98"/>
      <c r="G413" s="1"/>
    </row>
    <row r="414" spans="2:7" x14ac:dyDescent="0.25">
      <c r="B414" s="1"/>
      <c r="C414" s="98"/>
      <c r="D414" s="129"/>
      <c r="E414" s="130"/>
      <c r="F414" s="98"/>
      <c r="G414" s="1"/>
    </row>
    <row r="415" spans="2:7" x14ac:dyDescent="0.25">
      <c r="B415" s="1"/>
      <c r="C415" s="98"/>
      <c r="D415" s="129"/>
      <c r="E415" s="130"/>
      <c r="F415" s="98"/>
      <c r="G415" s="1"/>
    </row>
    <row r="416" spans="2:7" x14ac:dyDescent="0.25">
      <c r="B416" s="1"/>
      <c r="C416" s="98"/>
      <c r="D416" s="129"/>
      <c r="E416" s="130"/>
      <c r="F416" s="98"/>
      <c r="G416" s="1"/>
    </row>
    <row r="417" spans="2:7" x14ac:dyDescent="0.25">
      <c r="B417" s="1"/>
      <c r="C417" s="98"/>
      <c r="D417" s="129"/>
      <c r="E417" s="130"/>
      <c r="F417" s="98"/>
      <c r="G417" s="1"/>
    </row>
    <row r="418" spans="2:7" x14ac:dyDescent="0.25">
      <c r="B418" s="1"/>
      <c r="C418" s="98"/>
      <c r="D418" s="129"/>
      <c r="E418" s="130"/>
      <c r="F418" s="98"/>
      <c r="G418" s="1"/>
    </row>
    <row r="419" spans="2:7" x14ac:dyDescent="0.25">
      <c r="B419" s="1"/>
      <c r="C419" s="98"/>
      <c r="D419" s="129"/>
      <c r="E419" s="130"/>
      <c r="F419" s="98"/>
      <c r="G419" s="1"/>
    </row>
    <row r="420" spans="2:7" x14ac:dyDescent="0.25">
      <c r="B420" s="1"/>
      <c r="C420" s="98"/>
      <c r="D420" s="129"/>
      <c r="E420" s="130"/>
      <c r="F420" s="98"/>
      <c r="G420" s="1"/>
    </row>
    <row r="421" spans="2:7" x14ac:dyDescent="0.25">
      <c r="B421" s="1"/>
      <c r="C421" s="98"/>
      <c r="D421" s="129"/>
      <c r="E421" s="130"/>
      <c r="F421" s="98"/>
      <c r="G421" s="1"/>
    </row>
    <row r="422" spans="2:7" x14ac:dyDescent="0.25">
      <c r="B422" s="1"/>
      <c r="C422" s="98"/>
      <c r="D422" s="129"/>
      <c r="E422" s="130"/>
      <c r="F422" s="98"/>
      <c r="G422" s="1"/>
    </row>
    <row r="423" spans="2:7" x14ac:dyDescent="0.25">
      <c r="B423" s="1"/>
      <c r="C423" s="98"/>
      <c r="D423" s="129"/>
      <c r="E423" s="130"/>
      <c r="F423" s="98"/>
      <c r="G423" s="1"/>
    </row>
    <row r="424" spans="2:7" x14ac:dyDescent="0.25">
      <c r="B424" s="1"/>
      <c r="C424" s="98"/>
      <c r="D424" s="129"/>
      <c r="E424" s="130"/>
      <c r="F424" s="98"/>
      <c r="G424" s="1"/>
    </row>
    <row r="425" spans="2:7" x14ac:dyDescent="0.25">
      <c r="B425" s="1"/>
      <c r="C425" s="98"/>
      <c r="D425" s="129"/>
      <c r="E425" s="130"/>
      <c r="F425" s="98"/>
      <c r="G425" s="1"/>
    </row>
    <row r="426" spans="2:7" x14ac:dyDescent="0.25">
      <c r="B426" s="1"/>
      <c r="C426" s="98"/>
      <c r="D426" s="129"/>
      <c r="E426" s="130"/>
      <c r="F426" s="98"/>
      <c r="G426" s="1"/>
    </row>
    <row r="427" spans="2:7" x14ac:dyDescent="0.25">
      <c r="B427" s="1"/>
      <c r="C427" s="98"/>
      <c r="D427" s="129"/>
      <c r="E427" s="130"/>
      <c r="F427" s="98"/>
      <c r="G427" s="1"/>
    </row>
    <row r="428" spans="2:7" x14ac:dyDescent="0.25">
      <c r="B428" s="1"/>
      <c r="C428" s="98"/>
      <c r="D428" s="129"/>
      <c r="E428" s="130"/>
      <c r="F428" s="98"/>
      <c r="G428" s="1"/>
    </row>
    <row r="429" spans="2:7" x14ac:dyDescent="0.25">
      <c r="B429" s="1"/>
      <c r="C429" s="98"/>
      <c r="D429" s="129"/>
      <c r="E429" s="130"/>
      <c r="F429" s="98"/>
      <c r="G429" s="1"/>
    </row>
    <row r="430" spans="2:7" x14ac:dyDescent="0.25">
      <c r="B430" s="1"/>
      <c r="C430" s="98"/>
      <c r="D430" s="129"/>
      <c r="E430" s="130"/>
      <c r="F430" s="98"/>
      <c r="G430" s="1"/>
    </row>
    <row r="431" spans="2:7" x14ac:dyDescent="0.25">
      <c r="B431" s="1"/>
      <c r="C431" s="98"/>
      <c r="D431" s="129"/>
      <c r="E431" s="130"/>
      <c r="F431" s="98"/>
      <c r="G431" s="1"/>
    </row>
    <row r="432" spans="2:7" x14ac:dyDescent="0.25">
      <c r="B432" s="1"/>
      <c r="C432" s="98"/>
      <c r="D432" s="129"/>
      <c r="E432" s="130"/>
      <c r="F432" s="98"/>
      <c r="G432" s="1"/>
    </row>
    <row r="433" spans="2:7" x14ac:dyDescent="0.25">
      <c r="B433" s="1"/>
      <c r="C433" s="98"/>
      <c r="D433" s="129"/>
      <c r="E433" s="130"/>
      <c r="F433" s="98"/>
      <c r="G433" s="1"/>
    </row>
    <row r="434" spans="2:7" x14ac:dyDescent="0.25">
      <c r="B434" s="1"/>
      <c r="C434" s="98"/>
      <c r="D434" s="129"/>
      <c r="E434" s="130"/>
      <c r="F434" s="98"/>
      <c r="G434" s="1"/>
    </row>
    <row r="435" spans="2:7" x14ac:dyDescent="0.25">
      <c r="B435" s="1"/>
      <c r="C435" s="98"/>
      <c r="D435" s="129"/>
      <c r="E435" s="130"/>
      <c r="F435" s="98"/>
      <c r="G435" s="1"/>
    </row>
    <row r="436" spans="2:7" x14ac:dyDescent="0.25">
      <c r="B436" s="1"/>
      <c r="C436" s="98"/>
      <c r="D436" s="129"/>
      <c r="E436" s="130"/>
      <c r="F436" s="98"/>
      <c r="G436" s="1"/>
    </row>
    <row r="437" spans="2:7" x14ac:dyDescent="0.25">
      <c r="B437" s="1"/>
      <c r="C437" s="98"/>
      <c r="D437" s="129"/>
      <c r="E437" s="130"/>
      <c r="F437" s="98"/>
      <c r="G437" s="1"/>
    </row>
    <row r="438" spans="2:7" x14ac:dyDescent="0.25">
      <c r="B438" s="1"/>
      <c r="C438" s="98"/>
      <c r="D438" s="129"/>
      <c r="E438" s="130"/>
      <c r="F438" s="98"/>
      <c r="G438" s="1"/>
    </row>
    <row r="439" spans="2:7" x14ac:dyDescent="0.25">
      <c r="B439" s="1"/>
      <c r="C439" s="98"/>
      <c r="D439" s="129"/>
      <c r="E439" s="130"/>
      <c r="F439" s="98"/>
      <c r="G439" s="1"/>
    </row>
    <row r="440" spans="2:7" x14ac:dyDescent="0.25">
      <c r="B440" s="1"/>
      <c r="C440" s="98"/>
      <c r="D440" s="129"/>
      <c r="E440" s="130"/>
      <c r="F440" s="98"/>
      <c r="G440" s="1"/>
    </row>
    <row r="441" spans="2:7" x14ac:dyDescent="0.25">
      <c r="B441" s="1"/>
      <c r="C441" s="98"/>
      <c r="D441" s="129"/>
      <c r="E441" s="130"/>
      <c r="F441" s="98"/>
      <c r="G441" s="1"/>
    </row>
    <row r="442" spans="2:7" x14ac:dyDescent="0.25">
      <c r="B442" s="1"/>
      <c r="C442" s="98"/>
      <c r="D442" s="129"/>
      <c r="E442" s="130"/>
      <c r="F442" s="98"/>
      <c r="G442" s="1"/>
    </row>
    <row r="443" spans="2:7" x14ac:dyDescent="0.25">
      <c r="B443" s="1"/>
      <c r="C443" s="98"/>
      <c r="D443" s="129"/>
      <c r="E443" s="130"/>
      <c r="F443" s="98"/>
      <c r="G443" s="1"/>
    </row>
    <row r="444" spans="2:7" x14ac:dyDescent="0.25">
      <c r="B444" s="1"/>
      <c r="C444" s="98"/>
      <c r="D444" s="129"/>
      <c r="E444" s="130"/>
      <c r="F444" s="98"/>
      <c r="G444" s="1"/>
    </row>
    <row r="445" spans="2:7" x14ac:dyDescent="0.25">
      <c r="B445" s="1"/>
      <c r="C445" s="98"/>
      <c r="D445" s="129"/>
      <c r="E445" s="130"/>
      <c r="F445" s="98"/>
      <c r="G445" s="1"/>
    </row>
    <row r="446" spans="2:7" x14ac:dyDescent="0.25">
      <c r="B446" s="1"/>
      <c r="C446" s="98"/>
      <c r="D446" s="129"/>
      <c r="E446" s="130"/>
      <c r="F446" s="98"/>
      <c r="G446" s="1"/>
    </row>
    <row r="447" spans="2:7" x14ac:dyDescent="0.25">
      <c r="B447" s="1"/>
      <c r="C447" s="98"/>
      <c r="D447" s="129"/>
      <c r="E447" s="130"/>
      <c r="F447" s="98"/>
      <c r="G447" s="1"/>
    </row>
    <row r="448" spans="2:7" x14ac:dyDescent="0.25">
      <c r="B448" s="1"/>
      <c r="C448" s="98"/>
      <c r="D448" s="129"/>
      <c r="E448" s="130"/>
      <c r="F448" s="98"/>
      <c r="G448" s="1"/>
    </row>
    <row r="449" spans="2:7" x14ac:dyDescent="0.25">
      <c r="B449" s="1"/>
      <c r="C449" s="98"/>
      <c r="D449" s="129"/>
      <c r="E449" s="130"/>
      <c r="F449" s="98"/>
      <c r="G449" s="1"/>
    </row>
    <row r="450" spans="2:7" x14ac:dyDescent="0.25">
      <c r="B450" s="1"/>
      <c r="C450" s="98"/>
      <c r="D450" s="129"/>
      <c r="E450" s="130"/>
      <c r="F450" s="98"/>
      <c r="G450" s="1"/>
    </row>
    <row r="451" spans="2:7" x14ac:dyDescent="0.25">
      <c r="B451" s="1"/>
      <c r="C451" s="98"/>
      <c r="D451" s="129"/>
      <c r="E451" s="130"/>
      <c r="F451" s="98"/>
      <c r="G451" s="1"/>
    </row>
    <row r="452" spans="2:7" x14ac:dyDescent="0.25">
      <c r="B452" s="1"/>
      <c r="C452" s="98"/>
      <c r="D452" s="129"/>
      <c r="E452" s="130"/>
      <c r="F452" s="98"/>
      <c r="G452" s="1"/>
    </row>
    <row r="453" spans="2:7" x14ac:dyDescent="0.25">
      <c r="B453" s="1"/>
      <c r="C453" s="98"/>
      <c r="D453" s="129"/>
      <c r="E453" s="130"/>
      <c r="F453" s="98"/>
      <c r="G453" s="1"/>
    </row>
    <row r="454" spans="2:7" x14ac:dyDescent="0.25">
      <c r="B454" s="1"/>
      <c r="C454" s="98"/>
      <c r="D454" s="129"/>
      <c r="E454" s="130"/>
      <c r="F454" s="98"/>
      <c r="G454" s="1"/>
    </row>
    <row r="455" spans="2:7" x14ac:dyDescent="0.25">
      <c r="B455" s="1"/>
      <c r="C455" s="98"/>
      <c r="D455" s="129"/>
      <c r="E455" s="130"/>
      <c r="F455" s="98"/>
      <c r="G455" s="1"/>
    </row>
    <row r="456" spans="2:7" x14ac:dyDescent="0.25">
      <c r="B456" s="1"/>
      <c r="C456" s="98"/>
      <c r="D456" s="129"/>
      <c r="E456" s="130"/>
      <c r="F456" s="98"/>
      <c r="G456" s="1"/>
    </row>
    <row r="457" spans="2:7" x14ac:dyDescent="0.25">
      <c r="B457" s="1"/>
      <c r="C457" s="98"/>
      <c r="D457" s="129"/>
      <c r="E457" s="130"/>
      <c r="F457" s="98"/>
      <c r="G457" s="1"/>
    </row>
    <row r="458" spans="2:7" x14ac:dyDescent="0.25">
      <c r="B458" s="1"/>
      <c r="C458" s="98"/>
      <c r="D458" s="129"/>
      <c r="E458" s="130"/>
      <c r="F458" s="98"/>
      <c r="G458" s="1"/>
    </row>
    <row r="459" spans="2:7" x14ac:dyDescent="0.25">
      <c r="B459" s="1"/>
      <c r="C459" s="98"/>
      <c r="D459" s="129"/>
      <c r="E459" s="130"/>
      <c r="F459" s="98"/>
      <c r="G459" s="1"/>
    </row>
    <row r="460" spans="2:7" x14ac:dyDescent="0.25">
      <c r="B460" s="1"/>
      <c r="C460" s="98"/>
      <c r="D460" s="129"/>
      <c r="E460" s="130"/>
      <c r="F460" s="98"/>
      <c r="G460" s="1"/>
    </row>
    <row r="461" spans="2:7" x14ac:dyDescent="0.25">
      <c r="B461" s="1"/>
      <c r="C461" s="98"/>
      <c r="D461" s="129"/>
      <c r="E461" s="130"/>
      <c r="F461" s="98"/>
      <c r="G461" s="1"/>
    </row>
    <row r="462" spans="2:7" x14ac:dyDescent="0.25">
      <c r="B462" s="1"/>
      <c r="C462" s="98"/>
      <c r="D462" s="129"/>
      <c r="E462" s="130"/>
      <c r="F462" s="98"/>
      <c r="G462" s="1"/>
    </row>
    <row r="463" spans="2:7" x14ac:dyDescent="0.25">
      <c r="B463" s="1"/>
      <c r="C463" s="98"/>
      <c r="D463" s="129"/>
      <c r="E463" s="130"/>
      <c r="F463" s="98"/>
      <c r="G463" s="1"/>
    </row>
    <row r="464" spans="2:7" x14ac:dyDescent="0.25">
      <c r="B464" s="1"/>
      <c r="C464" s="98"/>
      <c r="D464" s="129"/>
      <c r="E464" s="130"/>
      <c r="F464" s="98"/>
      <c r="G464" s="1"/>
    </row>
    <row r="465" spans="2:7" x14ac:dyDescent="0.25">
      <c r="B465" s="1"/>
      <c r="C465" s="98"/>
      <c r="D465" s="129"/>
      <c r="E465" s="130"/>
      <c r="F465" s="98"/>
      <c r="G465" s="1"/>
    </row>
    <row r="466" spans="2:7" x14ac:dyDescent="0.25">
      <c r="B466" s="1"/>
      <c r="C466" s="98"/>
      <c r="D466" s="129"/>
      <c r="E466" s="130"/>
      <c r="F466" s="98"/>
      <c r="G466" s="1"/>
    </row>
    <row r="467" spans="2:7" x14ac:dyDescent="0.25">
      <c r="B467" s="1"/>
      <c r="C467" s="98"/>
      <c r="D467" s="129"/>
      <c r="E467" s="130"/>
      <c r="F467" s="98"/>
      <c r="G467" s="1"/>
    </row>
    <row r="468" spans="2:7" x14ac:dyDescent="0.25">
      <c r="B468" s="1"/>
      <c r="C468" s="98"/>
      <c r="D468" s="129"/>
      <c r="E468" s="130"/>
      <c r="F468" s="98"/>
      <c r="G468" s="1"/>
    </row>
    <row r="469" spans="2:7" x14ac:dyDescent="0.25">
      <c r="B469" s="1"/>
      <c r="C469" s="98"/>
      <c r="D469" s="129"/>
      <c r="E469" s="130"/>
      <c r="F469" s="98"/>
      <c r="G469" s="1"/>
    </row>
    <row r="470" spans="2:7" x14ac:dyDescent="0.25">
      <c r="B470" s="1"/>
      <c r="C470" s="98"/>
      <c r="D470" s="129"/>
      <c r="E470" s="130"/>
      <c r="F470" s="98"/>
      <c r="G470" s="1"/>
    </row>
    <row r="471" spans="2:7" x14ac:dyDescent="0.25">
      <c r="B471" s="1"/>
      <c r="C471" s="98"/>
      <c r="D471" s="129"/>
      <c r="E471" s="130"/>
      <c r="F471" s="98"/>
      <c r="G471" s="1"/>
    </row>
    <row r="472" spans="2:7" x14ac:dyDescent="0.25">
      <c r="B472" s="1"/>
      <c r="C472" s="98"/>
      <c r="D472" s="129"/>
      <c r="E472" s="130"/>
      <c r="F472" s="98"/>
      <c r="G472" s="1"/>
    </row>
    <row r="473" spans="2:7" x14ac:dyDescent="0.25">
      <c r="B473" s="1"/>
      <c r="C473" s="98"/>
      <c r="D473" s="129"/>
      <c r="E473" s="130"/>
      <c r="F473" s="98"/>
      <c r="G473" s="1"/>
    </row>
    <row r="474" spans="2:7" x14ac:dyDescent="0.25">
      <c r="B474" s="1"/>
      <c r="C474" s="98"/>
      <c r="D474" s="129"/>
      <c r="E474" s="130"/>
      <c r="F474" s="98"/>
      <c r="G474" s="1"/>
    </row>
    <row r="475" spans="2:7" x14ac:dyDescent="0.25">
      <c r="B475" s="1"/>
      <c r="C475" s="98"/>
      <c r="D475" s="129"/>
      <c r="E475" s="130"/>
      <c r="F475" s="98"/>
      <c r="G475" s="1"/>
    </row>
    <row r="476" spans="2:7" x14ac:dyDescent="0.25">
      <c r="B476" s="1"/>
      <c r="C476" s="98"/>
      <c r="D476" s="129"/>
      <c r="E476" s="130"/>
      <c r="F476" s="98"/>
      <c r="G476" s="1"/>
    </row>
    <row r="477" spans="2:7" x14ac:dyDescent="0.25">
      <c r="B477" s="1"/>
      <c r="C477" s="98"/>
      <c r="D477" s="129"/>
      <c r="E477" s="130"/>
      <c r="F477" s="98"/>
      <c r="G477" s="1"/>
    </row>
    <row r="478" spans="2:7" x14ac:dyDescent="0.25">
      <c r="B478" s="1"/>
      <c r="C478" s="98"/>
      <c r="D478" s="129"/>
      <c r="E478" s="130"/>
      <c r="F478" s="98"/>
      <c r="G478" s="1"/>
    </row>
    <row r="479" spans="2:7" x14ac:dyDescent="0.25">
      <c r="B479" s="1"/>
      <c r="C479" s="98"/>
      <c r="D479" s="129"/>
      <c r="E479" s="130"/>
      <c r="F479" s="98"/>
      <c r="G479" s="1"/>
    </row>
    <row r="480" spans="2:7" x14ac:dyDescent="0.25">
      <c r="B480" s="1"/>
      <c r="C480" s="98"/>
      <c r="D480" s="129"/>
      <c r="E480" s="130"/>
      <c r="F480" s="98"/>
      <c r="G480" s="1"/>
    </row>
    <row r="481" spans="2:7" x14ac:dyDescent="0.25">
      <c r="B481" s="1"/>
      <c r="C481" s="98"/>
      <c r="D481" s="129"/>
      <c r="E481" s="130"/>
      <c r="F481" s="98"/>
      <c r="G481" s="1"/>
    </row>
    <row r="482" spans="2:7" x14ac:dyDescent="0.25">
      <c r="B482" s="1"/>
      <c r="C482" s="98"/>
      <c r="D482" s="129"/>
      <c r="E482" s="130"/>
      <c r="F482" s="98"/>
      <c r="G482" s="1"/>
    </row>
    <row r="483" spans="2:7" x14ac:dyDescent="0.25">
      <c r="B483" s="1"/>
      <c r="C483" s="98"/>
      <c r="D483" s="129"/>
      <c r="E483" s="130"/>
      <c r="F483" s="98"/>
      <c r="G483" s="1"/>
    </row>
    <row r="484" spans="2:7" x14ac:dyDescent="0.25">
      <c r="B484" s="1"/>
      <c r="C484" s="98"/>
      <c r="D484" s="129"/>
      <c r="E484" s="130"/>
      <c r="F484" s="98"/>
      <c r="G484" s="1"/>
    </row>
    <row r="485" spans="2:7" x14ac:dyDescent="0.25">
      <c r="B485" s="1"/>
      <c r="C485" s="98"/>
      <c r="D485" s="129"/>
      <c r="E485" s="130"/>
      <c r="F485" s="98"/>
      <c r="G485" s="1"/>
    </row>
    <row r="486" spans="2:7" x14ac:dyDescent="0.25">
      <c r="B486" s="1"/>
      <c r="C486" s="98"/>
      <c r="D486" s="129"/>
      <c r="E486" s="130"/>
      <c r="F486" s="98"/>
      <c r="G486" s="1"/>
    </row>
    <row r="487" spans="2:7" x14ac:dyDescent="0.25">
      <c r="B487" s="1"/>
      <c r="C487" s="98"/>
      <c r="D487" s="129"/>
      <c r="E487" s="130"/>
      <c r="F487" s="98"/>
      <c r="G487" s="1"/>
    </row>
    <row r="488" spans="2:7" x14ac:dyDescent="0.25">
      <c r="B488" s="1"/>
      <c r="C488" s="98"/>
      <c r="D488" s="129"/>
      <c r="E488" s="130"/>
      <c r="F488" s="98"/>
      <c r="G488" s="1"/>
    </row>
    <row r="489" spans="2:7" x14ac:dyDescent="0.25">
      <c r="B489" s="1"/>
      <c r="C489" s="98"/>
      <c r="D489" s="129"/>
      <c r="E489" s="130"/>
      <c r="F489" s="98"/>
      <c r="G489" s="1"/>
    </row>
    <row r="490" spans="2:7" x14ac:dyDescent="0.25">
      <c r="B490" s="1"/>
      <c r="C490" s="98"/>
      <c r="D490" s="129"/>
      <c r="E490" s="130"/>
      <c r="F490" s="98"/>
      <c r="G490" s="1"/>
    </row>
    <row r="491" spans="2:7" x14ac:dyDescent="0.25">
      <c r="B491" s="1"/>
      <c r="C491" s="98"/>
      <c r="D491" s="129"/>
      <c r="E491" s="130"/>
      <c r="F491" s="98"/>
      <c r="G491" s="1"/>
    </row>
    <row r="492" spans="2:7" x14ac:dyDescent="0.25">
      <c r="B492" s="1"/>
      <c r="C492" s="98"/>
      <c r="D492" s="129"/>
      <c r="E492" s="130"/>
      <c r="F492" s="98"/>
      <c r="G492" s="1"/>
    </row>
    <row r="493" spans="2:7" x14ac:dyDescent="0.25">
      <c r="B493" s="1"/>
      <c r="C493" s="98"/>
      <c r="D493" s="129"/>
      <c r="E493" s="130"/>
      <c r="F493" s="98"/>
      <c r="G493" s="1"/>
    </row>
    <row r="494" spans="2:7" x14ac:dyDescent="0.25">
      <c r="B494" s="1"/>
      <c r="C494" s="98"/>
      <c r="D494" s="129"/>
      <c r="E494" s="130"/>
      <c r="F494" s="98"/>
      <c r="G494" s="1"/>
    </row>
    <row r="495" spans="2:7" x14ac:dyDescent="0.25">
      <c r="B495" s="1"/>
      <c r="C495" s="98"/>
      <c r="D495" s="129"/>
      <c r="E495" s="130"/>
      <c r="F495" s="98"/>
      <c r="G495" s="1"/>
    </row>
    <row r="496" spans="2:7" x14ac:dyDescent="0.25">
      <c r="B496" s="1"/>
      <c r="C496" s="98"/>
      <c r="D496" s="129"/>
      <c r="E496" s="130"/>
      <c r="F496" s="98"/>
      <c r="G496" s="1"/>
    </row>
    <row r="497" spans="2:7" x14ac:dyDescent="0.25">
      <c r="B497" s="1"/>
      <c r="C497" s="98"/>
      <c r="D497" s="129"/>
      <c r="E497" s="130"/>
      <c r="F497" s="98"/>
      <c r="G497" s="1"/>
    </row>
    <row r="498" spans="2:7" x14ac:dyDescent="0.25">
      <c r="B498" s="1"/>
      <c r="C498" s="98"/>
      <c r="D498" s="129"/>
      <c r="E498" s="130"/>
      <c r="F498" s="98"/>
      <c r="G498" s="1"/>
    </row>
    <row r="499" spans="2:7" x14ac:dyDescent="0.25">
      <c r="B499" s="1"/>
      <c r="C499" s="98"/>
      <c r="D499" s="129"/>
      <c r="E499" s="130"/>
      <c r="F499" s="98"/>
      <c r="G499" s="1"/>
    </row>
    <row r="500" spans="2:7" x14ac:dyDescent="0.25">
      <c r="B500" s="1"/>
      <c r="C500" s="98"/>
      <c r="D500" s="129"/>
      <c r="E500" s="130"/>
      <c r="F500" s="98"/>
      <c r="G500" s="1"/>
    </row>
    <row r="501" spans="2:7" x14ac:dyDescent="0.25">
      <c r="B501" s="1"/>
      <c r="C501" s="98"/>
      <c r="D501" s="129"/>
      <c r="E501" s="130"/>
      <c r="F501" s="98"/>
      <c r="G501" s="1"/>
    </row>
    <row r="502" spans="2:7" x14ac:dyDescent="0.25">
      <c r="B502" s="1"/>
      <c r="C502" s="98"/>
      <c r="D502" s="129"/>
      <c r="E502" s="130"/>
      <c r="F502" s="98"/>
      <c r="G502" s="1"/>
    </row>
    <row r="503" spans="2:7" x14ac:dyDescent="0.25">
      <c r="B503" s="1"/>
      <c r="C503" s="98"/>
      <c r="D503" s="129"/>
      <c r="E503" s="130"/>
      <c r="F503" s="98"/>
      <c r="G503" s="1"/>
    </row>
    <row r="504" spans="2:7" x14ac:dyDescent="0.25">
      <c r="B504" s="1"/>
      <c r="C504" s="98"/>
      <c r="D504" s="129"/>
      <c r="E504" s="130"/>
      <c r="F504" s="98"/>
      <c r="G504" s="1"/>
    </row>
    <row r="505" spans="2:7" x14ac:dyDescent="0.25">
      <c r="B505" s="1"/>
      <c r="C505" s="98"/>
      <c r="D505" s="129"/>
      <c r="E505" s="130"/>
      <c r="F505" s="98"/>
      <c r="G505" s="1"/>
    </row>
    <row r="506" spans="2:7" x14ac:dyDescent="0.25">
      <c r="B506" s="1"/>
      <c r="C506" s="98"/>
      <c r="D506" s="129"/>
      <c r="E506" s="130"/>
      <c r="F506" s="98"/>
      <c r="G506" s="1"/>
    </row>
    <row r="507" spans="2:7" x14ac:dyDescent="0.25">
      <c r="B507" s="1"/>
      <c r="C507" s="98"/>
      <c r="D507" s="129"/>
      <c r="E507" s="130"/>
      <c r="F507" s="98"/>
      <c r="G507" s="1"/>
    </row>
    <row r="508" spans="2:7" x14ac:dyDescent="0.25">
      <c r="B508" s="1"/>
      <c r="C508" s="98"/>
      <c r="D508" s="129"/>
      <c r="E508" s="130"/>
      <c r="F508" s="98"/>
      <c r="G508" s="1"/>
    </row>
    <row r="509" spans="2:7" x14ac:dyDescent="0.25">
      <c r="B509" s="1"/>
      <c r="C509" s="98"/>
      <c r="D509" s="129"/>
      <c r="E509" s="130"/>
      <c r="F509" s="98"/>
      <c r="G509" s="1"/>
    </row>
    <row r="510" spans="2:7" x14ac:dyDescent="0.25">
      <c r="B510" s="1"/>
      <c r="C510" s="98"/>
      <c r="D510" s="129"/>
      <c r="E510" s="130"/>
      <c r="F510" s="98"/>
      <c r="G510" s="1"/>
    </row>
    <row r="511" spans="2:7" x14ac:dyDescent="0.25">
      <c r="B511" s="1"/>
      <c r="C511" s="98"/>
      <c r="D511" s="129"/>
      <c r="E511" s="130"/>
      <c r="F511" s="98"/>
      <c r="G511" s="1"/>
    </row>
    <row r="512" spans="2:7" x14ac:dyDescent="0.25">
      <c r="B512" s="1"/>
      <c r="C512" s="98"/>
      <c r="D512" s="129"/>
      <c r="E512" s="130"/>
      <c r="F512" s="98"/>
      <c r="G512" s="1"/>
    </row>
    <row r="513" spans="2:7" x14ac:dyDescent="0.25">
      <c r="B513" s="1"/>
      <c r="C513" s="98"/>
      <c r="D513" s="129"/>
      <c r="E513" s="130"/>
      <c r="F513" s="98"/>
      <c r="G513" s="1"/>
    </row>
    <row r="514" spans="2:7" x14ac:dyDescent="0.25">
      <c r="B514" s="1"/>
      <c r="C514" s="98"/>
      <c r="D514" s="129"/>
      <c r="E514" s="130"/>
      <c r="F514" s="98"/>
      <c r="G514" s="1"/>
    </row>
    <row r="515" spans="2:7" x14ac:dyDescent="0.25">
      <c r="B515" s="1"/>
      <c r="C515" s="98"/>
      <c r="D515" s="129"/>
      <c r="E515" s="130"/>
      <c r="F515" s="98"/>
      <c r="G515" s="1"/>
    </row>
    <row r="516" spans="2:7" x14ac:dyDescent="0.25">
      <c r="B516" s="1"/>
      <c r="C516" s="98"/>
      <c r="D516" s="129"/>
      <c r="E516" s="130"/>
      <c r="F516" s="98"/>
      <c r="G516" s="1"/>
    </row>
    <row r="517" spans="2:7" x14ac:dyDescent="0.25">
      <c r="B517" s="1"/>
      <c r="C517" s="98"/>
      <c r="D517" s="129"/>
      <c r="E517" s="130"/>
      <c r="F517" s="98"/>
      <c r="G517" s="1"/>
    </row>
    <row r="518" spans="2:7" x14ac:dyDescent="0.25">
      <c r="B518" s="1"/>
      <c r="C518" s="98"/>
      <c r="D518" s="129"/>
      <c r="E518" s="130"/>
      <c r="F518" s="98"/>
      <c r="G518" s="1"/>
    </row>
    <row r="519" spans="2:7" x14ac:dyDescent="0.25">
      <c r="B519" s="1"/>
      <c r="C519" s="98"/>
      <c r="D519" s="129"/>
      <c r="E519" s="130"/>
      <c r="F519" s="98"/>
      <c r="G519" s="1"/>
    </row>
    <row r="520" spans="2:7" x14ac:dyDescent="0.25">
      <c r="B520" s="1"/>
      <c r="C520" s="98"/>
      <c r="D520" s="129"/>
      <c r="E520" s="130"/>
      <c r="F520" s="98"/>
      <c r="G520" s="1"/>
    </row>
    <row r="521" spans="2:7" x14ac:dyDescent="0.25">
      <c r="B521" s="1"/>
      <c r="C521" s="98"/>
      <c r="D521" s="129"/>
      <c r="E521" s="130"/>
      <c r="F521" s="98"/>
      <c r="G521" s="1"/>
    </row>
    <row r="522" spans="2:7" x14ac:dyDescent="0.25">
      <c r="B522" s="1"/>
      <c r="C522" s="98"/>
      <c r="D522" s="129"/>
      <c r="E522" s="130"/>
      <c r="F522" s="98"/>
      <c r="G522" s="1"/>
    </row>
    <row r="523" spans="2:7" x14ac:dyDescent="0.25">
      <c r="B523" s="1"/>
      <c r="C523" s="98"/>
      <c r="D523" s="129"/>
      <c r="E523" s="130"/>
      <c r="F523" s="98"/>
      <c r="G523" s="1"/>
    </row>
    <row r="524" spans="2:7" x14ac:dyDescent="0.25">
      <c r="B524" s="1"/>
      <c r="C524" s="98"/>
      <c r="D524" s="129"/>
      <c r="E524" s="130"/>
      <c r="F524" s="98"/>
      <c r="G524" s="1"/>
    </row>
    <row r="525" spans="2:7" x14ac:dyDescent="0.25">
      <c r="B525" s="1"/>
      <c r="C525" s="98"/>
      <c r="D525" s="129"/>
      <c r="E525" s="130"/>
      <c r="F525" s="98"/>
      <c r="G525" s="1"/>
    </row>
    <row r="526" spans="2:7" x14ac:dyDescent="0.25">
      <c r="B526" s="1"/>
      <c r="C526" s="98"/>
      <c r="D526" s="129"/>
      <c r="E526" s="130"/>
      <c r="F526" s="98"/>
      <c r="G526" s="1"/>
    </row>
    <row r="527" spans="2:7" x14ac:dyDescent="0.25">
      <c r="B527" s="1"/>
      <c r="C527" s="98"/>
      <c r="D527" s="129"/>
      <c r="E527" s="130"/>
      <c r="F527" s="98"/>
      <c r="G527" s="1"/>
    </row>
    <row r="528" spans="2:7" x14ac:dyDescent="0.25">
      <c r="B528" s="1"/>
      <c r="C528" s="98"/>
      <c r="D528" s="129"/>
      <c r="E528" s="130"/>
      <c r="F528" s="98"/>
      <c r="G528" s="1"/>
    </row>
    <row r="529" spans="2:7" x14ac:dyDescent="0.25">
      <c r="B529" s="1"/>
      <c r="C529" s="98"/>
      <c r="D529" s="129"/>
      <c r="E529" s="130"/>
      <c r="F529" s="98"/>
      <c r="G529" s="1"/>
    </row>
    <row r="530" spans="2:7" x14ac:dyDescent="0.25">
      <c r="B530" s="1"/>
      <c r="C530" s="98"/>
      <c r="D530" s="129"/>
      <c r="E530" s="130"/>
      <c r="F530" s="98"/>
      <c r="G530" s="1"/>
    </row>
    <row r="531" spans="2:7" x14ac:dyDescent="0.25">
      <c r="B531" s="1"/>
      <c r="C531" s="98"/>
      <c r="D531" s="129"/>
      <c r="E531" s="130"/>
      <c r="F531" s="98"/>
      <c r="G531" s="1"/>
    </row>
    <row r="532" spans="2:7" x14ac:dyDescent="0.25">
      <c r="B532" s="1"/>
      <c r="C532" s="98"/>
      <c r="D532" s="129"/>
      <c r="E532" s="130"/>
      <c r="F532" s="98"/>
      <c r="G532" s="1"/>
    </row>
    <row r="533" spans="2:7" x14ac:dyDescent="0.25">
      <c r="B533" s="1"/>
      <c r="C533" s="98"/>
      <c r="D533" s="129"/>
      <c r="E533" s="130"/>
      <c r="F533" s="98"/>
      <c r="G533" s="1"/>
    </row>
    <row r="534" spans="2:7" x14ac:dyDescent="0.25">
      <c r="B534" s="1"/>
      <c r="C534" s="98"/>
      <c r="D534" s="129"/>
      <c r="E534" s="130"/>
      <c r="F534" s="98"/>
      <c r="G534" s="1"/>
    </row>
    <row r="535" spans="2:7" x14ac:dyDescent="0.25">
      <c r="B535" s="1"/>
      <c r="C535" s="98"/>
      <c r="D535" s="129"/>
      <c r="E535" s="130"/>
      <c r="F535" s="98"/>
      <c r="G535" s="1"/>
    </row>
    <row r="536" spans="2:7" x14ac:dyDescent="0.25">
      <c r="B536" s="1"/>
      <c r="C536" s="98"/>
      <c r="D536" s="129"/>
      <c r="E536" s="130"/>
      <c r="F536" s="98"/>
      <c r="G536" s="1"/>
    </row>
    <row r="537" spans="2:7" x14ac:dyDescent="0.25">
      <c r="B537" s="1"/>
      <c r="C537" s="98"/>
      <c r="D537" s="129"/>
      <c r="E537" s="130"/>
      <c r="F537" s="98"/>
      <c r="G537" s="1"/>
    </row>
    <row r="538" spans="2:7" x14ac:dyDescent="0.25">
      <c r="B538" s="1"/>
      <c r="C538" s="98"/>
      <c r="D538" s="129"/>
      <c r="E538" s="130"/>
      <c r="F538" s="98"/>
      <c r="G538" s="1"/>
    </row>
    <row r="539" spans="2:7" x14ac:dyDescent="0.25">
      <c r="B539" s="1"/>
      <c r="C539" s="98"/>
      <c r="D539" s="129"/>
      <c r="E539" s="130"/>
      <c r="F539" s="98"/>
      <c r="G539" s="1"/>
    </row>
    <row r="540" spans="2:7" x14ac:dyDescent="0.25">
      <c r="B540" s="1"/>
      <c r="C540" s="98"/>
      <c r="D540" s="129"/>
      <c r="E540" s="130"/>
      <c r="F540" s="98"/>
      <c r="G540" s="1"/>
    </row>
    <row r="541" spans="2:7" x14ac:dyDescent="0.25">
      <c r="B541" s="1"/>
      <c r="C541" s="98"/>
      <c r="D541" s="129"/>
      <c r="E541" s="130"/>
      <c r="F541" s="98"/>
      <c r="G541" s="1"/>
    </row>
    <row r="542" spans="2:7" x14ac:dyDescent="0.25">
      <c r="B542" s="1"/>
      <c r="C542" s="98"/>
      <c r="D542" s="129"/>
      <c r="E542" s="130"/>
      <c r="F542" s="98"/>
      <c r="G542" s="1"/>
    </row>
    <row r="543" spans="2:7" x14ac:dyDescent="0.25">
      <c r="B543" s="1"/>
      <c r="C543" s="98"/>
      <c r="D543" s="129"/>
      <c r="E543" s="130"/>
      <c r="F543" s="98"/>
      <c r="G543" s="1"/>
    </row>
    <row r="544" spans="2:7" x14ac:dyDescent="0.25">
      <c r="B544" s="1"/>
      <c r="C544" s="98"/>
      <c r="D544" s="129"/>
      <c r="E544" s="130"/>
      <c r="F544" s="98"/>
      <c r="G544" s="1"/>
    </row>
    <row r="545" spans="2:7" x14ac:dyDescent="0.25">
      <c r="B545" s="1"/>
      <c r="C545" s="98"/>
      <c r="D545" s="129"/>
      <c r="E545" s="130"/>
      <c r="F545" s="98"/>
      <c r="G545" s="1"/>
    </row>
    <row r="546" spans="2:7" x14ac:dyDescent="0.25">
      <c r="B546" s="1"/>
      <c r="C546" s="98"/>
      <c r="D546" s="129"/>
      <c r="E546" s="130"/>
      <c r="F546" s="98"/>
      <c r="G546" s="1"/>
    </row>
    <row r="547" spans="2:7" x14ac:dyDescent="0.25">
      <c r="B547" s="1"/>
      <c r="C547" s="98"/>
      <c r="D547" s="129"/>
      <c r="E547" s="130"/>
      <c r="F547" s="98"/>
      <c r="G547" s="1"/>
    </row>
    <row r="548" spans="2:7" x14ac:dyDescent="0.25">
      <c r="B548" s="1"/>
      <c r="C548" s="98"/>
      <c r="D548" s="129"/>
      <c r="E548" s="130"/>
      <c r="F548" s="98"/>
      <c r="G548" s="1"/>
    </row>
    <row r="549" spans="2:7" x14ac:dyDescent="0.25">
      <c r="B549" s="1"/>
      <c r="C549" s="98"/>
      <c r="D549" s="129"/>
      <c r="E549" s="130"/>
      <c r="F549" s="98"/>
      <c r="G549" s="1"/>
    </row>
    <row r="550" spans="2:7" x14ac:dyDescent="0.25">
      <c r="B550" s="1"/>
      <c r="C550" s="98"/>
      <c r="D550" s="129"/>
      <c r="E550" s="130"/>
      <c r="F550" s="98"/>
      <c r="G550" s="1"/>
    </row>
    <row r="551" spans="2:7" x14ac:dyDescent="0.25">
      <c r="B551" s="1"/>
      <c r="C551" s="98"/>
      <c r="D551" s="129"/>
      <c r="E551" s="130"/>
      <c r="F551" s="98"/>
      <c r="G551" s="1"/>
    </row>
    <row r="552" spans="2:7" x14ac:dyDescent="0.25">
      <c r="B552" s="1"/>
      <c r="C552" s="98"/>
      <c r="D552" s="129"/>
      <c r="E552" s="130"/>
      <c r="F552" s="98"/>
      <c r="G552" s="1"/>
    </row>
    <row r="553" spans="2:7" x14ac:dyDescent="0.25">
      <c r="B553" s="1"/>
      <c r="C553" s="98"/>
      <c r="D553" s="129"/>
      <c r="E553" s="130"/>
      <c r="F553" s="98"/>
      <c r="G553" s="1"/>
    </row>
    <row r="554" spans="2:7" x14ac:dyDescent="0.25">
      <c r="B554" s="1"/>
      <c r="C554" s="98"/>
      <c r="D554" s="129"/>
      <c r="E554" s="130"/>
      <c r="F554" s="98"/>
      <c r="G554" s="1"/>
    </row>
    <row r="555" spans="2:7" x14ac:dyDescent="0.25">
      <c r="B555" s="1"/>
      <c r="C555" s="98"/>
      <c r="D555" s="129"/>
      <c r="E555" s="130"/>
      <c r="F555" s="98"/>
      <c r="G555" s="1"/>
    </row>
    <row r="556" spans="2:7" x14ac:dyDescent="0.25">
      <c r="B556" s="1"/>
      <c r="C556" s="98"/>
      <c r="D556" s="129"/>
      <c r="E556" s="130"/>
      <c r="F556" s="98"/>
      <c r="G556" s="1"/>
    </row>
    <row r="557" spans="2:7" x14ac:dyDescent="0.25">
      <c r="B557" s="1"/>
      <c r="C557" s="98"/>
      <c r="D557" s="129"/>
      <c r="E557" s="130"/>
      <c r="F557" s="98"/>
      <c r="G557" s="1"/>
    </row>
    <row r="558" spans="2:7" x14ac:dyDescent="0.25">
      <c r="B558" s="1"/>
      <c r="C558" s="98"/>
      <c r="D558" s="129"/>
      <c r="E558" s="130"/>
      <c r="F558" s="98"/>
      <c r="G558" s="1"/>
    </row>
    <row r="559" spans="2:7" x14ac:dyDescent="0.25">
      <c r="B559" s="1"/>
      <c r="C559" s="98"/>
      <c r="D559" s="129"/>
      <c r="E559" s="130"/>
      <c r="F559" s="98"/>
      <c r="G559" s="1"/>
    </row>
    <row r="560" spans="2:7" x14ac:dyDescent="0.25">
      <c r="B560" s="1"/>
      <c r="C560" s="98"/>
      <c r="D560" s="129"/>
      <c r="E560" s="130"/>
      <c r="F560" s="98"/>
      <c r="G560" s="1"/>
    </row>
    <row r="561" spans="2:7" x14ac:dyDescent="0.25">
      <c r="B561" s="1"/>
      <c r="C561" s="98"/>
      <c r="D561" s="129"/>
      <c r="E561" s="130"/>
      <c r="F561" s="98"/>
      <c r="G561" s="1"/>
    </row>
    <row r="562" spans="2:7" x14ac:dyDescent="0.25">
      <c r="B562" s="1"/>
      <c r="C562" s="98"/>
      <c r="D562" s="129"/>
      <c r="E562" s="130"/>
      <c r="F562" s="98"/>
      <c r="G562" s="1"/>
    </row>
    <row r="563" spans="2:7" x14ac:dyDescent="0.25">
      <c r="B563" s="1"/>
      <c r="C563" s="98"/>
      <c r="D563" s="129"/>
      <c r="E563" s="130"/>
      <c r="F563" s="98"/>
      <c r="G563" s="1"/>
    </row>
    <row r="564" spans="2:7" x14ac:dyDescent="0.25">
      <c r="B564" s="1"/>
      <c r="C564" s="98"/>
      <c r="D564" s="129"/>
      <c r="E564" s="130"/>
      <c r="F564" s="98"/>
      <c r="G564" s="1"/>
    </row>
    <row r="565" spans="2:7" x14ac:dyDescent="0.25">
      <c r="B565" s="1"/>
      <c r="C565" s="98"/>
      <c r="D565" s="129"/>
      <c r="E565" s="130"/>
      <c r="F565" s="98"/>
      <c r="G565" s="1"/>
    </row>
    <row r="566" spans="2:7" x14ac:dyDescent="0.25">
      <c r="B566" s="1"/>
      <c r="C566" s="98"/>
      <c r="D566" s="129"/>
      <c r="E566" s="130"/>
      <c r="F566" s="98"/>
      <c r="G566" s="1"/>
    </row>
    <row r="567" spans="2:7" x14ac:dyDescent="0.25">
      <c r="B567" s="1"/>
      <c r="C567" s="98"/>
      <c r="D567" s="129"/>
      <c r="E567" s="130"/>
      <c r="F567" s="98"/>
      <c r="G567" s="1"/>
    </row>
    <row r="568" spans="2:7" x14ac:dyDescent="0.25">
      <c r="B568" s="1"/>
      <c r="C568" s="98"/>
      <c r="D568" s="129"/>
      <c r="E568" s="130"/>
      <c r="F568" s="98"/>
      <c r="G568" s="1"/>
    </row>
    <row r="569" spans="2:7" x14ac:dyDescent="0.25">
      <c r="B569" s="1"/>
      <c r="C569" s="98"/>
      <c r="D569" s="129"/>
      <c r="E569" s="130"/>
      <c r="F569" s="98"/>
      <c r="G569" s="1"/>
    </row>
    <row r="570" spans="2:7" x14ac:dyDescent="0.25">
      <c r="B570" s="1"/>
      <c r="C570" s="98"/>
      <c r="D570" s="129"/>
      <c r="E570" s="130"/>
      <c r="F570" s="98"/>
      <c r="G570" s="1"/>
    </row>
    <row r="571" spans="2:7" x14ac:dyDescent="0.25">
      <c r="B571" s="1"/>
      <c r="C571" s="98"/>
      <c r="D571" s="129"/>
      <c r="E571" s="130"/>
      <c r="F571" s="98"/>
      <c r="G571" s="1"/>
    </row>
    <row r="572" spans="2:7" x14ac:dyDescent="0.25">
      <c r="B572" s="1"/>
      <c r="C572" s="98"/>
      <c r="D572" s="129"/>
      <c r="E572" s="130"/>
      <c r="F572" s="98"/>
      <c r="G572" s="1"/>
    </row>
    <row r="573" spans="2:7" x14ac:dyDescent="0.25">
      <c r="B573" s="1"/>
      <c r="C573" s="98"/>
      <c r="D573" s="129"/>
      <c r="E573" s="130"/>
      <c r="F573" s="98"/>
      <c r="G573" s="1"/>
    </row>
    <row r="574" spans="2:7" x14ac:dyDescent="0.25">
      <c r="B574" s="1"/>
      <c r="C574" s="98"/>
      <c r="D574" s="129"/>
      <c r="E574" s="130"/>
      <c r="F574" s="98"/>
      <c r="G574" s="1"/>
    </row>
    <row r="575" spans="2:7" x14ac:dyDescent="0.25">
      <c r="B575" s="1"/>
      <c r="C575" s="98"/>
      <c r="D575" s="129"/>
      <c r="E575" s="130"/>
      <c r="F575" s="98"/>
      <c r="G575" s="1"/>
    </row>
    <row r="576" spans="2:7" x14ac:dyDescent="0.25">
      <c r="B576" s="1"/>
      <c r="C576" s="98"/>
      <c r="D576" s="129"/>
      <c r="E576" s="130"/>
      <c r="F576" s="98"/>
      <c r="G576" s="1"/>
    </row>
    <row r="577" spans="2:7" x14ac:dyDescent="0.25">
      <c r="B577" s="1"/>
      <c r="C577" s="98"/>
      <c r="D577" s="129"/>
      <c r="E577" s="130"/>
      <c r="F577" s="98"/>
      <c r="G577" s="1"/>
    </row>
    <row r="578" spans="2:7" x14ac:dyDescent="0.25">
      <c r="B578" s="1"/>
      <c r="C578" s="98"/>
      <c r="D578" s="129"/>
      <c r="E578" s="130"/>
      <c r="F578" s="98"/>
      <c r="G578" s="1"/>
    </row>
    <row r="579" spans="2:7" x14ac:dyDescent="0.25">
      <c r="B579" s="1"/>
      <c r="C579" s="98"/>
      <c r="D579" s="129"/>
      <c r="E579" s="130"/>
      <c r="F579" s="98"/>
      <c r="G579" s="1"/>
    </row>
    <row r="580" spans="2:7" x14ac:dyDescent="0.25">
      <c r="B580" s="1"/>
      <c r="C580" s="98"/>
      <c r="D580" s="129"/>
      <c r="E580" s="130"/>
      <c r="F580" s="98"/>
      <c r="G580" s="1"/>
    </row>
    <row r="581" spans="2:7" x14ac:dyDescent="0.25">
      <c r="B581" s="1"/>
      <c r="C581" s="98"/>
      <c r="D581" s="129"/>
      <c r="E581" s="130"/>
      <c r="F581" s="98"/>
      <c r="G581" s="1"/>
    </row>
    <row r="582" spans="2:7" x14ac:dyDescent="0.25">
      <c r="B582" s="1"/>
      <c r="C582" s="98"/>
      <c r="D582" s="129"/>
      <c r="E582" s="130"/>
      <c r="F582" s="98"/>
      <c r="G582" s="1"/>
    </row>
    <row r="583" spans="2:7" x14ac:dyDescent="0.25">
      <c r="B583" s="1"/>
      <c r="C583" s="98"/>
      <c r="D583" s="129"/>
      <c r="E583" s="130"/>
      <c r="F583" s="98"/>
      <c r="G583" s="1"/>
    </row>
    <row r="584" spans="2:7" x14ac:dyDescent="0.25">
      <c r="B584" s="1"/>
      <c r="C584" s="98"/>
      <c r="D584" s="129"/>
      <c r="E584" s="130"/>
      <c r="F584" s="98"/>
      <c r="G584" s="1"/>
    </row>
    <row r="585" spans="2:7" x14ac:dyDescent="0.25">
      <c r="B585" s="1"/>
      <c r="C585" s="98"/>
      <c r="D585" s="129"/>
      <c r="E585" s="130"/>
      <c r="F585" s="98"/>
      <c r="G585" s="1"/>
    </row>
    <row r="586" spans="2:7" x14ac:dyDescent="0.25">
      <c r="B586" s="1"/>
      <c r="C586" s="98"/>
      <c r="D586" s="129"/>
      <c r="E586" s="130"/>
      <c r="F586" s="98"/>
      <c r="G586" s="1"/>
    </row>
    <row r="587" spans="2:7" x14ac:dyDescent="0.25">
      <c r="B587" s="1"/>
      <c r="C587" s="98"/>
      <c r="D587" s="129"/>
      <c r="E587" s="130"/>
      <c r="F587" s="98"/>
      <c r="G587" s="1"/>
    </row>
    <row r="588" spans="2:7" x14ac:dyDescent="0.25">
      <c r="B588" s="1"/>
      <c r="C588" s="98"/>
      <c r="D588" s="129"/>
      <c r="E588" s="130"/>
      <c r="F588" s="98"/>
      <c r="G588" s="1"/>
    </row>
    <row r="589" spans="2:7" x14ac:dyDescent="0.25">
      <c r="B589" s="1"/>
      <c r="C589" s="98"/>
      <c r="D589" s="129"/>
      <c r="E589" s="130"/>
      <c r="F589" s="98"/>
      <c r="G589" s="1"/>
    </row>
    <row r="590" spans="2:7" x14ac:dyDescent="0.25">
      <c r="B590" s="1"/>
      <c r="C590" s="98"/>
      <c r="D590" s="129"/>
      <c r="E590" s="130"/>
      <c r="F590" s="98"/>
      <c r="G590" s="1"/>
    </row>
    <row r="591" spans="2:7" x14ac:dyDescent="0.25">
      <c r="B591" s="1"/>
      <c r="C591" s="98"/>
      <c r="D591" s="129"/>
      <c r="E591" s="130"/>
      <c r="F591" s="98"/>
      <c r="G591" s="1"/>
    </row>
    <row r="592" spans="2:7" x14ac:dyDescent="0.25">
      <c r="B592" s="1"/>
      <c r="C592" s="98"/>
      <c r="D592" s="129"/>
      <c r="E592" s="130"/>
      <c r="F592" s="98"/>
      <c r="G592" s="1"/>
    </row>
    <row r="593" spans="2:7" x14ac:dyDescent="0.25">
      <c r="B593" s="1"/>
      <c r="C593" s="98"/>
      <c r="D593" s="129"/>
      <c r="E593" s="130"/>
      <c r="F593" s="98"/>
      <c r="G593" s="1"/>
    </row>
    <row r="594" spans="2:7" x14ac:dyDescent="0.25">
      <c r="B594" s="1"/>
      <c r="C594" s="98"/>
      <c r="D594" s="129"/>
      <c r="E594" s="130"/>
      <c r="F594" s="98"/>
      <c r="G594" s="1"/>
    </row>
    <row r="595" spans="2:7" x14ac:dyDescent="0.25">
      <c r="B595" s="1"/>
      <c r="C595" s="98"/>
      <c r="D595" s="129"/>
      <c r="E595" s="130"/>
      <c r="F595" s="98"/>
      <c r="G595" s="1"/>
    </row>
    <row r="596" spans="2:7" x14ac:dyDescent="0.25">
      <c r="B596" s="1"/>
      <c r="C596" s="98"/>
      <c r="D596" s="129"/>
      <c r="E596" s="130"/>
      <c r="F596" s="98"/>
      <c r="G596" s="1"/>
    </row>
    <row r="597" spans="2:7" x14ac:dyDescent="0.25">
      <c r="B597" s="1"/>
      <c r="C597" s="98"/>
      <c r="D597" s="129"/>
      <c r="E597" s="130"/>
      <c r="F597" s="98"/>
      <c r="G597" s="1"/>
    </row>
    <row r="598" spans="2:7" x14ac:dyDescent="0.25">
      <c r="B598" s="1"/>
      <c r="C598" s="98"/>
      <c r="D598" s="129"/>
      <c r="E598" s="130"/>
      <c r="F598" s="98"/>
      <c r="G598" s="1"/>
    </row>
    <row r="599" spans="2:7" x14ac:dyDescent="0.25">
      <c r="B599" s="1"/>
      <c r="C599" s="98"/>
      <c r="D599" s="129"/>
      <c r="E599" s="130"/>
      <c r="F599" s="98"/>
      <c r="G599" s="1"/>
    </row>
    <row r="600" spans="2:7" x14ac:dyDescent="0.25">
      <c r="B600" s="1"/>
      <c r="C600" s="98"/>
      <c r="D600" s="129"/>
      <c r="E600" s="130"/>
      <c r="F600" s="98"/>
      <c r="G600" s="1"/>
    </row>
    <row r="601" spans="2:7" x14ac:dyDescent="0.25">
      <c r="B601" s="1"/>
      <c r="C601" s="98"/>
      <c r="D601" s="129"/>
      <c r="E601" s="130"/>
      <c r="F601" s="98"/>
      <c r="G601" s="1"/>
    </row>
    <row r="602" spans="2:7" x14ac:dyDescent="0.25">
      <c r="B602" s="1"/>
      <c r="C602" s="98"/>
      <c r="D602" s="129"/>
      <c r="E602" s="130"/>
      <c r="F602" s="98"/>
      <c r="G602" s="1"/>
    </row>
    <row r="603" spans="2:7" x14ac:dyDescent="0.25">
      <c r="B603" s="1"/>
      <c r="C603" s="98"/>
      <c r="D603" s="129"/>
      <c r="E603" s="130"/>
      <c r="F603" s="98"/>
      <c r="G603" s="1"/>
    </row>
    <row r="604" spans="2:7" x14ac:dyDescent="0.25">
      <c r="B604" s="1"/>
      <c r="C604" s="98"/>
      <c r="D604" s="129"/>
      <c r="E604" s="130"/>
      <c r="F604" s="98"/>
      <c r="G604" s="1"/>
    </row>
    <row r="605" spans="2:7" x14ac:dyDescent="0.25">
      <c r="B605" s="1"/>
      <c r="C605" s="98"/>
      <c r="D605" s="129"/>
      <c r="E605" s="130"/>
      <c r="F605" s="98"/>
      <c r="G605" s="1"/>
    </row>
    <row r="606" spans="2:7" x14ac:dyDescent="0.25">
      <c r="B606" s="1"/>
      <c r="C606" s="98"/>
      <c r="D606" s="129"/>
      <c r="E606" s="130"/>
      <c r="F606" s="98"/>
      <c r="G606" s="1"/>
    </row>
    <row r="607" spans="2:7" x14ac:dyDescent="0.25">
      <c r="B607" s="1"/>
      <c r="C607" s="98"/>
      <c r="D607" s="129"/>
      <c r="E607" s="130"/>
      <c r="F607" s="98"/>
      <c r="G607" s="1"/>
    </row>
    <row r="608" spans="2:7" x14ac:dyDescent="0.25">
      <c r="B608" s="1"/>
      <c r="C608" s="98"/>
      <c r="D608" s="129"/>
      <c r="E608" s="130"/>
      <c r="F608" s="98"/>
      <c r="G608" s="1"/>
    </row>
    <row r="609" spans="2:7" x14ac:dyDescent="0.25">
      <c r="B609" s="1"/>
      <c r="C609" s="98"/>
      <c r="D609" s="129"/>
      <c r="E609" s="130"/>
      <c r="F609" s="98"/>
      <c r="G609" s="1"/>
    </row>
    <row r="610" spans="2:7" x14ac:dyDescent="0.25">
      <c r="B610" s="1"/>
      <c r="C610" s="98"/>
      <c r="D610" s="129"/>
      <c r="E610" s="130"/>
      <c r="F610" s="98"/>
      <c r="G610" s="1"/>
    </row>
    <row r="611" spans="2:7" x14ac:dyDescent="0.25">
      <c r="B611" s="1"/>
      <c r="C611" s="98"/>
      <c r="D611" s="129"/>
      <c r="E611" s="130"/>
      <c r="F611" s="98"/>
      <c r="G611" s="1"/>
    </row>
    <row r="612" spans="2:7" x14ac:dyDescent="0.25">
      <c r="B612" s="1"/>
      <c r="C612" s="98"/>
      <c r="D612" s="129"/>
      <c r="E612" s="130"/>
      <c r="F612" s="98"/>
      <c r="G612" s="1"/>
    </row>
    <row r="613" spans="2:7" x14ac:dyDescent="0.25">
      <c r="B613" s="1"/>
      <c r="C613" s="98"/>
      <c r="D613" s="129"/>
      <c r="E613" s="130"/>
      <c r="F613" s="98"/>
      <c r="G613" s="1"/>
    </row>
    <row r="614" spans="2:7" x14ac:dyDescent="0.25">
      <c r="B614" s="1"/>
      <c r="C614" s="98"/>
      <c r="D614" s="129"/>
      <c r="E614" s="130"/>
      <c r="F614" s="98"/>
      <c r="G614" s="1"/>
    </row>
    <row r="615" spans="2:7" x14ac:dyDescent="0.25">
      <c r="B615" s="1"/>
      <c r="C615" s="98"/>
      <c r="D615" s="129"/>
      <c r="E615" s="130"/>
      <c r="F615" s="98"/>
      <c r="G615" s="1"/>
    </row>
    <row r="616" spans="2:7" x14ac:dyDescent="0.25">
      <c r="B616" s="1"/>
      <c r="C616" s="98"/>
      <c r="D616" s="129"/>
      <c r="E616" s="130"/>
      <c r="F616" s="98"/>
      <c r="G616" s="1"/>
    </row>
    <row r="617" spans="2:7" x14ac:dyDescent="0.25">
      <c r="B617" s="1"/>
      <c r="C617" s="98"/>
      <c r="D617" s="129"/>
      <c r="E617" s="130"/>
      <c r="F617" s="98"/>
      <c r="G617" s="1"/>
    </row>
    <row r="618" spans="2:7" x14ac:dyDescent="0.25">
      <c r="B618" s="1"/>
      <c r="C618" s="98"/>
      <c r="D618" s="129"/>
      <c r="E618" s="130"/>
      <c r="F618" s="98"/>
      <c r="G618" s="1"/>
    </row>
    <row r="619" spans="2:7" x14ac:dyDescent="0.25">
      <c r="B619" s="1"/>
      <c r="C619" s="98"/>
      <c r="D619" s="129"/>
      <c r="E619" s="130"/>
      <c r="F619" s="98"/>
      <c r="G619" s="1"/>
    </row>
    <row r="620" spans="2:7" x14ac:dyDescent="0.25">
      <c r="B620" s="1"/>
      <c r="C620" s="98"/>
      <c r="D620" s="129"/>
      <c r="E620" s="130"/>
      <c r="F620" s="98"/>
      <c r="G620" s="1"/>
    </row>
    <row r="621" spans="2:7" x14ac:dyDescent="0.25">
      <c r="B621" s="1"/>
      <c r="C621" s="98"/>
      <c r="D621" s="129"/>
      <c r="E621" s="130"/>
      <c r="F621" s="98"/>
      <c r="G621" s="1"/>
    </row>
    <row r="622" spans="2:7" x14ac:dyDescent="0.25">
      <c r="B622" s="1"/>
      <c r="C622" s="98"/>
      <c r="D622" s="129"/>
      <c r="E622" s="130"/>
      <c r="F622" s="98"/>
      <c r="G622" s="1"/>
    </row>
    <row r="623" spans="2:7" x14ac:dyDescent="0.25">
      <c r="B623" s="1"/>
      <c r="C623" s="98"/>
      <c r="D623" s="129"/>
      <c r="E623" s="130"/>
      <c r="F623" s="98"/>
      <c r="G623" s="1"/>
    </row>
    <row r="624" spans="2:7" x14ac:dyDescent="0.25">
      <c r="B624" s="1"/>
      <c r="C624" s="98"/>
      <c r="D624" s="129"/>
      <c r="E624" s="130"/>
      <c r="F624" s="98"/>
      <c r="G624" s="1"/>
    </row>
    <row r="625" spans="2:7" x14ac:dyDescent="0.25">
      <c r="B625" s="1"/>
      <c r="C625" s="98"/>
      <c r="D625" s="129"/>
      <c r="E625" s="130"/>
      <c r="F625" s="98"/>
      <c r="G625" s="1"/>
    </row>
  </sheetData>
  <sheetProtection algorithmName="SHA-512" hashValue="O8oSTr5KeQ+uwvWAh7dKqEH0+Ae1mRdkArdxzwQIVwWyQ0nAwH0jgbdchXvA3xPUI/XpMdLBGPWYivrnrn8YdQ==" saltValue="vAgbQs/3BZCaEclDCUFfs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5" t="s">
        <v>662</v>
      </c>
      <c r="D2" s="135"/>
      <c r="E2" s="135"/>
      <c r="F2" s="135"/>
      <c r="G2" s="135"/>
      <c r="H2" s="135"/>
      <c r="I2" s="135"/>
      <c r="J2" s="135"/>
      <c r="K2" s="135"/>
      <c r="L2" s="135"/>
      <c r="M2" s="1"/>
    </row>
    <row r="3" spans="2:13" ht="27.75" customHeight="1" x14ac:dyDescent="0.25"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30">
        <v>1</v>
      </c>
      <c r="D7" s="131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30">
        <v>2</v>
      </c>
      <c r="D8" s="131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30">
        <v>3</v>
      </c>
      <c r="D9" s="131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30">
        <v>4</v>
      </c>
      <c r="D10" s="131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30">
        <v>5</v>
      </c>
      <c r="D11" s="131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30">
        <v>6</v>
      </c>
      <c r="D12" s="131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30">
        <v>7</v>
      </c>
      <c r="D13" s="131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30">
        <v>8</v>
      </c>
      <c r="D14" s="131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30">
        <v>9</v>
      </c>
      <c r="D15" s="131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30">
        <v>10</v>
      </c>
      <c r="D16" s="131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30">
        <v>11</v>
      </c>
      <c r="D17" s="13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30">
        <v>12</v>
      </c>
      <c r="D18" s="13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30">
        <v>13</v>
      </c>
      <c r="D19" s="13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30">
        <v>14</v>
      </c>
      <c r="D20" s="13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30">
        <v>15</v>
      </c>
      <c r="D21" s="13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30">
        <v>16</v>
      </c>
      <c r="D22" s="13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30">
        <v>17</v>
      </c>
      <c r="D23" s="13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30">
        <v>18</v>
      </c>
      <c r="D24" s="13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30">
        <v>19</v>
      </c>
      <c r="D25" s="131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30">
        <v>20</v>
      </c>
      <c r="D26" s="131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I16" sqref="I1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16.2851562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39" t="s">
        <v>701</v>
      </c>
      <c r="D2" s="13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5"/>
      <c r="C3" s="166"/>
      <c r="D3" s="166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6"/>
      <c r="C4" s="166"/>
      <c r="D4" s="166"/>
      <c r="E4" s="143" t="s">
        <v>687</v>
      </c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4" t="s">
        <v>697</v>
      </c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7" t="s">
        <v>698</v>
      </c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54" t="s">
        <v>699</v>
      </c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40" t="s">
        <v>700</v>
      </c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  <c r="BV4" s="140"/>
      <c r="BW4" s="1"/>
    </row>
    <row r="5" spans="2:75" x14ac:dyDescent="0.25">
      <c r="B5" s="162"/>
      <c r="C5" s="163"/>
      <c r="D5" s="164"/>
      <c r="E5" s="28" t="s">
        <v>688</v>
      </c>
      <c r="F5" s="150" t="s">
        <v>695</v>
      </c>
      <c r="G5" s="150"/>
      <c r="H5" s="150"/>
      <c r="I5" s="150"/>
      <c r="J5" s="150"/>
      <c r="K5" s="150"/>
      <c r="L5" s="27" t="s">
        <v>696</v>
      </c>
      <c r="M5" s="151" t="s">
        <v>695</v>
      </c>
      <c r="N5" s="151"/>
      <c r="O5" s="151"/>
      <c r="P5" s="151"/>
      <c r="Q5" s="151"/>
      <c r="R5" s="151"/>
      <c r="S5" s="37" t="s">
        <v>688</v>
      </c>
      <c r="T5" s="145" t="s">
        <v>695</v>
      </c>
      <c r="U5" s="145"/>
      <c r="V5" s="145"/>
      <c r="W5" s="145"/>
      <c r="X5" s="145"/>
      <c r="Y5" s="145"/>
      <c r="Z5" s="39" t="s">
        <v>696</v>
      </c>
      <c r="AA5" s="146" t="s">
        <v>695</v>
      </c>
      <c r="AB5" s="146"/>
      <c r="AC5" s="146"/>
      <c r="AD5" s="146"/>
      <c r="AE5" s="146"/>
      <c r="AF5" s="146"/>
      <c r="AG5" s="35" t="s">
        <v>688</v>
      </c>
      <c r="AH5" s="148" t="s">
        <v>695</v>
      </c>
      <c r="AI5" s="148"/>
      <c r="AJ5" s="148"/>
      <c r="AK5" s="148"/>
      <c r="AL5" s="148"/>
      <c r="AM5" s="148"/>
      <c r="AN5" s="33" t="s">
        <v>696</v>
      </c>
      <c r="AO5" s="149" t="s">
        <v>695</v>
      </c>
      <c r="AP5" s="149"/>
      <c r="AQ5" s="149"/>
      <c r="AR5" s="149"/>
      <c r="AS5" s="149"/>
      <c r="AT5" s="149"/>
      <c r="AU5" s="43" t="s">
        <v>688</v>
      </c>
      <c r="AV5" s="155" t="s">
        <v>695</v>
      </c>
      <c r="AW5" s="155"/>
      <c r="AX5" s="155"/>
      <c r="AY5" s="155"/>
      <c r="AZ5" s="155"/>
      <c r="BA5" s="155"/>
      <c r="BB5" s="41" t="s">
        <v>696</v>
      </c>
      <c r="BC5" s="156" t="s">
        <v>695</v>
      </c>
      <c r="BD5" s="156"/>
      <c r="BE5" s="156"/>
      <c r="BF5" s="156"/>
      <c r="BG5" s="156"/>
      <c r="BH5" s="156"/>
      <c r="BI5" s="45" t="s">
        <v>688</v>
      </c>
      <c r="BJ5" s="141" t="s">
        <v>695</v>
      </c>
      <c r="BK5" s="141"/>
      <c r="BL5" s="141"/>
      <c r="BM5" s="141"/>
      <c r="BN5" s="141"/>
      <c r="BO5" s="141"/>
      <c r="BP5" s="31" t="s">
        <v>696</v>
      </c>
      <c r="BQ5" s="142" t="s">
        <v>695</v>
      </c>
      <c r="BR5" s="142"/>
      <c r="BS5" s="142"/>
      <c r="BT5" s="142"/>
      <c r="BU5" s="142"/>
      <c r="BV5" s="142"/>
      <c r="BW5" s="1"/>
    </row>
    <row r="6" spans="2:75" ht="14.1" customHeight="1" x14ac:dyDescent="0.25">
      <c r="B6" s="1"/>
      <c r="C6" s="7"/>
      <c r="D6" s="7"/>
      <c r="E6" s="62" t="s">
        <v>733</v>
      </c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2" t="s">
        <v>690</v>
      </c>
      <c r="O6" s="82" t="s">
        <v>691</v>
      </c>
      <c r="P6" s="82" t="s">
        <v>692</v>
      </c>
      <c r="Q6" s="82" t="s">
        <v>693</v>
      </c>
      <c r="R6" s="82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67"/>
      <c r="AA6" s="40" t="s">
        <v>689</v>
      </c>
      <c r="AB6" s="81" t="s">
        <v>690</v>
      </c>
      <c r="AC6" s="81" t="s">
        <v>691</v>
      </c>
      <c r="AD6" s="81" t="s">
        <v>692</v>
      </c>
      <c r="AE6" s="81" t="s">
        <v>693</v>
      </c>
      <c r="AF6" s="81" t="s">
        <v>694</v>
      </c>
      <c r="AG6" s="69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1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3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5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7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9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5" customHeight="1" x14ac:dyDescent="0.25">
      <c r="B7" s="153" t="s">
        <v>679</v>
      </c>
      <c r="C7" s="157" t="s">
        <v>14</v>
      </c>
      <c r="D7" s="86" t="s">
        <v>680</v>
      </c>
      <c r="E7" s="61"/>
      <c r="F7" s="50">
        <f>SUM(G7:K7)</f>
        <v>5</v>
      </c>
      <c r="G7" s="61">
        <v>3</v>
      </c>
      <c r="H7" s="61"/>
      <c r="I7" s="61">
        <v>2</v>
      </c>
      <c r="J7" s="61"/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8"/>
      <c r="AA7" s="52">
        <f>SUM(AB7:AF7)</f>
        <v>3</v>
      </c>
      <c r="AB7" s="68"/>
      <c r="AC7" s="68">
        <v>3</v>
      </c>
      <c r="AD7" s="68"/>
      <c r="AE7" s="68"/>
      <c r="AF7" s="68"/>
      <c r="AG7" s="70"/>
      <c r="AH7" s="55">
        <f>SUM(AI7:AM7)</f>
        <v>4</v>
      </c>
      <c r="AI7" s="70">
        <v>4</v>
      </c>
      <c r="AJ7" s="70"/>
      <c r="AK7" s="70"/>
      <c r="AL7" s="70"/>
      <c r="AM7" s="70"/>
      <c r="AN7" s="72"/>
      <c r="AO7" s="54">
        <f>SUM(AP7:AT7)</f>
        <v>5</v>
      </c>
      <c r="AP7" s="72">
        <v>5</v>
      </c>
      <c r="AQ7" s="72"/>
      <c r="AR7" s="72"/>
      <c r="AS7" s="72"/>
      <c r="AT7" s="72"/>
      <c r="AU7" s="74"/>
      <c r="AV7" s="57">
        <f>SUM(AW7:BA7)</f>
        <v>6</v>
      </c>
      <c r="AW7" s="74"/>
      <c r="AX7" s="74">
        <v>6</v>
      </c>
      <c r="AY7" s="74"/>
      <c r="AZ7" s="74"/>
      <c r="BA7" s="74"/>
      <c r="BB7" s="76"/>
      <c r="BC7" s="56">
        <f>SUM(BD7:BH7)</f>
        <v>7</v>
      </c>
      <c r="BD7" s="76">
        <v>7</v>
      </c>
      <c r="BE7" s="76"/>
      <c r="BF7" s="76"/>
      <c r="BG7" s="76"/>
      <c r="BH7" s="76"/>
      <c r="BI7" s="78"/>
      <c r="BJ7" s="49">
        <f>SUM(BK7:BO7)</f>
        <v>8</v>
      </c>
      <c r="BK7" s="78">
        <v>8</v>
      </c>
      <c r="BL7" s="78"/>
      <c r="BM7" s="78"/>
      <c r="BN7" s="78"/>
      <c r="BO7" s="78"/>
      <c r="BP7" s="80"/>
      <c r="BQ7" s="58">
        <f>SUM(BR7:BV7)</f>
        <v>8</v>
      </c>
      <c r="BR7" s="80">
        <v>8</v>
      </c>
      <c r="BS7" s="80"/>
      <c r="BT7" s="80"/>
      <c r="BU7" s="80"/>
      <c r="BV7" s="80"/>
      <c r="BW7" s="1"/>
    </row>
    <row r="8" spans="2:75" ht="15" customHeight="1" x14ac:dyDescent="0.25">
      <c r="B8" s="153"/>
      <c r="C8" s="157"/>
      <c r="D8" s="86" t="s">
        <v>681</v>
      </c>
      <c r="E8" s="61"/>
      <c r="F8" s="50">
        <f>SUM(G8:K8)</f>
        <v>3</v>
      </c>
      <c r="G8" s="61">
        <v>2</v>
      </c>
      <c r="H8" s="61"/>
      <c r="I8" s="61">
        <v>1</v>
      </c>
      <c r="J8" s="61"/>
      <c r="K8" s="61"/>
      <c r="L8" s="64"/>
      <c r="M8" s="51">
        <f t="shared" ref="M8:M62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2" si="1">SUM(U8:Y8)</f>
        <v>2</v>
      </c>
      <c r="U8" s="66"/>
      <c r="V8" s="66">
        <v>2</v>
      </c>
      <c r="W8" s="66"/>
      <c r="X8" s="66"/>
      <c r="Y8" s="66"/>
      <c r="Z8" s="68"/>
      <c r="AA8" s="52">
        <f t="shared" ref="AA8:AA62" si="2">SUM(AB8:AF8)</f>
        <v>3</v>
      </c>
      <c r="AB8" s="68">
        <v>3</v>
      </c>
      <c r="AC8" s="68"/>
      <c r="AD8" s="68"/>
      <c r="AE8" s="68"/>
      <c r="AF8" s="68"/>
      <c r="AG8" s="70"/>
      <c r="AH8" s="55">
        <f t="shared" ref="AH8:AH62" si="3">SUM(AI8:AM8)</f>
        <v>4</v>
      </c>
      <c r="AI8" s="70"/>
      <c r="AJ8" s="70">
        <v>4</v>
      </c>
      <c r="AK8" s="70"/>
      <c r="AL8" s="70"/>
      <c r="AM8" s="70"/>
      <c r="AN8" s="72"/>
      <c r="AO8" s="54">
        <f t="shared" ref="AO8:AO62" si="4">SUM(AP8:AT8)</f>
        <v>5</v>
      </c>
      <c r="AP8" s="72"/>
      <c r="AQ8" s="72">
        <v>5</v>
      </c>
      <c r="AR8" s="72"/>
      <c r="AS8" s="72"/>
      <c r="AT8" s="72"/>
      <c r="AU8" s="74"/>
      <c r="AV8" s="57">
        <f>SUM(AW8:BA8)</f>
        <v>12</v>
      </c>
      <c r="AW8" s="74">
        <v>6</v>
      </c>
      <c r="AX8" s="74"/>
      <c r="AY8" s="74">
        <v>6</v>
      </c>
      <c r="AZ8" s="74"/>
      <c r="BA8" s="74"/>
      <c r="BB8" s="76"/>
      <c r="BC8" s="56">
        <f t="shared" ref="BC8:BC62" si="5">SUM(BD8:BH8)</f>
        <v>7</v>
      </c>
      <c r="BD8" s="76">
        <v>7</v>
      </c>
      <c r="BE8" s="76"/>
      <c r="BF8" s="76"/>
      <c r="BG8" s="76"/>
      <c r="BH8" s="76"/>
      <c r="BI8" s="78"/>
      <c r="BJ8" s="49">
        <f t="shared" ref="BJ8:BJ62" si="6">SUM(BK8:BO8)</f>
        <v>8</v>
      </c>
      <c r="BK8" s="78"/>
      <c r="BL8" s="78">
        <v>8</v>
      </c>
      <c r="BM8" s="78"/>
      <c r="BN8" s="78"/>
      <c r="BO8" s="78"/>
      <c r="BP8" s="80"/>
      <c r="BQ8" s="58">
        <f t="shared" ref="BQ8:BQ62" si="7">SUM(BR8:BV8)</f>
        <v>8</v>
      </c>
      <c r="BR8" s="80"/>
      <c r="BS8" s="80">
        <v>8</v>
      </c>
      <c r="BT8" s="80"/>
      <c r="BU8" s="80"/>
      <c r="BV8" s="80"/>
      <c r="BW8" s="1"/>
    </row>
    <row r="9" spans="2:75" ht="15" customHeight="1" x14ac:dyDescent="0.25">
      <c r="B9" s="153"/>
      <c r="C9" s="157"/>
      <c r="D9" s="86" t="s">
        <v>682</v>
      </c>
      <c r="E9" s="61"/>
      <c r="F9" s="50">
        <f>SUM(G9:K9)</f>
        <v>6</v>
      </c>
      <c r="G9" s="61">
        <v>4</v>
      </c>
      <c r="H9" s="61">
        <v>1</v>
      </c>
      <c r="I9" s="61"/>
      <c r="J9" s="61">
        <v>1</v>
      </c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8"/>
      <c r="AA9" s="52">
        <f t="shared" si="2"/>
        <v>3</v>
      </c>
      <c r="AB9" s="68"/>
      <c r="AC9" s="68">
        <v>3</v>
      </c>
      <c r="AD9" s="68"/>
      <c r="AE9" s="68"/>
      <c r="AF9" s="68"/>
      <c r="AG9" s="70"/>
      <c r="AH9" s="55">
        <f t="shared" si="3"/>
        <v>4</v>
      </c>
      <c r="AI9" s="70"/>
      <c r="AJ9" s="70"/>
      <c r="AK9" s="70">
        <v>4</v>
      </c>
      <c r="AL9" s="70"/>
      <c r="AM9" s="70"/>
      <c r="AN9" s="72"/>
      <c r="AO9" s="54">
        <f t="shared" si="4"/>
        <v>5</v>
      </c>
      <c r="AP9" s="72"/>
      <c r="AQ9" s="72"/>
      <c r="AR9" s="72">
        <v>5</v>
      </c>
      <c r="AS9" s="72"/>
      <c r="AT9" s="72"/>
      <c r="AU9" s="74"/>
      <c r="AV9" s="57">
        <f t="shared" ref="AV9:AV62" si="8">SUM(AW9:BA9)</f>
        <v>6</v>
      </c>
      <c r="AW9" s="74"/>
      <c r="AX9" s="74"/>
      <c r="AY9" s="74"/>
      <c r="AZ9" s="74">
        <v>6</v>
      </c>
      <c r="BA9" s="74"/>
      <c r="BB9" s="76"/>
      <c r="BC9" s="56">
        <f t="shared" si="5"/>
        <v>7</v>
      </c>
      <c r="BD9" s="76"/>
      <c r="BE9" s="76">
        <v>7</v>
      </c>
      <c r="BF9" s="76"/>
      <c r="BG9" s="76"/>
      <c r="BH9" s="76"/>
      <c r="BI9" s="78"/>
      <c r="BJ9" s="49">
        <f t="shared" si="6"/>
        <v>8</v>
      </c>
      <c r="BK9" s="78"/>
      <c r="BL9" s="78"/>
      <c r="BM9" s="78">
        <v>8</v>
      </c>
      <c r="BN9" s="78"/>
      <c r="BO9" s="78"/>
      <c r="BP9" s="80"/>
      <c r="BQ9" s="58">
        <f t="shared" si="7"/>
        <v>8</v>
      </c>
      <c r="BR9" s="80"/>
      <c r="BS9" s="80"/>
      <c r="BT9" s="80">
        <v>8</v>
      </c>
      <c r="BU9" s="80"/>
      <c r="BV9" s="80"/>
      <c r="BW9" s="1"/>
    </row>
    <row r="10" spans="2:75" ht="15" customHeight="1" x14ac:dyDescent="0.25">
      <c r="B10" s="153"/>
      <c r="C10" s="157"/>
      <c r="D10" s="86" t="s">
        <v>683</v>
      </c>
      <c r="E10" s="61"/>
      <c r="F10" s="50">
        <f t="shared" ref="F10:F62" si="9">SUM(G10:K10)</f>
        <v>4</v>
      </c>
      <c r="G10" s="61"/>
      <c r="H10" s="61">
        <v>1</v>
      </c>
      <c r="I10" s="61">
        <v>3</v>
      </c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8"/>
      <c r="AA10" s="52">
        <f t="shared" si="2"/>
        <v>3</v>
      </c>
      <c r="AB10" s="68"/>
      <c r="AC10" s="68">
        <v>3</v>
      </c>
      <c r="AD10" s="68"/>
      <c r="AE10" s="68"/>
      <c r="AF10" s="68"/>
      <c r="AG10" s="70"/>
      <c r="AH10" s="55">
        <f t="shared" si="3"/>
        <v>4</v>
      </c>
      <c r="AI10" s="70"/>
      <c r="AJ10" s="70"/>
      <c r="AK10" s="70"/>
      <c r="AL10" s="70">
        <v>4</v>
      </c>
      <c r="AM10" s="70"/>
      <c r="AN10" s="72"/>
      <c r="AO10" s="54">
        <f t="shared" si="4"/>
        <v>6</v>
      </c>
      <c r="AP10" s="72"/>
      <c r="AQ10" s="72"/>
      <c r="AR10" s="72"/>
      <c r="AS10" s="72">
        <v>5</v>
      </c>
      <c r="AT10" s="72">
        <v>1</v>
      </c>
      <c r="AU10" s="74"/>
      <c r="AV10" s="57">
        <f t="shared" si="8"/>
        <v>6</v>
      </c>
      <c r="AW10" s="74"/>
      <c r="AX10" s="74"/>
      <c r="AY10" s="74"/>
      <c r="AZ10" s="74"/>
      <c r="BA10" s="74">
        <v>6</v>
      </c>
      <c r="BB10" s="76"/>
      <c r="BC10" s="56">
        <f t="shared" si="5"/>
        <v>21</v>
      </c>
      <c r="BD10" s="76"/>
      <c r="BE10" s="76"/>
      <c r="BF10" s="76">
        <v>7</v>
      </c>
      <c r="BG10" s="76">
        <v>7</v>
      </c>
      <c r="BH10" s="76">
        <v>7</v>
      </c>
      <c r="BI10" s="78"/>
      <c r="BJ10" s="49">
        <f t="shared" si="6"/>
        <v>16</v>
      </c>
      <c r="BK10" s="78"/>
      <c r="BL10" s="78"/>
      <c r="BM10" s="78"/>
      <c r="BN10" s="78">
        <v>8</v>
      </c>
      <c r="BO10" s="78">
        <v>8</v>
      </c>
      <c r="BP10" s="80"/>
      <c r="BQ10" s="58">
        <f t="shared" si="7"/>
        <v>16</v>
      </c>
      <c r="BR10" s="80"/>
      <c r="BS10" s="80"/>
      <c r="BT10" s="80"/>
      <c r="BU10" s="80">
        <v>8</v>
      </c>
      <c r="BV10" s="80">
        <v>8</v>
      </c>
      <c r="BW10" s="1"/>
    </row>
    <row r="11" spans="2:75" ht="15" customHeight="1" x14ac:dyDescent="0.25">
      <c r="B11" s="153"/>
      <c r="C11" s="158" t="s">
        <v>684</v>
      </c>
      <c r="D11" s="87">
        <v>1</v>
      </c>
      <c r="E11" s="61"/>
      <c r="F11" s="50">
        <f t="shared" si="9"/>
        <v>0</v>
      </c>
      <c r="G11" s="61"/>
      <c r="H11" s="61"/>
      <c r="I11" s="61"/>
      <c r="J11" s="61"/>
      <c r="K11" s="61"/>
      <c r="L11" s="64"/>
      <c r="M11" s="51">
        <f t="shared" si="0"/>
        <v>2</v>
      </c>
      <c r="N11" s="64"/>
      <c r="O11" s="64"/>
      <c r="P11" s="64"/>
      <c r="Q11" s="64"/>
      <c r="R11" s="64">
        <v>2</v>
      </c>
      <c r="S11" s="66"/>
      <c r="T11" s="53">
        <f t="shared" si="1"/>
        <v>2</v>
      </c>
      <c r="U11" s="66"/>
      <c r="V11" s="66"/>
      <c r="W11" s="66"/>
      <c r="X11" s="66"/>
      <c r="Y11" s="66">
        <v>2</v>
      </c>
      <c r="Z11" s="68"/>
      <c r="AA11" s="52">
        <f t="shared" si="2"/>
        <v>3</v>
      </c>
      <c r="AB11" s="68"/>
      <c r="AC11" s="68"/>
      <c r="AD11" s="68">
        <v>3</v>
      </c>
      <c r="AE11" s="68"/>
      <c r="AF11" s="68"/>
      <c r="AG11" s="70"/>
      <c r="AH11" s="55">
        <f t="shared" si="3"/>
        <v>0</v>
      </c>
      <c r="AI11" s="70"/>
      <c r="AJ11" s="70"/>
      <c r="AK11" s="70"/>
      <c r="AL11" s="70"/>
      <c r="AM11" s="70"/>
      <c r="AN11" s="72"/>
      <c r="AO11" s="54">
        <f t="shared" si="4"/>
        <v>0</v>
      </c>
      <c r="AP11" s="72"/>
      <c r="AQ11" s="72"/>
      <c r="AR11" s="72"/>
      <c r="AS11" s="72"/>
      <c r="AT11" s="72"/>
      <c r="AU11" s="74"/>
      <c r="AV11" s="57">
        <f t="shared" si="8"/>
        <v>0</v>
      </c>
      <c r="AW11" s="74"/>
      <c r="AX11" s="74"/>
      <c r="AY11" s="74"/>
      <c r="AZ11" s="74"/>
      <c r="BA11" s="74"/>
      <c r="BB11" s="76"/>
      <c r="BC11" s="56">
        <f t="shared" si="5"/>
        <v>0</v>
      </c>
      <c r="BD11" s="76"/>
      <c r="BE11" s="76"/>
      <c r="BF11" s="76"/>
      <c r="BG11" s="76"/>
      <c r="BH11" s="76"/>
      <c r="BI11" s="78"/>
      <c r="BJ11" s="49">
        <f t="shared" si="6"/>
        <v>0</v>
      </c>
      <c r="BK11" s="78"/>
      <c r="BL11" s="78"/>
      <c r="BM11" s="78"/>
      <c r="BN11" s="78"/>
      <c r="BO11" s="78"/>
      <c r="BP11" s="80"/>
      <c r="BQ11" s="58">
        <f t="shared" si="7"/>
        <v>0</v>
      </c>
      <c r="BR11" s="80"/>
      <c r="BS11" s="80"/>
      <c r="BT11" s="80"/>
      <c r="BU11" s="80"/>
      <c r="BV11" s="80"/>
      <c r="BW11" s="1"/>
    </row>
    <row r="12" spans="2:75" ht="15" customHeight="1" x14ac:dyDescent="0.25">
      <c r="B12" s="153"/>
      <c r="C12" s="158"/>
      <c r="D12" s="87">
        <v>2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0</v>
      </c>
      <c r="N12" s="64"/>
      <c r="O12" s="64"/>
      <c r="P12" s="64"/>
      <c r="Q12" s="64"/>
      <c r="R12" s="64"/>
      <c r="S12" s="66"/>
      <c r="T12" s="53">
        <f t="shared" si="1"/>
        <v>0</v>
      </c>
      <c r="U12" s="66"/>
      <c r="V12" s="66"/>
      <c r="W12" s="66"/>
      <c r="X12" s="66"/>
      <c r="Y12" s="66"/>
      <c r="Z12" s="68"/>
      <c r="AA12" s="52">
        <f t="shared" si="2"/>
        <v>0</v>
      </c>
      <c r="AB12" s="68"/>
      <c r="AC12" s="68"/>
      <c r="AD12" s="68"/>
      <c r="AE12" s="68"/>
      <c r="AF12" s="68"/>
      <c r="AG12" s="70"/>
      <c r="AH12" s="55">
        <f t="shared" si="3"/>
        <v>0</v>
      </c>
      <c r="AI12" s="70"/>
      <c r="AJ12" s="70"/>
      <c r="AK12" s="70"/>
      <c r="AL12" s="70"/>
      <c r="AM12" s="70"/>
      <c r="AN12" s="72"/>
      <c r="AO12" s="54">
        <f t="shared" si="4"/>
        <v>0</v>
      </c>
      <c r="AP12" s="72"/>
      <c r="AQ12" s="72"/>
      <c r="AR12" s="72"/>
      <c r="AS12" s="72"/>
      <c r="AT12" s="72"/>
      <c r="AU12" s="74"/>
      <c r="AV12" s="57">
        <f t="shared" si="8"/>
        <v>0</v>
      </c>
      <c r="AW12" s="74"/>
      <c r="AX12" s="74"/>
      <c r="AY12" s="74"/>
      <c r="AZ12" s="74"/>
      <c r="BA12" s="74"/>
      <c r="BB12" s="76"/>
      <c r="BC12" s="56">
        <f t="shared" si="5"/>
        <v>0</v>
      </c>
      <c r="BD12" s="76"/>
      <c r="BE12" s="76"/>
      <c r="BF12" s="76"/>
      <c r="BG12" s="76"/>
      <c r="BH12" s="76"/>
      <c r="BI12" s="78"/>
      <c r="BJ12" s="49">
        <f t="shared" si="6"/>
        <v>0</v>
      </c>
      <c r="BK12" s="78"/>
      <c r="BL12" s="78"/>
      <c r="BM12" s="78"/>
      <c r="BN12" s="78"/>
      <c r="BO12" s="78"/>
      <c r="BP12" s="80"/>
      <c r="BQ12" s="58">
        <f t="shared" si="7"/>
        <v>0</v>
      </c>
      <c r="BR12" s="80"/>
      <c r="BS12" s="80"/>
      <c r="BT12" s="80"/>
      <c r="BU12" s="80"/>
      <c r="BV12" s="80"/>
      <c r="BW12" s="1"/>
    </row>
    <row r="13" spans="2:75" ht="15" customHeight="1" x14ac:dyDescent="0.25">
      <c r="B13" s="153"/>
      <c r="C13" s="158"/>
      <c r="D13" s="87">
        <v>3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8"/>
      <c r="AA13" s="52">
        <f t="shared" si="2"/>
        <v>0</v>
      </c>
      <c r="AB13" s="68"/>
      <c r="AC13" s="68"/>
      <c r="AD13" s="68"/>
      <c r="AE13" s="68"/>
      <c r="AF13" s="68"/>
      <c r="AG13" s="70"/>
      <c r="AH13" s="55">
        <f t="shared" si="3"/>
        <v>0</v>
      </c>
      <c r="AI13" s="70"/>
      <c r="AJ13" s="70"/>
      <c r="AK13" s="70"/>
      <c r="AL13" s="70"/>
      <c r="AM13" s="70"/>
      <c r="AN13" s="72"/>
      <c r="AO13" s="54">
        <f t="shared" si="4"/>
        <v>0</v>
      </c>
      <c r="AP13" s="72"/>
      <c r="AQ13" s="72"/>
      <c r="AR13" s="72"/>
      <c r="AS13" s="72"/>
      <c r="AT13" s="72"/>
      <c r="AU13" s="74"/>
      <c r="AV13" s="57">
        <f t="shared" si="8"/>
        <v>0</v>
      </c>
      <c r="AW13" s="74"/>
      <c r="AX13" s="74"/>
      <c r="AY13" s="74"/>
      <c r="AZ13" s="74"/>
      <c r="BA13" s="74"/>
      <c r="BB13" s="76"/>
      <c r="BC13" s="56">
        <f t="shared" si="5"/>
        <v>0</v>
      </c>
      <c r="BD13" s="76"/>
      <c r="BE13" s="76"/>
      <c r="BF13" s="76"/>
      <c r="BG13" s="76"/>
      <c r="BH13" s="76"/>
      <c r="BI13" s="78"/>
      <c r="BJ13" s="49">
        <f t="shared" si="6"/>
        <v>0</v>
      </c>
      <c r="BK13" s="78"/>
      <c r="BL13" s="78"/>
      <c r="BM13" s="78"/>
      <c r="BN13" s="78"/>
      <c r="BO13" s="78"/>
      <c r="BP13" s="80"/>
      <c r="BQ13" s="58">
        <f t="shared" si="7"/>
        <v>0</v>
      </c>
      <c r="BR13" s="80"/>
      <c r="BS13" s="80"/>
      <c r="BT13" s="80"/>
      <c r="BU13" s="80"/>
      <c r="BV13" s="80"/>
      <c r="BW13" s="1"/>
    </row>
    <row r="14" spans="2:75" ht="15" customHeight="1" x14ac:dyDescent="0.25">
      <c r="B14" s="153"/>
      <c r="C14" s="158"/>
      <c r="D14" s="87">
        <v>4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8"/>
      <c r="AA14" s="52">
        <f t="shared" si="2"/>
        <v>0</v>
      </c>
      <c r="AB14" s="68"/>
      <c r="AC14" s="68"/>
      <c r="AD14" s="68"/>
      <c r="AE14" s="68"/>
      <c r="AF14" s="68"/>
      <c r="AG14" s="70"/>
      <c r="AH14" s="55">
        <f t="shared" si="3"/>
        <v>0</v>
      </c>
      <c r="AI14" s="70"/>
      <c r="AJ14" s="70"/>
      <c r="AK14" s="70"/>
      <c r="AL14" s="70"/>
      <c r="AM14" s="70"/>
      <c r="AN14" s="72"/>
      <c r="AO14" s="54">
        <f t="shared" si="4"/>
        <v>0</v>
      </c>
      <c r="AP14" s="72"/>
      <c r="AQ14" s="72"/>
      <c r="AR14" s="72"/>
      <c r="AS14" s="72"/>
      <c r="AT14" s="72"/>
      <c r="AU14" s="74"/>
      <c r="AV14" s="57">
        <f t="shared" si="8"/>
        <v>0</v>
      </c>
      <c r="AW14" s="74"/>
      <c r="AX14" s="74"/>
      <c r="AY14" s="74"/>
      <c r="AZ14" s="74"/>
      <c r="BA14" s="74"/>
      <c r="BB14" s="76"/>
      <c r="BC14" s="56">
        <f t="shared" si="5"/>
        <v>0</v>
      </c>
      <c r="BD14" s="76"/>
      <c r="BE14" s="76"/>
      <c r="BF14" s="76"/>
      <c r="BG14" s="76"/>
      <c r="BH14" s="76"/>
      <c r="BI14" s="78"/>
      <c r="BJ14" s="49">
        <f t="shared" si="6"/>
        <v>0</v>
      </c>
      <c r="BK14" s="78"/>
      <c r="BL14" s="78"/>
      <c r="BM14" s="78"/>
      <c r="BN14" s="78"/>
      <c r="BO14" s="78"/>
      <c r="BP14" s="80"/>
      <c r="BQ14" s="58">
        <f t="shared" si="7"/>
        <v>0</v>
      </c>
      <c r="BR14" s="80"/>
      <c r="BS14" s="80"/>
      <c r="BT14" s="80"/>
      <c r="BU14" s="80"/>
      <c r="BV14" s="80"/>
      <c r="BW14" s="1"/>
    </row>
    <row r="15" spans="2:75" ht="15" customHeight="1" x14ac:dyDescent="0.25">
      <c r="B15" s="153"/>
      <c r="C15" s="158"/>
      <c r="D15" s="87">
        <v>5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8"/>
      <c r="AA15" s="52">
        <f t="shared" si="2"/>
        <v>0</v>
      </c>
      <c r="AB15" s="68"/>
      <c r="AC15" s="68"/>
      <c r="AD15" s="68"/>
      <c r="AE15" s="68"/>
      <c r="AF15" s="68"/>
      <c r="AG15" s="70"/>
      <c r="AH15" s="55">
        <f t="shared" si="3"/>
        <v>0</v>
      </c>
      <c r="AI15" s="70"/>
      <c r="AJ15" s="70"/>
      <c r="AK15" s="70"/>
      <c r="AL15" s="70"/>
      <c r="AM15" s="70"/>
      <c r="AN15" s="72"/>
      <c r="AO15" s="54">
        <f t="shared" si="4"/>
        <v>0</v>
      </c>
      <c r="AP15" s="72"/>
      <c r="AQ15" s="72"/>
      <c r="AR15" s="72"/>
      <c r="AS15" s="72"/>
      <c r="AT15" s="72"/>
      <c r="AU15" s="74"/>
      <c r="AV15" s="57">
        <f t="shared" si="8"/>
        <v>0</v>
      </c>
      <c r="AW15" s="74"/>
      <c r="AX15" s="74"/>
      <c r="AY15" s="74"/>
      <c r="AZ15" s="74"/>
      <c r="BA15" s="74"/>
      <c r="BB15" s="76"/>
      <c r="BC15" s="56">
        <f t="shared" si="5"/>
        <v>0</v>
      </c>
      <c r="BD15" s="76"/>
      <c r="BE15" s="76"/>
      <c r="BF15" s="76"/>
      <c r="BG15" s="76"/>
      <c r="BH15" s="76"/>
      <c r="BI15" s="78"/>
      <c r="BJ15" s="49">
        <f t="shared" si="6"/>
        <v>0</v>
      </c>
      <c r="BK15" s="78"/>
      <c r="BL15" s="78"/>
      <c r="BM15" s="78"/>
      <c r="BN15" s="78"/>
      <c r="BO15" s="78"/>
      <c r="BP15" s="80"/>
      <c r="BQ15" s="58">
        <f t="shared" si="7"/>
        <v>0</v>
      </c>
      <c r="BR15" s="80"/>
      <c r="BS15" s="80"/>
      <c r="BT15" s="80"/>
      <c r="BU15" s="80"/>
      <c r="BV15" s="80"/>
      <c r="BW15" s="1"/>
    </row>
    <row r="16" spans="2:75" ht="15" customHeight="1" x14ac:dyDescent="0.25">
      <c r="B16" s="153"/>
      <c r="C16" s="158"/>
      <c r="D16" s="87">
        <v>6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8"/>
      <c r="AA16" s="52">
        <f t="shared" si="2"/>
        <v>0</v>
      </c>
      <c r="AB16" s="68"/>
      <c r="AC16" s="68"/>
      <c r="AD16" s="68"/>
      <c r="AE16" s="68"/>
      <c r="AF16" s="68"/>
      <c r="AG16" s="70"/>
      <c r="AH16" s="55">
        <f t="shared" si="3"/>
        <v>0</v>
      </c>
      <c r="AI16" s="70"/>
      <c r="AJ16" s="70"/>
      <c r="AK16" s="70"/>
      <c r="AL16" s="70"/>
      <c r="AM16" s="70"/>
      <c r="AN16" s="72"/>
      <c r="AO16" s="54">
        <f t="shared" si="4"/>
        <v>0</v>
      </c>
      <c r="AP16" s="72"/>
      <c r="AQ16" s="72"/>
      <c r="AR16" s="72"/>
      <c r="AS16" s="72"/>
      <c r="AT16" s="72"/>
      <c r="AU16" s="74"/>
      <c r="AV16" s="57">
        <f t="shared" si="8"/>
        <v>0</v>
      </c>
      <c r="AW16" s="74"/>
      <c r="AX16" s="74"/>
      <c r="AY16" s="74"/>
      <c r="AZ16" s="74"/>
      <c r="BA16" s="74"/>
      <c r="BB16" s="76"/>
      <c r="BC16" s="56">
        <f t="shared" si="5"/>
        <v>0</v>
      </c>
      <c r="BD16" s="76"/>
      <c r="BE16" s="76"/>
      <c r="BF16" s="76"/>
      <c r="BG16" s="76"/>
      <c r="BH16" s="76"/>
      <c r="BI16" s="78"/>
      <c r="BJ16" s="49">
        <f t="shared" si="6"/>
        <v>0</v>
      </c>
      <c r="BK16" s="78"/>
      <c r="BL16" s="78"/>
      <c r="BM16" s="78"/>
      <c r="BN16" s="78"/>
      <c r="BO16" s="78"/>
      <c r="BP16" s="80"/>
      <c r="BQ16" s="58">
        <f t="shared" si="7"/>
        <v>0</v>
      </c>
      <c r="BR16" s="80"/>
      <c r="BS16" s="80"/>
      <c r="BT16" s="80"/>
      <c r="BU16" s="80"/>
      <c r="BV16" s="80"/>
      <c r="BW16" s="1"/>
    </row>
    <row r="17" spans="2:75" ht="15" customHeight="1" x14ac:dyDescent="0.25">
      <c r="B17" s="153"/>
      <c r="C17" s="158"/>
      <c r="D17" s="87">
        <v>7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8"/>
      <c r="AA17" s="52">
        <f t="shared" si="2"/>
        <v>0</v>
      </c>
      <c r="AB17" s="68"/>
      <c r="AC17" s="68"/>
      <c r="AD17" s="68"/>
      <c r="AE17" s="68"/>
      <c r="AF17" s="68"/>
      <c r="AG17" s="70"/>
      <c r="AH17" s="55">
        <f t="shared" si="3"/>
        <v>0</v>
      </c>
      <c r="AI17" s="70"/>
      <c r="AJ17" s="70"/>
      <c r="AK17" s="70"/>
      <c r="AL17" s="70"/>
      <c r="AM17" s="70"/>
      <c r="AN17" s="72"/>
      <c r="AO17" s="54">
        <f t="shared" si="4"/>
        <v>0</v>
      </c>
      <c r="AP17" s="72"/>
      <c r="AQ17" s="72"/>
      <c r="AR17" s="72"/>
      <c r="AS17" s="72"/>
      <c r="AT17" s="72"/>
      <c r="AU17" s="74"/>
      <c r="AV17" s="57">
        <f t="shared" si="8"/>
        <v>0</v>
      </c>
      <c r="AW17" s="74"/>
      <c r="AX17" s="74"/>
      <c r="AY17" s="74"/>
      <c r="AZ17" s="74"/>
      <c r="BA17" s="74"/>
      <c r="BB17" s="76"/>
      <c r="BC17" s="56">
        <f t="shared" si="5"/>
        <v>0</v>
      </c>
      <c r="BD17" s="76"/>
      <c r="BE17" s="76"/>
      <c r="BF17" s="76"/>
      <c r="BG17" s="76"/>
      <c r="BH17" s="76"/>
      <c r="BI17" s="78"/>
      <c r="BJ17" s="49">
        <f t="shared" si="6"/>
        <v>0</v>
      </c>
      <c r="BK17" s="78"/>
      <c r="BL17" s="78"/>
      <c r="BM17" s="78"/>
      <c r="BN17" s="78"/>
      <c r="BO17" s="78"/>
      <c r="BP17" s="80"/>
      <c r="BQ17" s="58">
        <f t="shared" si="7"/>
        <v>0</v>
      </c>
      <c r="BR17" s="80"/>
      <c r="BS17" s="80"/>
      <c r="BT17" s="80"/>
      <c r="BU17" s="80"/>
      <c r="BV17" s="80"/>
      <c r="BW17" s="1"/>
    </row>
    <row r="18" spans="2:75" ht="15" customHeight="1" x14ac:dyDescent="0.25">
      <c r="B18" s="153"/>
      <c r="C18" s="158"/>
      <c r="D18" s="87">
        <v>8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8"/>
      <c r="AA18" s="52">
        <f t="shared" si="2"/>
        <v>0</v>
      </c>
      <c r="AB18" s="68"/>
      <c r="AC18" s="68"/>
      <c r="AD18" s="68"/>
      <c r="AE18" s="68"/>
      <c r="AF18" s="68"/>
      <c r="AG18" s="70"/>
      <c r="AH18" s="55">
        <f t="shared" si="3"/>
        <v>0</v>
      </c>
      <c r="AI18" s="70"/>
      <c r="AJ18" s="70"/>
      <c r="AK18" s="70"/>
      <c r="AL18" s="70"/>
      <c r="AM18" s="70"/>
      <c r="AN18" s="72"/>
      <c r="AO18" s="54">
        <f t="shared" si="4"/>
        <v>0</v>
      </c>
      <c r="AP18" s="72"/>
      <c r="AQ18" s="72"/>
      <c r="AR18" s="72"/>
      <c r="AS18" s="72"/>
      <c r="AT18" s="72"/>
      <c r="AU18" s="74"/>
      <c r="AV18" s="57">
        <f t="shared" si="8"/>
        <v>0</v>
      </c>
      <c r="AW18" s="74"/>
      <c r="AX18" s="74"/>
      <c r="AY18" s="74"/>
      <c r="AZ18" s="74"/>
      <c r="BA18" s="74"/>
      <c r="BB18" s="76"/>
      <c r="BC18" s="56">
        <f t="shared" si="5"/>
        <v>0</v>
      </c>
      <c r="BD18" s="76"/>
      <c r="BE18" s="76"/>
      <c r="BF18" s="76"/>
      <c r="BG18" s="76"/>
      <c r="BH18" s="76"/>
      <c r="BI18" s="78"/>
      <c r="BJ18" s="49">
        <f t="shared" si="6"/>
        <v>0</v>
      </c>
      <c r="BK18" s="78"/>
      <c r="BL18" s="78"/>
      <c r="BM18" s="78"/>
      <c r="BN18" s="78"/>
      <c r="BO18" s="78"/>
      <c r="BP18" s="80"/>
      <c r="BQ18" s="58">
        <f t="shared" si="7"/>
        <v>0</v>
      </c>
      <c r="BR18" s="80"/>
      <c r="BS18" s="80"/>
      <c r="BT18" s="80"/>
      <c r="BU18" s="80"/>
      <c r="BV18" s="80"/>
      <c r="BW18" s="1"/>
    </row>
    <row r="19" spans="2:75" ht="15" customHeight="1" x14ac:dyDescent="0.25">
      <c r="B19" s="153"/>
      <c r="C19" s="158"/>
      <c r="D19" s="87">
        <v>9</v>
      </c>
      <c r="E19" s="61"/>
      <c r="F19" s="50"/>
      <c r="G19" s="61"/>
      <c r="H19" s="61"/>
      <c r="I19" s="61"/>
      <c r="J19" s="61"/>
      <c r="K19" s="61"/>
      <c r="L19" s="64"/>
      <c r="M19" s="51"/>
      <c r="N19" s="64"/>
      <c r="O19" s="64"/>
      <c r="P19" s="64"/>
      <c r="Q19" s="64"/>
      <c r="R19" s="64"/>
      <c r="S19" s="66"/>
      <c r="T19" s="53"/>
      <c r="U19" s="66"/>
      <c r="V19" s="66"/>
      <c r="W19" s="66"/>
      <c r="X19" s="66"/>
      <c r="Y19" s="66"/>
      <c r="Z19" s="68"/>
      <c r="AA19" s="52"/>
      <c r="AB19" s="68"/>
      <c r="AC19" s="68"/>
      <c r="AD19" s="68"/>
      <c r="AE19" s="68"/>
      <c r="AF19" s="68"/>
      <c r="AG19" s="70"/>
      <c r="AH19" s="55"/>
      <c r="AI19" s="70"/>
      <c r="AJ19" s="70"/>
      <c r="AK19" s="70"/>
      <c r="AL19" s="70"/>
      <c r="AM19" s="70"/>
      <c r="AN19" s="72"/>
      <c r="AO19" s="54"/>
      <c r="AP19" s="72"/>
      <c r="AQ19" s="72"/>
      <c r="AR19" s="72"/>
      <c r="AS19" s="72"/>
      <c r="AT19" s="72"/>
      <c r="AU19" s="74"/>
      <c r="AV19" s="57"/>
      <c r="AW19" s="74"/>
      <c r="AX19" s="74"/>
      <c r="AY19" s="74"/>
      <c r="AZ19" s="74"/>
      <c r="BA19" s="74"/>
      <c r="BB19" s="76"/>
      <c r="BC19" s="56"/>
      <c r="BD19" s="76"/>
      <c r="BE19" s="76"/>
      <c r="BF19" s="76"/>
      <c r="BG19" s="76"/>
      <c r="BH19" s="76"/>
      <c r="BI19" s="78"/>
      <c r="BJ19" s="49"/>
      <c r="BK19" s="78"/>
      <c r="BL19" s="78"/>
      <c r="BM19" s="78"/>
      <c r="BN19" s="78"/>
      <c r="BO19" s="78"/>
      <c r="BP19" s="80"/>
      <c r="BQ19" s="58"/>
      <c r="BR19" s="80"/>
      <c r="BS19" s="80"/>
      <c r="BT19" s="80"/>
      <c r="BU19" s="80"/>
      <c r="BV19" s="80"/>
      <c r="BW19" s="1"/>
    </row>
    <row r="20" spans="2:75" ht="15" customHeight="1" x14ac:dyDescent="0.25">
      <c r="B20" s="153"/>
      <c r="C20" s="158"/>
      <c r="D20" s="87" t="s">
        <v>705</v>
      </c>
      <c r="E20" s="61"/>
      <c r="F20" s="50">
        <f t="shared" si="9"/>
        <v>0</v>
      </c>
      <c r="G20" s="61"/>
      <c r="H20" s="61"/>
      <c r="I20" s="61"/>
      <c r="J20" s="61"/>
      <c r="K20" s="61"/>
      <c r="L20" s="64"/>
      <c r="M20" s="51">
        <f t="shared" si="0"/>
        <v>0</v>
      </c>
      <c r="N20" s="64"/>
      <c r="O20" s="64"/>
      <c r="P20" s="64"/>
      <c r="Q20" s="64"/>
      <c r="R20" s="64"/>
      <c r="S20" s="66"/>
      <c r="T20" s="53">
        <f t="shared" si="1"/>
        <v>0</v>
      </c>
      <c r="U20" s="66"/>
      <c r="V20" s="66"/>
      <c r="W20" s="66"/>
      <c r="X20" s="66"/>
      <c r="Y20" s="66"/>
      <c r="Z20" s="68"/>
      <c r="AA20" s="52">
        <f t="shared" si="2"/>
        <v>0</v>
      </c>
      <c r="AB20" s="68"/>
      <c r="AC20" s="68"/>
      <c r="AD20" s="68"/>
      <c r="AE20" s="68"/>
      <c r="AF20" s="68"/>
      <c r="AG20" s="70"/>
      <c r="AH20" s="55">
        <f t="shared" si="3"/>
        <v>0</v>
      </c>
      <c r="AI20" s="70"/>
      <c r="AJ20" s="70"/>
      <c r="AK20" s="70"/>
      <c r="AL20" s="70"/>
      <c r="AM20" s="70"/>
      <c r="AN20" s="72"/>
      <c r="AO20" s="54">
        <f t="shared" si="4"/>
        <v>0</v>
      </c>
      <c r="AP20" s="72"/>
      <c r="AQ20" s="72"/>
      <c r="AR20" s="72"/>
      <c r="AS20" s="72"/>
      <c r="AT20" s="72"/>
      <c r="AU20" s="74"/>
      <c r="AV20" s="57">
        <f t="shared" si="8"/>
        <v>0</v>
      </c>
      <c r="AW20" s="74"/>
      <c r="AX20" s="74"/>
      <c r="AY20" s="74"/>
      <c r="AZ20" s="74"/>
      <c r="BA20" s="74"/>
      <c r="BB20" s="76"/>
      <c r="BC20" s="56">
        <f t="shared" si="5"/>
        <v>0</v>
      </c>
      <c r="BD20" s="76"/>
      <c r="BE20" s="76"/>
      <c r="BF20" s="76"/>
      <c r="BG20" s="76"/>
      <c r="BH20" s="76"/>
      <c r="BI20" s="78"/>
      <c r="BJ20" s="49">
        <f t="shared" si="6"/>
        <v>0</v>
      </c>
      <c r="BK20" s="78"/>
      <c r="BL20" s="78"/>
      <c r="BM20" s="78"/>
      <c r="BN20" s="78"/>
      <c r="BO20" s="78"/>
      <c r="BP20" s="80"/>
      <c r="BQ20" s="58">
        <f t="shared" si="7"/>
        <v>0</v>
      </c>
      <c r="BR20" s="80"/>
      <c r="BS20" s="80"/>
      <c r="BT20" s="80"/>
      <c r="BU20" s="80"/>
      <c r="BV20" s="80"/>
      <c r="BW20" s="1"/>
    </row>
    <row r="21" spans="2:75" ht="15" customHeight="1" x14ac:dyDescent="0.25">
      <c r="B21" s="153"/>
      <c r="C21" s="159" t="s">
        <v>15</v>
      </c>
      <c r="D21" s="87">
        <v>1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8"/>
      <c r="AA21" s="52">
        <f t="shared" si="2"/>
        <v>0</v>
      </c>
      <c r="AB21" s="68"/>
      <c r="AC21" s="68"/>
      <c r="AD21" s="68"/>
      <c r="AE21" s="68"/>
      <c r="AF21" s="68"/>
      <c r="AG21" s="70"/>
      <c r="AH21" s="55">
        <f t="shared" si="3"/>
        <v>0</v>
      </c>
      <c r="AI21" s="70"/>
      <c r="AJ21" s="70"/>
      <c r="AK21" s="70"/>
      <c r="AL21" s="70"/>
      <c r="AM21" s="70"/>
      <c r="AN21" s="72"/>
      <c r="AO21" s="54">
        <f t="shared" si="4"/>
        <v>0</v>
      </c>
      <c r="AP21" s="72"/>
      <c r="AQ21" s="72"/>
      <c r="AR21" s="72"/>
      <c r="AS21" s="72"/>
      <c r="AT21" s="72"/>
      <c r="AU21" s="74"/>
      <c r="AV21" s="57">
        <f t="shared" si="8"/>
        <v>0</v>
      </c>
      <c r="AW21" s="74"/>
      <c r="AX21" s="74"/>
      <c r="AY21" s="74"/>
      <c r="AZ21" s="74"/>
      <c r="BA21" s="74"/>
      <c r="BB21" s="76"/>
      <c r="BC21" s="56">
        <f t="shared" si="5"/>
        <v>0</v>
      </c>
      <c r="BD21" s="76"/>
      <c r="BE21" s="76"/>
      <c r="BF21" s="76"/>
      <c r="BG21" s="76"/>
      <c r="BH21" s="76"/>
      <c r="BI21" s="78"/>
      <c r="BJ21" s="49">
        <f t="shared" si="6"/>
        <v>0</v>
      </c>
      <c r="BK21" s="78"/>
      <c r="BL21" s="78"/>
      <c r="BM21" s="78"/>
      <c r="BN21" s="78"/>
      <c r="BO21" s="78"/>
      <c r="BP21" s="80"/>
      <c r="BQ21" s="58">
        <f t="shared" si="7"/>
        <v>0</v>
      </c>
      <c r="BR21" s="80"/>
      <c r="BS21" s="80"/>
      <c r="BT21" s="80"/>
      <c r="BU21" s="80"/>
      <c r="BV21" s="80"/>
      <c r="BW21" s="1"/>
    </row>
    <row r="22" spans="2:75" ht="15" customHeight="1" x14ac:dyDescent="0.25">
      <c r="B22" s="153"/>
      <c r="C22" s="160"/>
      <c r="D22" s="87">
        <v>2</v>
      </c>
      <c r="E22" s="61"/>
      <c r="F22" s="50"/>
      <c r="G22" s="61"/>
      <c r="H22" s="61"/>
      <c r="I22" s="61"/>
      <c r="J22" s="61"/>
      <c r="K22" s="61"/>
      <c r="L22" s="64"/>
      <c r="M22" s="51"/>
      <c r="N22" s="64"/>
      <c r="O22" s="64"/>
      <c r="P22" s="64"/>
      <c r="Q22" s="64"/>
      <c r="R22" s="64"/>
      <c r="S22" s="66"/>
      <c r="T22" s="53"/>
      <c r="U22" s="66"/>
      <c r="V22" s="66"/>
      <c r="W22" s="66"/>
      <c r="X22" s="66"/>
      <c r="Y22" s="66"/>
      <c r="Z22" s="68"/>
      <c r="AA22" s="52"/>
      <c r="AB22" s="68"/>
      <c r="AC22" s="68"/>
      <c r="AD22" s="68"/>
      <c r="AE22" s="68"/>
      <c r="AF22" s="68"/>
      <c r="AG22" s="70"/>
      <c r="AH22" s="55"/>
      <c r="AI22" s="70"/>
      <c r="AJ22" s="70"/>
      <c r="AK22" s="70"/>
      <c r="AL22" s="70"/>
      <c r="AM22" s="70"/>
      <c r="AN22" s="72"/>
      <c r="AO22" s="54"/>
      <c r="AP22" s="72"/>
      <c r="AQ22" s="72"/>
      <c r="AR22" s="72"/>
      <c r="AS22" s="72"/>
      <c r="AT22" s="72"/>
      <c r="AU22" s="74"/>
      <c r="AV22" s="57"/>
      <c r="AW22" s="74"/>
      <c r="AX22" s="74"/>
      <c r="AY22" s="74"/>
      <c r="AZ22" s="74"/>
      <c r="BA22" s="74"/>
      <c r="BB22" s="76"/>
      <c r="BC22" s="56"/>
      <c r="BD22" s="76"/>
      <c r="BE22" s="76"/>
      <c r="BF22" s="76"/>
      <c r="BG22" s="76"/>
      <c r="BH22" s="76"/>
      <c r="BI22" s="78"/>
      <c r="BJ22" s="49"/>
      <c r="BK22" s="78"/>
      <c r="BL22" s="78"/>
      <c r="BM22" s="78"/>
      <c r="BN22" s="78"/>
      <c r="BO22" s="78"/>
      <c r="BP22" s="80"/>
      <c r="BQ22" s="58"/>
      <c r="BR22" s="80"/>
      <c r="BS22" s="80"/>
      <c r="BT22" s="80"/>
      <c r="BU22" s="80"/>
      <c r="BV22" s="80"/>
      <c r="BW22" s="1"/>
    </row>
    <row r="23" spans="2:75" ht="15" customHeight="1" x14ac:dyDescent="0.25">
      <c r="B23" s="153"/>
      <c r="C23" s="160"/>
      <c r="D23" s="87">
        <v>3</v>
      </c>
      <c r="E23" s="61"/>
      <c r="F23" s="50"/>
      <c r="G23" s="61"/>
      <c r="H23" s="61"/>
      <c r="I23" s="61"/>
      <c r="J23" s="61"/>
      <c r="K23" s="61"/>
      <c r="L23" s="64"/>
      <c r="M23" s="51"/>
      <c r="N23" s="64"/>
      <c r="O23" s="64"/>
      <c r="P23" s="64"/>
      <c r="Q23" s="64"/>
      <c r="R23" s="64"/>
      <c r="S23" s="66"/>
      <c r="T23" s="53"/>
      <c r="U23" s="66"/>
      <c r="V23" s="66"/>
      <c r="W23" s="66"/>
      <c r="X23" s="66"/>
      <c r="Y23" s="66"/>
      <c r="Z23" s="68"/>
      <c r="AA23" s="52"/>
      <c r="AB23" s="68"/>
      <c r="AC23" s="68"/>
      <c r="AD23" s="68"/>
      <c r="AE23" s="68"/>
      <c r="AF23" s="68"/>
      <c r="AG23" s="70"/>
      <c r="AH23" s="55"/>
      <c r="AI23" s="70"/>
      <c r="AJ23" s="70"/>
      <c r="AK23" s="70"/>
      <c r="AL23" s="70"/>
      <c r="AM23" s="70"/>
      <c r="AN23" s="72"/>
      <c r="AO23" s="54"/>
      <c r="AP23" s="72"/>
      <c r="AQ23" s="72"/>
      <c r="AR23" s="72"/>
      <c r="AS23" s="72"/>
      <c r="AT23" s="72"/>
      <c r="AU23" s="74"/>
      <c r="AV23" s="57"/>
      <c r="AW23" s="74"/>
      <c r="AX23" s="74"/>
      <c r="AY23" s="74"/>
      <c r="AZ23" s="74"/>
      <c r="BA23" s="74"/>
      <c r="BB23" s="76"/>
      <c r="BC23" s="56"/>
      <c r="BD23" s="76"/>
      <c r="BE23" s="76"/>
      <c r="BF23" s="76"/>
      <c r="BG23" s="76"/>
      <c r="BH23" s="76"/>
      <c r="BI23" s="78"/>
      <c r="BJ23" s="49"/>
      <c r="BK23" s="78"/>
      <c r="BL23" s="78"/>
      <c r="BM23" s="78"/>
      <c r="BN23" s="78"/>
      <c r="BO23" s="78"/>
      <c r="BP23" s="80"/>
      <c r="BQ23" s="58"/>
      <c r="BR23" s="80"/>
      <c r="BS23" s="80"/>
      <c r="BT23" s="80"/>
      <c r="BU23" s="80"/>
      <c r="BV23" s="80"/>
      <c r="BW23" s="1"/>
    </row>
    <row r="24" spans="2:75" ht="15" customHeight="1" x14ac:dyDescent="0.25">
      <c r="B24" s="153"/>
      <c r="C24" s="161"/>
      <c r="D24" s="87" t="s">
        <v>705</v>
      </c>
      <c r="E24" s="61"/>
      <c r="F24" s="50">
        <f t="shared" si="9"/>
        <v>0</v>
      </c>
      <c r="G24" s="61"/>
      <c r="H24" s="61"/>
      <c r="I24" s="61"/>
      <c r="J24" s="61"/>
      <c r="K24" s="61"/>
      <c r="L24" s="64"/>
      <c r="M24" s="51">
        <f t="shared" si="0"/>
        <v>0</v>
      </c>
      <c r="N24" s="64"/>
      <c r="O24" s="64"/>
      <c r="P24" s="64"/>
      <c r="Q24" s="64"/>
      <c r="R24" s="64"/>
      <c r="S24" s="66"/>
      <c r="T24" s="53">
        <f t="shared" si="1"/>
        <v>0</v>
      </c>
      <c r="U24" s="66"/>
      <c r="V24" s="66"/>
      <c r="W24" s="66"/>
      <c r="X24" s="66"/>
      <c r="Y24" s="66"/>
      <c r="Z24" s="68"/>
      <c r="AA24" s="52">
        <f t="shared" si="2"/>
        <v>0</v>
      </c>
      <c r="AB24" s="68"/>
      <c r="AC24" s="68"/>
      <c r="AD24" s="68"/>
      <c r="AE24" s="68"/>
      <c r="AF24" s="68"/>
      <c r="AG24" s="70"/>
      <c r="AH24" s="55">
        <f t="shared" si="3"/>
        <v>0</v>
      </c>
      <c r="AI24" s="70"/>
      <c r="AJ24" s="70"/>
      <c r="AK24" s="70"/>
      <c r="AL24" s="70"/>
      <c r="AM24" s="70"/>
      <c r="AN24" s="72"/>
      <c r="AO24" s="54">
        <f t="shared" si="4"/>
        <v>0</v>
      </c>
      <c r="AP24" s="72"/>
      <c r="AQ24" s="72"/>
      <c r="AR24" s="72"/>
      <c r="AS24" s="72"/>
      <c r="AT24" s="72"/>
      <c r="AU24" s="74"/>
      <c r="AV24" s="57">
        <f t="shared" si="8"/>
        <v>0</v>
      </c>
      <c r="AW24" s="74"/>
      <c r="AX24" s="74"/>
      <c r="AY24" s="74"/>
      <c r="AZ24" s="74"/>
      <c r="BA24" s="74"/>
      <c r="BB24" s="76"/>
      <c r="BC24" s="56">
        <f t="shared" si="5"/>
        <v>0</v>
      </c>
      <c r="BD24" s="76"/>
      <c r="BE24" s="76"/>
      <c r="BF24" s="76"/>
      <c r="BG24" s="76"/>
      <c r="BH24" s="76"/>
      <c r="BI24" s="78"/>
      <c r="BJ24" s="49">
        <f t="shared" si="6"/>
        <v>0</v>
      </c>
      <c r="BK24" s="78"/>
      <c r="BL24" s="78"/>
      <c r="BM24" s="78"/>
      <c r="BN24" s="78"/>
      <c r="BO24" s="78"/>
      <c r="BP24" s="80"/>
      <c r="BQ24" s="58">
        <f t="shared" si="7"/>
        <v>0</v>
      </c>
      <c r="BR24" s="80"/>
      <c r="BS24" s="80"/>
      <c r="BT24" s="80"/>
      <c r="BU24" s="80"/>
      <c r="BV24" s="80"/>
      <c r="BW24" s="1"/>
    </row>
    <row r="25" spans="2:75" ht="15" customHeight="1" x14ac:dyDescent="0.25">
      <c r="B25" s="153"/>
      <c r="C25" s="159" t="s">
        <v>685</v>
      </c>
      <c r="D25" s="87">
        <v>1</v>
      </c>
      <c r="E25" s="61"/>
      <c r="F25" s="50">
        <f t="shared" si="9"/>
        <v>0</v>
      </c>
      <c r="G25" s="61"/>
      <c r="H25" s="61"/>
      <c r="I25" s="61"/>
      <c r="J25" s="61"/>
      <c r="K25" s="61"/>
      <c r="L25" s="64"/>
      <c r="M25" s="51">
        <f t="shared" si="0"/>
        <v>0</v>
      </c>
      <c r="N25" s="64"/>
      <c r="O25" s="64"/>
      <c r="P25" s="64"/>
      <c r="Q25" s="64"/>
      <c r="R25" s="64"/>
      <c r="S25" s="66"/>
      <c r="T25" s="53">
        <f t="shared" si="1"/>
        <v>0</v>
      </c>
      <c r="U25" s="66"/>
      <c r="V25" s="66"/>
      <c r="W25" s="66"/>
      <c r="X25" s="66"/>
      <c r="Y25" s="66"/>
      <c r="Z25" s="68"/>
      <c r="AA25" s="52">
        <f t="shared" si="2"/>
        <v>0</v>
      </c>
      <c r="AB25" s="68"/>
      <c r="AC25" s="68"/>
      <c r="AD25" s="68"/>
      <c r="AE25" s="68"/>
      <c r="AF25" s="68"/>
      <c r="AG25" s="70"/>
      <c r="AH25" s="55">
        <f t="shared" si="3"/>
        <v>0</v>
      </c>
      <c r="AI25" s="70"/>
      <c r="AJ25" s="70"/>
      <c r="AK25" s="70"/>
      <c r="AL25" s="70"/>
      <c r="AM25" s="70"/>
      <c r="AN25" s="72"/>
      <c r="AO25" s="54">
        <f t="shared" si="4"/>
        <v>0</v>
      </c>
      <c r="AP25" s="72"/>
      <c r="AQ25" s="72"/>
      <c r="AR25" s="72"/>
      <c r="AS25" s="72"/>
      <c r="AT25" s="72"/>
      <c r="AU25" s="74"/>
      <c r="AV25" s="57">
        <f t="shared" si="8"/>
        <v>0</v>
      </c>
      <c r="AW25" s="74"/>
      <c r="AX25" s="74"/>
      <c r="AY25" s="74"/>
      <c r="AZ25" s="74"/>
      <c r="BA25" s="74"/>
      <c r="BB25" s="76"/>
      <c r="BC25" s="56">
        <f t="shared" si="5"/>
        <v>0</v>
      </c>
      <c r="BD25" s="76"/>
      <c r="BE25" s="76"/>
      <c r="BF25" s="76"/>
      <c r="BG25" s="76"/>
      <c r="BH25" s="76"/>
      <c r="BI25" s="78"/>
      <c r="BJ25" s="49">
        <f t="shared" si="6"/>
        <v>0</v>
      </c>
      <c r="BK25" s="78"/>
      <c r="BL25" s="78"/>
      <c r="BM25" s="78"/>
      <c r="BN25" s="78"/>
      <c r="BO25" s="78"/>
      <c r="BP25" s="80"/>
      <c r="BQ25" s="58">
        <f t="shared" si="7"/>
        <v>0</v>
      </c>
      <c r="BR25" s="80"/>
      <c r="BS25" s="80"/>
      <c r="BT25" s="80"/>
      <c r="BU25" s="80"/>
      <c r="BV25" s="80"/>
      <c r="BW25" s="1"/>
    </row>
    <row r="26" spans="2:75" ht="15" customHeight="1" x14ac:dyDescent="0.25">
      <c r="B26" s="153"/>
      <c r="C26" s="160"/>
      <c r="D26" s="87">
        <v>2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8"/>
      <c r="AA26" s="52">
        <f t="shared" si="2"/>
        <v>0</v>
      </c>
      <c r="AB26" s="68"/>
      <c r="AC26" s="68"/>
      <c r="AD26" s="68"/>
      <c r="AE26" s="68"/>
      <c r="AF26" s="68"/>
      <c r="AG26" s="70"/>
      <c r="AH26" s="55">
        <f t="shared" si="3"/>
        <v>0</v>
      </c>
      <c r="AI26" s="70"/>
      <c r="AJ26" s="70"/>
      <c r="AK26" s="70"/>
      <c r="AL26" s="70"/>
      <c r="AM26" s="70"/>
      <c r="AN26" s="72"/>
      <c r="AO26" s="54">
        <f t="shared" si="4"/>
        <v>0</v>
      </c>
      <c r="AP26" s="72"/>
      <c r="AQ26" s="72"/>
      <c r="AR26" s="72"/>
      <c r="AS26" s="72"/>
      <c r="AT26" s="72"/>
      <c r="AU26" s="74"/>
      <c r="AV26" s="57">
        <f t="shared" si="8"/>
        <v>0</v>
      </c>
      <c r="AW26" s="74"/>
      <c r="AX26" s="74"/>
      <c r="AY26" s="74"/>
      <c r="AZ26" s="74"/>
      <c r="BA26" s="74"/>
      <c r="BB26" s="76"/>
      <c r="BC26" s="56">
        <f t="shared" si="5"/>
        <v>0</v>
      </c>
      <c r="BD26" s="76"/>
      <c r="BE26" s="76"/>
      <c r="BF26" s="76"/>
      <c r="BG26" s="76"/>
      <c r="BH26" s="76"/>
      <c r="BI26" s="78"/>
      <c r="BJ26" s="49">
        <f t="shared" si="6"/>
        <v>0</v>
      </c>
      <c r="BK26" s="78"/>
      <c r="BL26" s="78"/>
      <c r="BM26" s="78"/>
      <c r="BN26" s="78"/>
      <c r="BO26" s="78"/>
      <c r="BP26" s="80"/>
      <c r="BQ26" s="58">
        <f t="shared" si="7"/>
        <v>0</v>
      </c>
      <c r="BR26" s="80"/>
      <c r="BS26" s="80"/>
      <c r="BT26" s="80"/>
      <c r="BU26" s="80"/>
      <c r="BV26" s="80"/>
      <c r="BW26" s="1"/>
    </row>
    <row r="27" spans="2:75" ht="15" customHeight="1" x14ac:dyDescent="0.25">
      <c r="B27" s="153"/>
      <c r="C27" s="160"/>
      <c r="D27" s="87">
        <v>3</v>
      </c>
      <c r="E27" s="61"/>
      <c r="F27" s="50"/>
      <c r="G27" s="61"/>
      <c r="H27" s="61"/>
      <c r="I27" s="61"/>
      <c r="J27" s="61"/>
      <c r="K27" s="61"/>
      <c r="L27" s="64"/>
      <c r="M27" s="51"/>
      <c r="N27" s="64"/>
      <c r="O27" s="64"/>
      <c r="P27" s="64"/>
      <c r="Q27" s="64"/>
      <c r="R27" s="64"/>
      <c r="S27" s="66"/>
      <c r="T27" s="53"/>
      <c r="U27" s="66"/>
      <c r="V27" s="66"/>
      <c r="W27" s="66"/>
      <c r="X27" s="66"/>
      <c r="Y27" s="66"/>
      <c r="Z27" s="68"/>
      <c r="AA27" s="52"/>
      <c r="AB27" s="68"/>
      <c r="AC27" s="68"/>
      <c r="AD27" s="68"/>
      <c r="AE27" s="68"/>
      <c r="AF27" s="68"/>
      <c r="AG27" s="70"/>
      <c r="AH27" s="55"/>
      <c r="AI27" s="70"/>
      <c r="AJ27" s="70"/>
      <c r="AK27" s="70"/>
      <c r="AL27" s="70"/>
      <c r="AM27" s="70"/>
      <c r="AN27" s="72"/>
      <c r="AO27" s="54"/>
      <c r="AP27" s="72"/>
      <c r="AQ27" s="72"/>
      <c r="AR27" s="72"/>
      <c r="AS27" s="72"/>
      <c r="AT27" s="72"/>
      <c r="AU27" s="74"/>
      <c r="AV27" s="57"/>
      <c r="AW27" s="74"/>
      <c r="AX27" s="74"/>
      <c r="AY27" s="74"/>
      <c r="AZ27" s="74"/>
      <c r="BA27" s="74"/>
      <c r="BB27" s="76"/>
      <c r="BC27" s="56"/>
      <c r="BD27" s="76"/>
      <c r="BE27" s="76"/>
      <c r="BF27" s="76"/>
      <c r="BG27" s="76"/>
      <c r="BH27" s="76"/>
      <c r="BI27" s="78"/>
      <c r="BJ27" s="49"/>
      <c r="BK27" s="78"/>
      <c r="BL27" s="78"/>
      <c r="BM27" s="78"/>
      <c r="BN27" s="78"/>
      <c r="BO27" s="78"/>
      <c r="BP27" s="80"/>
      <c r="BQ27" s="58"/>
      <c r="BR27" s="80"/>
      <c r="BS27" s="80"/>
      <c r="BT27" s="80"/>
      <c r="BU27" s="80"/>
      <c r="BV27" s="80"/>
      <c r="BW27" s="1"/>
    </row>
    <row r="28" spans="2:75" ht="15" customHeight="1" x14ac:dyDescent="0.25">
      <c r="B28" s="153"/>
      <c r="C28" s="161"/>
      <c r="D28" s="87" t="s">
        <v>705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8"/>
      <c r="AA28" s="52">
        <f t="shared" si="2"/>
        <v>0</v>
      </c>
      <c r="AB28" s="68"/>
      <c r="AC28" s="68"/>
      <c r="AD28" s="68"/>
      <c r="AE28" s="68"/>
      <c r="AF28" s="68"/>
      <c r="AG28" s="70"/>
      <c r="AH28" s="55">
        <f t="shared" si="3"/>
        <v>0</v>
      </c>
      <c r="AI28" s="70"/>
      <c r="AJ28" s="70"/>
      <c r="AK28" s="70"/>
      <c r="AL28" s="70"/>
      <c r="AM28" s="70"/>
      <c r="AN28" s="72"/>
      <c r="AO28" s="54">
        <f t="shared" si="4"/>
        <v>0</v>
      </c>
      <c r="AP28" s="72"/>
      <c r="AQ28" s="72"/>
      <c r="AR28" s="72"/>
      <c r="AS28" s="72"/>
      <c r="AT28" s="72"/>
      <c r="AU28" s="74"/>
      <c r="AV28" s="57">
        <f t="shared" si="8"/>
        <v>0</v>
      </c>
      <c r="AW28" s="74"/>
      <c r="AX28" s="74"/>
      <c r="AY28" s="74"/>
      <c r="AZ28" s="74"/>
      <c r="BA28" s="74"/>
      <c r="BB28" s="76"/>
      <c r="BC28" s="56">
        <f t="shared" si="5"/>
        <v>0</v>
      </c>
      <c r="BD28" s="76"/>
      <c r="BE28" s="76"/>
      <c r="BF28" s="76"/>
      <c r="BG28" s="76"/>
      <c r="BH28" s="76"/>
      <c r="BI28" s="78"/>
      <c r="BJ28" s="49">
        <f t="shared" si="6"/>
        <v>0</v>
      </c>
      <c r="BK28" s="78"/>
      <c r="BL28" s="78"/>
      <c r="BM28" s="78"/>
      <c r="BN28" s="78"/>
      <c r="BO28" s="78"/>
      <c r="BP28" s="80"/>
      <c r="BQ28" s="58">
        <f t="shared" si="7"/>
        <v>0</v>
      </c>
      <c r="BR28" s="80"/>
      <c r="BS28" s="80"/>
      <c r="BT28" s="80"/>
      <c r="BU28" s="80"/>
      <c r="BV28" s="80"/>
      <c r="BW28" s="1"/>
    </row>
    <row r="29" spans="2:75" ht="15" customHeight="1" x14ac:dyDescent="0.25">
      <c r="B29" s="153"/>
      <c r="C29" s="159" t="s">
        <v>686</v>
      </c>
      <c r="D29" s="87">
        <v>1</v>
      </c>
      <c r="E29" s="61"/>
      <c r="F29" s="50">
        <f t="shared" si="9"/>
        <v>0</v>
      </c>
      <c r="G29" s="61"/>
      <c r="H29" s="61"/>
      <c r="I29" s="61"/>
      <c r="J29" s="61"/>
      <c r="K29" s="61"/>
      <c r="L29" s="64"/>
      <c r="M29" s="51">
        <f t="shared" si="0"/>
        <v>0</v>
      </c>
      <c r="N29" s="64"/>
      <c r="O29" s="64"/>
      <c r="P29" s="64"/>
      <c r="Q29" s="64"/>
      <c r="R29" s="64"/>
      <c r="S29" s="66"/>
      <c r="T29" s="53">
        <f t="shared" si="1"/>
        <v>0</v>
      </c>
      <c r="U29" s="66"/>
      <c r="V29" s="66"/>
      <c r="W29" s="66"/>
      <c r="X29" s="66"/>
      <c r="Y29" s="66"/>
      <c r="Z29" s="68"/>
      <c r="AA29" s="52">
        <f t="shared" si="2"/>
        <v>0</v>
      </c>
      <c r="AB29" s="68"/>
      <c r="AC29" s="68"/>
      <c r="AD29" s="68"/>
      <c r="AE29" s="68"/>
      <c r="AF29" s="68"/>
      <c r="AG29" s="70"/>
      <c r="AH29" s="55">
        <f t="shared" si="3"/>
        <v>0</v>
      </c>
      <c r="AI29" s="70"/>
      <c r="AJ29" s="70"/>
      <c r="AK29" s="70"/>
      <c r="AL29" s="70"/>
      <c r="AM29" s="70"/>
      <c r="AN29" s="72"/>
      <c r="AO29" s="54">
        <f t="shared" si="4"/>
        <v>0</v>
      </c>
      <c r="AP29" s="72"/>
      <c r="AQ29" s="72"/>
      <c r="AR29" s="72"/>
      <c r="AS29" s="72"/>
      <c r="AT29" s="72"/>
      <c r="AU29" s="74"/>
      <c r="AV29" s="57">
        <f t="shared" si="8"/>
        <v>0</v>
      </c>
      <c r="AW29" s="74"/>
      <c r="AX29" s="74"/>
      <c r="AY29" s="74"/>
      <c r="AZ29" s="74"/>
      <c r="BA29" s="74"/>
      <c r="BB29" s="76"/>
      <c r="BC29" s="56">
        <f t="shared" si="5"/>
        <v>0</v>
      </c>
      <c r="BD29" s="76"/>
      <c r="BE29" s="76"/>
      <c r="BF29" s="76"/>
      <c r="BG29" s="76"/>
      <c r="BH29" s="76"/>
      <c r="BI29" s="78"/>
      <c r="BJ29" s="49">
        <f t="shared" si="6"/>
        <v>0</v>
      </c>
      <c r="BK29" s="78"/>
      <c r="BL29" s="78"/>
      <c r="BM29" s="78"/>
      <c r="BN29" s="78"/>
      <c r="BO29" s="78"/>
      <c r="BP29" s="80"/>
      <c r="BQ29" s="58">
        <f t="shared" si="7"/>
        <v>0</v>
      </c>
      <c r="BR29" s="80"/>
      <c r="BS29" s="80"/>
      <c r="BT29" s="80"/>
      <c r="BU29" s="80"/>
      <c r="BV29" s="80"/>
      <c r="BW29" s="1"/>
    </row>
    <row r="30" spans="2:75" ht="15" customHeight="1" x14ac:dyDescent="0.25">
      <c r="B30" s="153"/>
      <c r="C30" s="160"/>
      <c r="D30" s="87">
        <v>2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8"/>
      <c r="AA30" s="52">
        <f t="shared" si="2"/>
        <v>0</v>
      </c>
      <c r="AB30" s="68"/>
      <c r="AC30" s="68"/>
      <c r="AD30" s="68"/>
      <c r="AE30" s="68"/>
      <c r="AF30" s="68"/>
      <c r="AG30" s="70"/>
      <c r="AH30" s="55">
        <f t="shared" si="3"/>
        <v>0</v>
      </c>
      <c r="AI30" s="70"/>
      <c r="AJ30" s="70"/>
      <c r="AK30" s="70"/>
      <c r="AL30" s="70"/>
      <c r="AM30" s="70"/>
      <c r="AN30" s="72"/>
      <c r="AO30" s="54">
        <f t="shared" si="4"/>
        <v>0</v>
      </c>
      <c r="AP30" s="72"/>
      <c r="AQ30" s="72"/>
      <c r="AR30" s="72"/>
      <c r="AS30" s="72"/>
      <c r="AT30" s="72"/>
      <c r="AU30" s="74"/>
      <c r="AV30" s="57">
        <f t="shared" si="8"/>
        <v>0</v>
      </c>
      <c r="AW30" s="74"/>
      <c r="AX30" s="74"/>
      <c r="AY30" s="74"/>
      <c r="AZ30" s="74"/>
      <c r="BA30" s="74"/>
      <c r="BB30" s="76"/>
      <c r="BC30" s="56">
        <f t="shared" si="5"/>
        <v>0</v>
      </c>
      <c r="BD30" s="76"/>
      <c r="BE30" s="76"/>
      <c r="BF30" s="76"/>
      <c r="BG30" s="76"/>
      <c r="BH30" s="76"/>
      <c r="BI30" s="78"/>
      <c r="BJ30" s="49">
        <f t="shared" si="6"/>
        <v>0</v>
      </c>
      <c r="BK30" s="78"/>
      <c r="BL30" s="78"/>
      <c r="BM30" s="78"/>
      <c r="BN30" s="78"/>
      <c r="BO30" s="78"/>
      <c r="BP30" s="80"/>
      <c r="BQ30" s="58">
        <f t="shared" si="7"/>
        <v>0</v>
      </c>
      <c r="BR30" s="80"/>
      <c r="BS30" s="80"/>
      <c r="BT30" s="80"/>
      <c r="BU30" s="80"/>
      <c r="BV30" s="80"/>
      <c r="BW30" s="1"/>
    </row>
    <row r="31" spans="2:75" ht="15" customHeight="1" x14ac:dyDescent="0.25">
      <c r="B31" s="153"/>
      <c r="C31" s="160"/>
      <c r="D31" s="87">
        <v>3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8"/>
      <c r="AA31" s="52">
        <f t="shared" si="2"/>
        <v>0</v>
      </c>
      <c r="AB31" s="68"/>
      <c r="AC31" s="68"/>
      <c r="AD31" s="68"/>
      <c r="AE31" s="68"/>
      <c r="AF31" s="68"/>
      <c r="AG31" s="70"/>
      <c r="AH31" s="55">
        <f t="shared" si="3"/>
        <v>0</v>
      </c>
      <c r="AI31" s="70"/>
      <c r="AJ31" s="70"/>
      <c r="AK31" s="70"/>
      <c r="AL31" s="70"/>
      <c r="AM31" s="70"/>
      <c r="AN31" s="72"/>
      <c r="AO31" s="54">
        <f t="shared" si="4"/>
        <v>0</v>
      </c>
      <c r="AP31" s="72"/>
      <c r="AQ31" s="72"/>
      <c r="AR31" s="72"/>
      <c r="AS31" s="72"/>
      <c r="AT31" s="72"/>
      <c r="AU31" s="74"/>
      <c r="AV31" s="57">
        <f t="shared" si="8"/>
        <v>0</v>
      </c>
      <c r="AW31" s="74"/>
      <c r="AX31" s="74"/>
      <c r="AY31" s="74"/>
      <c r="AZ31" s="74"/>
      <c r="BA31" s="74"/>
      <c r="BB31" s="76"/>
      <c r="BC31" s="56">
        <f t="shared" si="5"/>
        <v>0</v>
      </c>
      <c r="BD31" s="76"/>
      <c r="BE31" s="76"/>
      <c r="BF31" s="76"/>
      <c r="BG31" s="76"/>
      <c r="BH31" s="76"/>
      <c r="BI31" s="78"/>
      <c r="BJ31" s="49">
        <f t="shared" si="6"/>
        <v>0</v>
      </c>
      <c r="BK31" s="78"/>
      <c r="BL31" s="78"/>
      <c r="BM31" s="78"/>
      <c r="BN31" s="78"/>
      <c r="BO31" s="78"/>
      <c r="BP31" s="80"/>
      <c r="BQ31" s="58">
        <f t="shared" si="7"/>
        <v>0</v>
      </c>
      <c r="BR31" s="80"/>
      <c r="BS31" s="80"/>
      <c r="BT31" s="80"/>
      <c r="BU31" s="80"/>
      <c r="BV31" s="80"/>
      <c r="BW31" s="1"/>
    </row>
    <row r="32" spans="2:75" ht="15" customHeight="1" x14ac:dyDescent="0.25">
      <c r="B32" s="153"/>
      <c r="C32" s="161"/>
      <c r="D32" s="87" t="s">
        <v>705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8"/>
      <c r="AA32" s="52">
        <f t="shared" si="2"/>
        <v>0</v>
      </c>
      <c r="AB32" s="68"/>
      <c r="AC32" s="68"/>
      <c r="AD32" s="68"/>
      <c r="AE32" s="68"/>
      <c r="AF32" s="68"/>
      <c r="AG32" s="70"/>
      <c r="AH32" s="55">
        <f t="shared" si="3"/>
        <v>0</v>
      </c>
      <c r="AI32" s="70"/>
      <c r="AJ32" s="70"/>
      <c r="AK32" s="70"/>
      <c r="AL32" s="70"/>
      <c r="AM32" s="70"/>
      <c r="AN32" s="72"/>
      <c r="AO32" s="54">
        <f t="shared" si="4"/>
        <v>0</v>
      </c>
      <c r="AP32" s="72"/>
      <c r="AQ32" s="72"/>
      <c r="AR32" s="72"/>
      <c r="AS32" s="72"/>
      <c r="AT32" s="72"/>
      <c r="AU32" s="74"/>
      <c r="AV32" s="57">
        <f t="shared" si="8"/>
        <v>0</v>
      </c>
      <c r="AW32" s="74"/>
      <c r="AX32" s="74"/>
      <c r="AY32" s="74"/>
      <c r="AZ32" s="74"/>
      <c r="BA32" s="74"/>
      <c r="BB32" s="76"/>
      <c r="BC32" s="56">
        <f t="shared" si="5"/>
        <v>0</v>
      </c>
      <c r="BD32" s="76"/>
      <c r="BE32" s="76"/>
      <c r="BF32" s="76"/>
      <c r="BG32" s="76"/>
      <c r="BH32" s="76"/>
      <c r="BI32" s="78"/>
      <c r="BJ32" s="49">
        <f t="shared" si="6"/>
        <v>0</v>
      </c>
      <c r="BK32" s="78"/>
      <c r="BL32" s="78"/>
      <c r="BM32" s="78"/>
      <c r="BN32" s="78"/>
      <c r="BO32" s="78"/>
      <c r="BP32" s="80"/>
      <c r="BQ32" s="58">
        <f t="shared" si="7"/>
        <v>0</v>
      </c>
      <c r="BR32" s="80"/>
      <c r="BS32" s="80"/>
      <c r="BT32" s="80"/>
      <c r="BU32" s="80"/>
      <c r="BV32" s="80"/>
      <c r="BW32" s="1"/>
    </row>
    <row r="33" spans="2:75" ht="3.75" customHeight="1" x14ac:dyDescent="0.25">
      <c r="B33" s="1"/>
      <c r="C33" s="88"/>
      <c r="D33" s="88"/>
      <c r="E33" s="60"/>
      <c r="F33" s="1"/>
      <c r="G33" s="60"/>
      <c r="H33" s="60"/>
      <c r="I33" s="60"/>
      <c r="J33" s="60"/>
      <c r="K33" s="60"/>
      <c r="L33" s="60"/>
      <c r="M33" s="1"/>
      <c r="N33" s="60"/>
      <c r="O33" s="60"/>
      <c r="P33" s="60"/>
      <c r="Q33" s="60"/>
      <c r="R33" s="60"/>
      <c r="S33" s="60"/>
      <c r="T33" s="1"/>
      <c r="U33" s="60"/>
      <c r="V33" s="60"/>
      <c r="W33" s="60"/>
      <c r="X33" s="60"/>
      <c r="Y33" s="60"/>
      <c r="Z33" s="60"/>
      <c r="AA33" s="1"/>
      <c r="AB33" s="60"/>
      <c r="AC33" s="60"/>
      <c r="AD33" s="60"/>
      <c r="AE33" s="60"/>
      <c r="AF33" s="60"/>
      <c r="AG33" s="60"/>
      <c r="AH33" s="1"/>
      <c r="AI33" s="60"/>
      <c r="AJ33" s="60"/>
      <c r="AK33" s="60"/>
      <c r="AL33" s="60"/>
      <c r="AM33" s="60"/>
      <c r="AN33" s="60"/>
      <c r="AO33" s="1"/>
      <c r="AP33" s="60"/>
      <c r="AQ33" s="60"/>
      <c r="AR33" s="60"/>
      <c r="AS33" s="60"/>
      <c r="AT33" s="60"/>
      <c r="AU33" s="60"/>
      <c r="AV33" s="1"/>
      <c r="AW33" s="60"/>
      <c r="AX33" s="60"/>
      <c r="AY33" s="60"/>
      <c r="AZ33" s="60"/>
      <c r="BA33" s="60"/>
      <c r="BB33" s="60"/>
      <c r="BC33" s="1"/>
      <c r="BD33" s="60"/>
      <c r="BE33" s="60"/>
      <c r="BF33" s="60"/>
      <c r="BG33" s="60"/>
      <c r="BH33" s="60"/>
      <c r="BI33" s="60"/>
      <c r="BJ33" s="1"/>
      <c r="BK33" s="60"/>
      <c r="BL33" s="60"/>
      <c r="BM33" s="60"/>
      <c r="BN33" s="60"/>
      <c r="BO33" s="60"/>
      <c r="BP33" s="60"/>
      <c r="BQ33" s="1"/>
      <c r="BR33" s="60"/>
      <c r="BS33" s="60"/>
      <c r="BT33" s="60"/>
      <c r="BU33" s="60"/>
      <c r="BV33" s="60"/>
      <c r="BW33" s="1"/>
    </row>
    <row r="34" spans="2:75" ht="15" customHeight="1" x14ac:dyDescent="0.25">
      <c r="B34" s="153" t="s">
        <v>713</v>
      </c>
      <c r="C34" s="157" t="s">
        <v>9</v>
      </c>
      <c r="D34" s="87" t="s">
        <v>702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8"/>
      <c r="AA34" s="52">
        <f t="shared" si="2"/>
        <v>0</v>
      </c>
      <c r="AB34" s="68"/>
      <c r="AC34" s="68"/>
      <c r="AD34" s="68"/>
      <c r="AE34" s="68"/>
      <c r="AF34" s="68"/>
      <c r="AG34" s="70"/>
      <c r="AH34" s="55">
        <f t="shared" si="3"/>
        <v>0</v>
      </c>
      <c r="AI34" s="70"/>
      <c r="AJ34" s="70"/>
      <c r="AK34" s="70"/>
      <c r="AL34" s="70"/>
      <c r="AM34" s="70"/>
      <c r="AN34" s="72"/>
      <c r="AO34" s="54">
        <f t="shared" si="4"/>
        <v>0</v>
      </c>
      <c r="AP34" s="72"/>
      <c r="AQ34" s="72"/>
      <c r="AR34" s="72"/>
      <c r="AS34" s="72"/>
      <c r="AT34" s="72"/>
      <c r="AU34" s="74"/>
      <c r="AV34" s="57">
        <f t="shared" si="8"/>
        <v>0</v>
      </c>
      <c r="AW34" s="74"/>
      <c r="AX34" s="74"/>
      <c r="AY34" s="74"/>
      <c r="AZ34" s="74"/>
      <c r="BA34" s="74"/>
      <c r="BB34" s="76"/>
      <c r="BC34" s="56">
        <f t="shared" si="5"/>
        <v>0</v>
      </c>
      <c r="BD34" s="76"/>
      <c r="BE34" s="76"/>
      <c r="BF34" s="76"/>
      <c r="BG34" s="76"/>
      <c r="BH34" s="76"/>
      <c r="BI34" s="78"/>
      <c r="BJ34" s="49">
        <f t="shared" si="6"/>
        <v>0</v>
      </c>
      <c r="BK34" s="78"/>
      <c r="BL34" s="78"/>
      <c r="BM34" s="78"/>
      <c r="BN34" s="78"/>
      <c r="BO34" s="78"/>
      <c r="BP34" s="80"/>
      <c r="BQ34" s="58">
        <f t="shared" si="7"/>
        <v>0</v>
      </c>
      <c r="BR34" s="80"/>
      <c r="BS34" s="80"/>
      <c r="BT34" s="80"/>
      <c r="BU34" s="80"/>
      <c r="BV34" s="80"/>
      <c r="BW34" s="1"/>
    </row>
    <row r="35" spans="2:75" ht="15" customHeight="1" x14ac:dyDescent="0.25">
      <c r="B35" s="153"/>
      <c r="C35" s="157"/>
      <c r="D35" s="87" t="s">
        <v>703</v>
      </c>
      <c r="E35" s="61"/>
      <c r="F35" s="50">
        <f t="shared" si="9"/>
        <v>0</v>
      </c>
      <c r="G35" s="61"/>
      <c r="H35" s="61"/>
      <c r="I35" s="61"/>
      <c r="J35" s="61"/>
      <c r="K35" s="61"/>
      <c r="L35" s="64"/>
      <c r="M35" s="51">
        <f t="shared" si="0"/>
        <v>0</v>
      </c>
      <c r="N35" s="64"/>
      <c r="O35" s="64"/>
      <c r="P35" s="64"/>
      <c r="Q35" s="64"/>
      <c r="R35" s="64"/>
      <c r="S35" s="66"/>
      <c r="T35" s="53">
        <f t="shared" si="1"/>
        <v>0</v>
      </c>
      <c r="U35" s="66"/>
      <c r="V35" s="66"/>
      <c r="W35" s="66"/>
      <c r="X35" s="66"/>
      <c r="Y35" s="66"/>
      <c r="Z35" s="68"/>
      <c r="AA35" s="52">
        <f t="shared" si="2"/>
        <v>0</v>
      </c>
      <c r="AB35" s="68"/>
      <c r="AC35" s="68"/>
      <c r="AD35" s="68"/>
      <c r="AE35" s="68"/>
      <c r="AF35" s="68"/>
      <c r="AG35" s="70"/>
      <c r="AH35" s="55">
        <f t="shared" si="3"/>
        <v>0</v>
      </c>
      <c r="AI35" s="70"/>
      <c r="AJ35" s="70"/>
      <c r="AK35" s="70"/>
      <c r="AL35" s="70"/>
      <c r="AM35" s="70"/>
      <c r="AN35" s="72"/>
      <c r="AO35" s="54">
        <f t="shared" si="4"/>
        <v>0</v>
      </c>
      <c r="AP35" s="72"/>
      <c r="AQ35" s="72"/>
      <c r="AR35" s="72"/>
      <c r="AS35" s="72"/>
      <c r="AT35" s="72"/>
      <c r="AU35" s="74"/>
      <c r="AV35" s="57">
        <f t="shared" si="8"/>
        <v>0</v>
      </c>
      <c r="AW35" s="74"/>
      <c r="AX35" s="74"/>
      <c r="AY35" s="74"/>
      <c r="AZ35" s="74"/>
      <c r="BA35" s="74"/>
      <c r="BB35" s="76"/>
      <c r="BC35" s="56">
        <f t="shared" si="5"/>
        <v>0</v>
      </c>
      <c r="BD35" s="76"/>
      <c r="BE35" s="76"/>
      <c r="BF35" s="76"/>
      <c r="BG35" s="76"/>
      <c r="BH35" s="76"/>
      <c r="BI35" s="78"/>
      <c r="BJ35" s="49">
        <f t="shared" si="6"/>
        <v>0</v>
      </c>
      <c r="BK35" s="78"/>
      <c r="BL35" s="78"/>
      <c r="BM35" s="78"/>
      <c r="BN35" s="78"/>
      <c r="BO35" s="78"/>
      <c r="BP35" s="80"/>
      <c r="BQ35" s="58">
        <f t="shared" si="7"/>
        <v>0</v>
      </c>
      <c r="BR35" s="80"/>
      <c r="BS35" s="80"/>
      <c r="BT35" s="80"/>
      <c r="BU35" s="80"/>
      <c r="BV35" s="80"/>
      <c r="BW35" s="1"/>
    </row>
    <row r="36" spans="2:75" ht="15" customHeight="1" x14ac:dyDescent="0.25">
      <c r="B36" s="153"/>
      <c r="C36" s="157"/>
      <c r="D36" s="87" t="s">
        <v>704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8"/>
      <c r="AA36" s="52">
        <f t="shared" si="2"/>
        <v>0</v>
      </c>
      <c r="AB36" s="68"/>
      <c r="AC36" s="68"/>
      <c r="AD36" s="68"/>
      <c r="AE36" s="68"/>
      <c r="AF36" s="68"/>
      <c r="AG36" s="70"/>
      <c r="AH36" s="55">
        <f t="shared" si="3"/>
        <v>0</v>
      </c>
      <c r="AI36" s="70"/>
      <c r="AJ36" s="70"/>
      <c r="AK36" s="70"/>
      <c r="AL36" s="70"/>
      <c r="AM36" s="70"/>
      <c r="AN36" s="72"/>
      <c r="AO36" s="54">
        <f t="shared" si="4"/>
        <v>0</v>
      </c>
      <c r="AP36" s="72"/>
      <c r="AQ36" s="72"/>
      <c r="AR36" s="72"/>
      <c r="AS36" s="72"/>
      <c r="AT36" s="72"/>
      <c r="AU36" s="74"/>
      <c r="AV36" s="57">
        <f t="shared" si="8"/>
        <v>0</v>
      </c>
      <c r="AW36" s="74"/>
      <c r="AX36" s="74"/>
      <c r="AY36" s="74"/>
      <c r="AZ36" s="74"/>
      <c r="BA36" s="74"/>
      <c r="BB36" s="76"/>
      <c r="BC36" s="56">
        <f t="shared" si="5"/>
        <v>0</v>
      </c>
      <c r="BD36" s="76"/>
      <c r="BE36" s="76"/>
      <c r="BF36" s="76"/>
      <c r="BG36" s="76"/>
      <c r="BH36" s="76"/>
      <c r="BI36" s="78"/>
      <c r="BJ36" s="49">
        <f t="shared" si="6"/>
        <v>0</v>
      </c>
      <c r="BK36" s="78"/>
      <c r="BL36" s="78"/>
      <c r="BM36" s="78"/>
      <c r="BN36" s="78"/>
      <c r="BO36" s="78"/>
      <c r="BP36" s="80"/>
      <c r="BQ36" s="58">
        <f t="shared" si="7"/>
        <v>0</v>
      </c>
      <c r="BR36" s="80"/>
      <c r="BS36" s="80"/>
      <c r="BT36" s="80"/>
      <c r="BU36" s="80"/>
      <c r="BV36" s="80"/>
      <c r="BW36" s="1"/>
    </row>
    <row r="37" spans="2:75" ht="15" customHeight="1" x14ac:dyDescent="0.25">
      <c r="B37" s="153"/>
      <c r="C37" s="157"/>
      <c r="D37" s="87" t="s">
        <v>705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8"/>
      <c r="AA37" s="52">
        <f t="shared" si="2"/>
        <v>0</v>
      </c>
      <c r="AB37" s="68"/>
      <c r="AC37" s="68"/>
      <c r="AD37" s="68"/>
      <c r="AE37" s="68"/>
      <c r="AF37" s="68"/>
      <c r="AG37" s="70"/>
      <c r="AH37" s="55">
        <f t="shared" si="3"/>
        <v>0</v>
      </c>
      <c r="AI37" s="70"/>
      <c r="AJ37" s="70"/>
      <c r="AK37" s="70"/>
      <c r="AL37" s="70"/>
      <c r="AM37" s="70"/>
      <c r="AN37" s="72"/>
      <c r="AO37" s="54">
        <f t="shared" si="4"/>
        <v>0</v>
      </c>
      <c r="AP37" s="72"/>
      <c r="AQ37" s="72"/>
      <c r="AR37" s="72"/>
      <c r="AS37" s="72"/>
      <c r="AT37" s="72"/>
      <c r="AU37" s="74"/>
      <c r="AV37" s="57">
        <f t="shared" si="8"/>
        <v>0</v>
      </c>
      <c r="AW37" s="74"/>
      <c r="AX37" s="74"/>
      <c r="AY37" s="74"/>
      <c r="AZ37" s="74"/>
      <c r="BA37" s="74"/>
      <c r="BB37" s="76"/>
      <c r="BC37" s="56">
        <f t="shared" si="5"/>
        <v>0</v>
      </c>
      <c r="BD37" s="76"/>
      <c r="BE37" s="76"/>
      <c r="BF37" s="76"/>
      <c r="BG37" s="76"/>
      <c r="BH37" s="76"/>
      <c r="BI37" s="78"/>
      <c r="BJ37" s="49">
        <f t="shared" si="6"/>
        <v>0</v>
      </c>
      <c r="BK37" s="78"/>
      <c r="BL37" s="78"/>
      <c r="BM37" s="78"/>
      <c r="BN37" s="78"/>
      <c r="BO37" s="78"/>
      <c r="BP37" s="80"/>
      <c r="BQ37" s="58">
        <f t="shared" si="7"/>
        <v>0</v>
      </c>
      <c r="BR37" s="80"/>
      <c r="BS37" s="80"/>
      <c r="BT37" s="80"/>
      <c r="BU37" s="80"/>
      <c r="BV37" s="80"/>
      <c r="BW37" s="1"/>
    </row>
    <row r="38" spans="2:75" ht="15" customHeight="1" x14ac:dyDescent="0.25">
      <c r="B38" s="153"/>
      <c r="C38" s="152" t="s">
        <v>708</v>
      </c>
      <c r="D38" s="87" t="s">
        <v>194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8"/>
      <c r="AA38" s="52">
        <f t="shared" si="2"/>
        <v>0</v>
      </c>
      <c r="AB38" s="68"/>
      <c r="AC38" s="68"/>
      <c r="AD38" s="68"/>
      <c r="AE38" s="68"/>
      <c r="AF38" s="68"/>
      <c r="AG38" s="70"/>
      <c r="AH38" s="55">
        <f t="shared" si="3"/>
        <v>0</v>
      </c>
      <c r="AI38" s="70"/>
      <c r="AJ38" s="70"/>
      <c r="AK38" s="70"/>
      <c r="AL38" s="70"/>
      <c r="AM38" s="70"/>
      <c r="AN38" s="72"/>
      <c r="AO38" s="54">
        <f t="shared" si="4"/>
        <v>0</v>
      </c>
      <c r="AP38" s="72"/>
      <c r="AQ38" s="72"/>
      <c r="AR38" s="72"/>
      <c r="AS38" s="72"/>
      <c r="AT38" s="72"/>
      <c r="AU38" s="74"/>
      <c r="AV38" s="57">
        <f t="shared" si="8"/>
        <v>0</v>
      </c>
      <c r="AW38" s="74"/>
      <c r="AX38" s="74"/>
      <c r="AY38" s="74"/>
      <c r="AZ38" s="74"/>
      <c r="BA38" s="74"/>
      <c r="BB38" s="76"/>
      <c r="BC38" s="56">
        <f t="shared" si="5"/>
        <v>0</v>
      </c>
      <c r="BD38" s="76"/>
      <c r="BE38" s="76"/>
      <c r="BF38" s="76"/>
      <c r="BG38" s="76"/>
      <c r="BH38" s="76"/>
      <c r="BI38" s="78"/>
      <c r="BJ38" s="49">
        <f t="shared" si="6"/>
        <v>0</v>
      </c>
      <c r="BK38" s="78"/>
      <c r="BL38" s="78"/>
      <c r="BM38" s="78"/>
      <c r="BN38" s="78"/>
      <c r="BO38" s="78"/>
      <c r="BP38" s="80"/>
      <c r="BQ38" s="58">
        <f t="shared" si="7"/>
        <v>0</v>
      </c>
      <c r="BR38" s="80"/>
      <c r="BS38" s="80"/>
      <c r="BT38" s="80"/>
      <c r="BU38" s="80"/>
      <c r="BV38" s="80"/>
      <c r="BW38" s="1"/>
    </row>
    <row r="39" spans="2:75" ht="15" customHeight="1" x14ac:dyDescent="0.25">
      <c r="B39" s="153"/>
      <c r="C39" s="152"/>
      <c r="D39" s="87" t="s">
        <v>56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8"/>
      <c r="AA39" s="52">
        <f t="shared" si="2"/>
        <v>0</v>
      </c>
      <c r="AB39" s="68"/>
      <c r="AC39" s="68"/>
      <c r="AD39" s="68"/>
      <c r="AE39" s="68"/>
      <c r="AF39" s="68"/>
      <c r="AG39" s="70"/>
      <c r="AH39" s="55">
        <f t="shared" si="3"/>
        <v>0</v>
      </c>
      <c r="AI39" s="70"/>
      <c r="AJ39" s="70"/>
      <c r="AK39" s="70"/>
      <c r="AL39" s="70"/>
      <c r="AM39" s="70"/>
      <c r="AN39" s="72"/>
      <c r="AO39" s="54">
        <f t="shared" si="4"/>
        <v>0</v>
      </c>
      <c r="AP39" s="72"/>
      <c r="AQ39" s="72"/>
      <c r="AR39" s="72"/>
      <c r="AS39" s="72"/>
      <c r="AT39" s="72"/>
      <c r="AU39" s="74"/>
      <c r="AV39" s="57">
        <f t="shared" si="8"/>
        <v>0</v>
      </c>
      <c r="AW39" s="74"/>
      <c r="AX39" s="74"/>
      <c r="AY39" s="74"/>
      <c r="AZ39" s="74"/>
      <c r="BA39" s="74"/>
      <c r="BB39" s="76"/>
      <c r="BC39" s="56">
        <f t="shared" si="5"/>
        <v>0</v>
      </c>
      <c r="BD39" s="76"/>
      <c r="BE39" s="76"/>
      <c r="BF39" s="76"/>
      <c r="BG39" s="76"/>
      <c r="BH39" s="76"/>
      <c r="BI39" s="78"/>
      <c r="BJ39" s="49">
        <f t="shared" si="6"/>
        <v>0</v>
      </c>
      <c r="BK39" s="78"/>
      <c r="BL39" s="78"/>
      <c r="BM39" s="78"/>
      <c r="BN39" s="78"/>
      <c r="BO39" s="78"/>
      <c r="BP39" s="80"/>
      <c r="BQ39" s="58">
        <f t="shared" si="7"/>
        <v>0</v>
      </c>
      <c r="BR39" s="80"/>
      <c r="BS39" s="80"/>
      <c r="BT39" s="80"/>
      <c r="BU39" s="80"/>
      <c r="BV39" s="80"/>
      <c r="BW39" s="1"/>
    </row>
    <row r="40" spans="2:75" ht="15" customHeight="1" x14ac:dyDescent="0.25">
      <c r="B40" s="153"/>
      <c r="C40" s="152"/>
      <c r="D40" s="87" t="s">
        <v>54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8"/>
      <c r="AA40" s="52">
        <f t="shared" si="2"/>
        <v>0</v>
      </c>
      <c r="AB40" s="68"/>
      <c r="AC40" s="68"/>
      <c r="AD40" s="68"/>
      <c r="AE40" s="68"/>
      <c r="AF40" s="68"/>
      <c r="AG40" s="70"/>
      <c r="AH40" s="55">
        <f t="shared" si="3"/>
        <v>0</v>
      </c>
      <c r="AI40" s="70"/>
      <c r="AJ40" s="70"/>
      <c r="AK40" s="70"/>
      <c r="AL40" s="70"/>
      <c r="AM40" s="70"/>
      <c r="AN40" s="72"/>
      <c r="AO40" s="54">
        <f t="shared" si="4"/>
        <v>0</v>
      </c>
      <c r="AP40" s="72"/>
      <c r="AQ40" s="72"/>
      <c r="AR40" s="72"/>
      <c r="AS40" s="72"/>
      <c r="AT40" s="72"/>
      <c r="AU40" s="74"/>
      <c r="AV40" s="57">
        <f t="shared" si="8"/>
        <v>0</v>
      </c>
      <c r="AW40" s="74"/>
      <c r="AX40" s="74"/>
      <c r="AY40" s="74"/>
      <c r="AZ40" s="74"/>
      <c r="BA40" s="74"/>
      <c r="BB40" s="76"/>
      <c r="BC40" s="56">
        <f t="shared" si="5"/>
        <v>0</v>
      </c>
      <c r="BD40" s="76"/>
      <c r="BE40" s="76"/>
      <c r="BF40" s="76"/>
      <c r="BG40" s="76"/>
      <c r="BH40" s="76"/>
      <c r="BI40" s="78"/>
      <c r="BJ40" s="49">
        <f t="shared" si="6"/>
        <v>0</v>
      </c>
      <c r="BK40" s="78"/>
      <c r="BL40" s="78"/>
      <c r="BM40" s="78"/>
      <c r="BN40" s="78"/>
      <c r="BO40" s="78"/>
      <c r="BP40" s="80"/>
      <c r="BQ40" s="58">
        <f t="shared" si="7"/>
        <v>0</v>
      </c>
      <c r="BR40" s="80"/>
      <c r="BS40" s="80"/>
      <c r="BT40" s="80"/>
      <c r="BU40" s="80"/>
      <c r="BV40" s="80"/>
      <c r="BW40" s="1"/>
    </row>
    <row r="41" spans="2:75" ht="15" customHeight="1" x14ac:dyDescent="0.25">
      <c r="B41" s="153"/>
      <c r="C41" s="152"/>
      <c r="D41" s="87" t="s">
        <v>706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8"/>
      <c r="AA41" s="52">
        <f t="shared" si="2"/>
        <v>0</v>
      </c>
      <c r="AB41" s="68"/>
      <c r="AC41" s="68"/>
      <c r="AD41" s="68"/>
      <c r="AE41" s="68"/>
      <c r="AF41" s="68"/>
      <c r="AG41" s="70"/>
      <c r="AH41" s="55">
        <f t="shared" si="3"/>
        <v>0</v>
      </c>
      <c r="AI41" s="70"/>
      <c r="AJ41" s="70"/>
      <c r="AK41" s="70"/>
      <c r="AL41" s="70"/>
      <c r="AM41" s="70"/>
      <c r="AN41" s="72"/>
      <c r="AO41" s="54">
        <f t="shared" si="4"/>
        <v>0</v>
      </c>
      <c r="AP41" s="72"/>
      <c r="AQ41" s="72"/>
      <c r="AR41" s="72"/>
      <c r="AS41" s="72"/>
      <c r="AT41" s="72"/>
      <c r="AU41" s="74"/>
      <c r="AV41" s="57">
        <f t="shared" si="8"/>
        <v>0</v>
      </c>
      <c r="AW41" s="74"/>
      <c r="AX41" s="74"/>
      <c r="AY41" s="74"/>
      <c r="AZ41" s="74"/>
      <c r="BA41" s="74"/>
      <c r="BB41" s="76"/>
      <c r="BC41" s="56">
        <f t="shared" si="5"/>
        <v>0</v>
      </c>
      <c r="BD41" s="76"/>
      <c r="BE41" s="76"/>
      <c r="BF41" s="76"/>
      <c r="BG41" s="76"/>
      <c r="BH41" s="76"/>
      <c r="BI41" s="78"/>
      <c r="BJ41" s="49">
        <f t="shared" si="6"/>
        <v>0</v>
      </c>
      <c r="BK41" s="78"/>
      <c r="BL41" s="78"/>
      <c r="BM41" s="78"/>
      <c r="BN41" s="78"/>
      <c r="BO41" s="78"/>
      <c r="BP41" s="80"/>
      <c r="BQ41" s="58">
        <f t="shared" si="7"/>
        <v>0</v>
      </c>
      <c r="BR41" s="80"/>
      <c r="BS41" s="80"/>
      <c r="BT41" s="80"/>
      <c r="BU41" s="80"/>
      <c r="BV41" s="80"/>
      <c r="BW41" s="1"/>
    </row>
    <row r="42" spans="2:75" ht="15" customHeight="1" x14ac:dyDescent="0.25">
      <c r="B42" s="153"/>
      <c r="C42" s="152"/>
      <c r="D42" s="87" t="s">
        <v>707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8"/>
      <c r="AA42" s="52">
        <f t="shared" si="2"/>
        <v>0</v>
      </c>
      <c r="AB42" s="68"/>
      <c r="AC42" s="68"/>
      <c r="AD42" s="68"/>
      <c r="AE42" s="68"/>
      <c r="AF42" s="68"/>
      <c r="AG42" s="70"/>
      <c r="AH42" s="55">
        <f t="shared" si="3"/>
        <v>0</v>
      </c>
      <c r="AI42" s="70"/>
      <c r="AJ42" s="70"/>
      <c r="AK42" s="70"/>
      <c r="AL42" s="70"/>
      <c r="AM42" s="70"/>
      <c r="AN42" s="72"/>
      <c r="AO42" s="54">
        <f t="shared" si="4"/>
        <v>0</v>
      </c>
      <c r="AP42" s="72"/>
      <c r="AQ42" s="72"/>
      <c r="AR42" s="72"/>
      <c r="AS42" s="72"/>
      <c r="AT42" s="72"/>
      <c r="AU42" s="74"/>
      <c r="AV42" s="57">
        <f t="shared" si="8"/>
        <v>0</v>
      </c>
      <c r="AW42" s="74"/>
      <c r="AX42" s="74"/>
      <c r="AY42" s="74"/>
      <c r="AZ42" s="74"/>
      <c r="BA42" s="74"/>
      <c r="BB42" s="76"/>
      <c r="BC42" s="56">
        <f t="shared" si="5"/>
        <v>0</v>
      </c>
      <c r="BD42" s="76"/>
      <c r="BE42" s="76"/>
      <c r="BF42" s="76"/>
      <c r="BG42" s="76"/>
      <c r="BH42" s="76"/>
      <c r="BI42" s="78"/>
      <c r="BJ42" s="49">
        <f t="shared" si="6"/>
        <v>0</v>
      </c>
      <c r="BK42" s="78"/>
      <c r="BL42" s="78"/>
      <c r="BM42" s="78"/>
      <c r="BN42" s="78"/>
      <c r="BO42" s="78"/>
      <c r="BP42" s="80"/>
      <c r="BQ42" s="58">
        <f t="shared" si="7"/>
        <v>0</v>
      </c>
      <c r="BR42" s="80"/>
      <c r="BS42" s="80"/>
      <c r="BT42" s="80"/>
      <c r="BU42" s="80"/>
      <c r="BV42" s="80"/>
      <c r="BW42" s="1"/>
    </row>
    <row r="43" spans="2:75" ht="15" customHeight="1" x14ac:dyDescent="0.25">
      <c r="B43" s="153"/>
      <c r="C43" s="152"/>
      <c r="D43" s="87" t="s">
        <v>705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8"/>
      <c r="AA43" s="52">
        <f t="shared" si="2"/>
        <v>0</v>
      </c>
      <c r="AB43" s="68"/>
      <c r="AC43" s="68"/>
      <c r="AD43" s="68"/>
      <c r="AE43" s="68"/>
      <c r="AF43" s="68"/>
      <c r="AG43" s="70"/>
      <c r="AH43" s="55">
        <f t="shared" si="3"/>
        <v>0</v>
      </c>
      <c r="AI43" s="70"/>
      <c r="AJ43" s="70"/>
      <c r="AK43" s="70"/>
      <c r="AL43" s="70"/>
      <c r="AM43" s="70"/>
      <c r="AN43" s="72"/>
      <c r="AO43" s="54">
        <f t="shared" si="4"/>
        <v>0</v>
      </c>
      <c r="AP43" s="72"/>
      <c r="AQ43" s="72"/>
      <c r="AR43" s="72"/>
      <c r="AS43" s="72"/>
      <c r="AT43" s="72"/>
      <c r="AU43" s="74"/>
      <c r="AV43" s="57">
        <f t="shared" si="8"/>
        <v>0</v>
      </c>
      <c r="AW43" s="74"/>
      <c r="AX43" s="74"/>
      <c r="AY43" s="74"/>
      <c r="AZ43" s="74"/>
      <c r="BA43" s="74"/>
      <c r="BB43" s="76"/>
      <c r="BC43" s="56">
        <f t="shared" si="5"/>
        <v>0</v>
      </c>
      <c r="BD43" s="76"/>
      <c r="BE43" s="76"/>
      <c r="BF43" s="76"/>
      <c r="BG43" s="76"/>
      <c r="BH43" s="76"/>
      <c r="BI43" s="78"/>
      <c r="BJ43" s="49">
        <f t="shared" si="6"/>
        <v>0</v>
      </c>
      <c r="BK43" s="78"/>
      <c r="BL43" s="78"/>
      <c r="BM43" s="78"/>
      <c r="BN43" s="78"/>
      <c r="BO43" s="78"/>
      <c r="BP43" s="80"/>
      <c r="BQ43" s="58">
        <f t="shared" si="7"/>
        <v>0</v>
      </c>
      <c r="BR43" s="80"/>
      <c r="BS43" s="80"/>
      <c r="BT43" s="80"/>
      <c r="BU43" s="80"/>
      <c r="BV43" s="80"/>
      <c r="BW43" s="1"/>
    </row>
    <row r="44" spans="2:75" ht="15" customHeight="1" x14ac:dyDescent="0.25">
      <c r="B44" s="153"/>
      <c r="C44" s="152" t="s">
        <v>8</v>
      </c>
      <c r="D44" s="87" t="s">
        <v>709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8"/>
      <c r="AA44" s="52">
        <f t="shared" si="2"/>
        <v>0</v>
      </c>
      <c r="AB44" s="68"/>
      <c r="AC44" s="68"/>
      <c r="AD44" s="68"/>
      <c r="AE44" s="68"/>
      <c r="AF44" s="68"/>
      <c r="AG44" s="70"/>
      <c r="AH44" s="55">
        <f t="shared" si="3"/>
        <v>0</v>
      </c>
      <c r="AI44" s="70"/>
      <c r="AJ44" s="70"/>
      <c r="AK44" s="70"/>
      <c r="AL44" s="70"/>
      <c r="AM44" s="70"/>
      <c r="AN44" s="72"/>
      <c r="AO44" s="54">
        <f t="shared" si="4"/>
        <v>0</v>
      </c>
      <c r="AP44" s="72"/>
      <c r="AQ44" s="72"/>
      <c r="AR44" s="72"/>
      <c r="AS44" s="72"/>
      <c r="AT44" s="72"/>
      <c r="AU44" s="74"/>
      <c r="AV44" s="57">
        <f t="shared" si="8"/>
        <v>0</v>
      </c>
      <c r="AW44" s="74"/>
      <c r="AX44" s="74"/>
      <c r="AY44" s="74"/>
      <c r="AZ44" s="74"/>
      <c r="BA44" s="74"/>
      <c r="BB44" s="76"/>
      <c r="BC44" s="56">
        <f t="shared" si="5"/>
        <v>0</v>
      </c>
      <c r="BD44" s="76"/>
      <c r="BE44" s="76"/>
      <c r="BF44" s="76"/>
      <c r="BG44" s="76"/>
      <c r="BH44" s="76"/>
      <c r="BI44" s="78"/>
      <c r="BJ44" s="49">
        <f t="shared" si="6"/>
        <v>0</v>
      </c>
      <c r="BK44" s="78"/>
      <c r="BL44" s="78"/>
      <c r="BM44" s="78"/>
      <c r="BN44" s="78"/>
      <c r="BO44" s="78"/>
      <c r="BP44" s="80"/>
      <c r="BQ44" s="58">
        <f t="shared" si="7"/>
        <v>0</v>
      </c>
      <c r="BR44" s="80"/>
      <c r="BS44" s="80"/>
      <c r="BT44" s="80"/>
      <c r="BU44" s="80"/>
      <c r="BV44" s="80"/>
      <c r="BW44" s="1"/>
    </row>
    <row r="45" spans="2:75" ht="15" customHeight="1" x14ac:dyDescent="0.25">
      <c r="B45" s="153"/>
      <c r="C45" s="152"/>
      <c r="D45" s="87" t="s">
        <v>710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8"/>
      <c r="AA45" s="52">
        <f t="shared" si="2"/>
        <v>0</v>
      </c>
      <c r="AB45" s="68"/>
      <c r="AC45" s="68"/>
      <c r="AD45" s="68"/>
      <c r="AE45" s="68"/>
      <c r="AF45" s="68"/>
      <c r="AG45" s="70"/>
      <c r="AH45" s="55">
        <f t="shared" si="3"/>
        <v>0</v>
      </c>
      <c r="AI45" s="70"/>
      <c r="AJ45" s="70"/>
      <c r="AK45" s="70"/>
      <c r="AL45" s="70"/>
      <c r="AM45" s="70"/>
      <c r="AN45" s="72"/>
      <c r="AO45" s="54">
        <f t="shared" si="4"/>
        <v>0</v>
      </c>
      <c r="AP45" s="72"/>
      <c r="AQ45" s="72"/>
      <c r="AR45" s="72"/>
      <c r="AS45" s="72"/>
      <c r="AT45" s="72"/>
      <c r="AU45" s="74"/>
      <c r="AV45" s="57">
        <f t="shared" si="8"/>
        <v>0</v>
      </c>
      <c r="AW45" s="74"/>
      <c r="AX45" s="74"/>
      <c r="AY45" s="74"/>
      <c r="AZ45" s="74"/>
      <c r="BA45" s="74"/>
      <c r="BB45" s="76"/>
      <c r="BC45" s="56">
        <f t="shared" si="5"/>
        <v>0</v>
      </c>
      <c r="BD45" s="76"/>
      <c r="BE45" s="76"/>
      <c r="BF45" s="76"/>
      <c r="BG45" s="76"/>
      <c r="BH45" s="76"/>
      <c r="BI45" s="78"/>
      <c r="BJ45" s="49">
        <f t="shared" si="6"/>
        <v>0</v>
      </c>
      <c r="BK45" s="78"/>
      <c r="BL45" s="78"/>
      <c r="BM45" s="78"/>
      <c r="BN45" s="78"/>
      <c r="BO45" s="78"/>
      <c r="BP45" s="80"/>
      <c r="BQ45" s="58">
        <f t="shared" si="7"/>
        <v>0</v>
      </c>
      <c r="BR45" s="80"/>
      <c r="BS45" s="80"/>
      <c r="BT45" s="80"/>
      <c r="BU45" s="80"/>
      <c r="BV45" s="80"/>
      <c r="BW45" s="1"/>
    </row>
    <row r="46" spans="2:75" ht="15" customHeight="1" x14ac:dyDescent="0.25">
      <c r="B46" s="153"/>
      <c r="C46" s="152"/>
      <c r="D46" s="87" t="s">
        <v>711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/>
      <c r="N46" s="64"/>
      <c r="O46" s="64"/>
      <c r="P46" s="64"/>
      <c r="Q46" s="64"/>
      <c r="R46" s="64"/>
      <c r="S46" s="66"/>
      <c r="T46" s="53"/>
      <c r="U46" s="66"/>
      <c r="V46" s="66"/>
      <c r="W46" s="66"/>
      <c r="X46" s="66"/>
      <c r="Y46" s="66"/>
      <c r="Z46" s="68"/>
      <c r="AA46" s="52"/>
      <c r="AB46" s="68"/>
      <c r="AC46" s="68"/>
      <c r="AD46" s="68"/>
      <c r="AE46" s="68"/>
      <c r="AF46" s="68"/>
      <c r="AG46" s="70"/>
      <c r="AH46" s="55"/>
      <c r="AI46" s="70"/>
      <c r="AJ46" s="70"/>
      <c r="AK46" s="70"/>
      <c r="AL46" s="70"/>
      <c r="AM46" s="70"/>
      <c r="AN46" s="72"/>
      <c r="AO46" s="54"/>
      <c r="AP46" s="72"/>
      <c r="AQ46" s="72"/>
      <c r="AR46" s="72"/>
      <c r="AS46" s="72"/>
      <c r="AT46" s="72"/>
      <c r="AU46" s="74"/>
      <c r="AV46" s="57"/>
      <c r="AW46" s="74"/>
      <c r="AX46" s="74"/>
      <c r="AY46" s="74"/>
      <c r="AZ46" s="74"/>
      <c r="BA46" s="74"/>
      <c r="BB46" s="76"/>
      <c r="BC46" s="56"/>
      <c r="BD46" s="76"/>
      <c r="BE46" s="76"/>
      <c r="BF46" s="76"/>
      <c r="BG46" s="76"/>
      <c r="BH46" s="76"/>
      <c r="BI46" s="78"/>
      <c r="BJ46" s="49"/>
      <c r="BK46" s="78"/>
      <c r="BL46" s="78"/>
      <c r="BM46" s="78"/>
      <c r="BN46" s="78"/>
      <c r="BO46" s="78"/>
      <c r="BP46" s="80"/>
      <c r="BQ46" s="58"/>
      <c r="BR46" s="80"/>
      <c r="BS46" s="80"/>
      <c r="BT46" s="80"/>
      <c r="BU46" s="80"/>
      <c r="BV46" s="80"/>
      <c r="BW46" s="1"/>
    </row>
    <row r="47" spans="2:75" ht="15" customHeight="1" x14ac:dyDescent="0.25">
      <c r="B47" s="153"/>
      <c r="C47" s="152"/>
      <c r="D47" s="87" t="s">
        <v>705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8"/>
      <c r="AA47" s="52">
        <f t="shared" si="2"/>
        <v>0</v>
      </c>
      <c r="AB47" s="68"/>
      <c r="AC47" s="68"/>
      <c r="AD47" s="68"/>
      <c r="AE47" s="68"/>
      <c r="AF47" s="68"/>
      <c r="AG47" s="70"/>
      <c r="AH47" s="55">
        <f t="shared" si="3"/>
        <v>0</v>
      </c>
      <c r="AI47" s="70"/>
      <c r="AJ47" s="70"/>
      <c r="AK47" s="70"/>
      <c r="AL47" s="70"/>
      <c r="AM47" s="70"/>
      <c r="AN47" s="72"/>
      <c r="AO47" s="54">
        <f t="shared" si="4"/>
        <v>0</v>
      </c>
      <c r="AP47" s="72"/>
      <c r="AQ47" s="72"/>
      <c r="AR47" s="72"/>
      <c r="AS47" s="72"/>
      <c r="AT47" s="72"/>
      <c r="AU47" s="74"/>
      <c r="AV47" s="57">
        <f t="shared" si="8"/>
        <v>0</v>
      </c>
      <c r="AW47" s="74"/>
      <c r="AX47" s="74"/>
      <c r="AY47" s="74"/>
      <c r="AZ47" s="74"/>
      <c r="BA47" s="74"/>
      <c r="BB47" s="76"/>
      <c r="BC47" s="56">
        <f t="shared" si="5"/>
        <v>0</v>
      </c>
      <c r="BD47" s="76"/>
      <c r="BE47" s="76"/>
      <c r="BF47" s="76"/>
      <c r="BG47" s="76"/>
      <c r="BH47" s="76"/>
      <c r="BI47" s="78"/>
      <c r="BJ47" s="49">
        <f t="shared" si="6"/>
        <v>0</v>
      </c>
      <c r="BK47" s="78"/>
      <c r="BL47" s="78"/>
      <c r="BM47" s="78"/>
      <c r="BN47" s="78"/>
      <c r="BO47" s="78"/>
      <c r="BP47" s="80"/>
      <c r="BQ47" s="58">
        <f t="shared" si="7"/>
        <v>0</v>
      </c>
      <c r="BR47" s="80"/>
      <c r="BS47" s="80"/>
      <c r="BT47" s="80"/>
      <c r="BU47" s="80"/>
      <c r="BV47" s="80"/>
      <c r="BW47" s="1"/>
    </row>
    <row r="48" spans="2:75" ht="3.75" customHeight="1" x14ac:dyDescent="0.25">
      <c r="B48" s="59"/>
      <c r="C48" s="89"/>
      <c r="D48" s="89"/>
      <c r="E48" s="60"/>
      <c r="F48" s="1"/>
      <c r="G48" s="60"/>
      <c r="H48" s="60"/>
      <c r="I48" s="60"/>
      <c r="J48" s="60"/>
      <c r="K48" s="60"/>
      <c r="L48" s="60"/>
      <c r="M48" s="1"/>
      <c r="N48" s="60"/>
      <c r="O48" s="60"/>
      <c r="P48" s="60"/>
      <c r="Q48" s="60"/>
      <c r="R48" s="60"/>
      <c r="S48" s="60"/>
      <c r="T48" s="1"/>
      <c r="U48" s="60"/>
      <c r="V48" s="60"/>
      <c r="W48" s="60"/>
      <c r="X48" s="60"/>
      <c r="Y48" s="60"/>
      <c r="Z48" s="60"/>
      <c r="AA48" s="1"/>
      <c r="AB48" s="60"/>
      <c r="AC48" s="60"/>
      <c r="AD48" s="60"/>
      <c r="AE48" s="60"/>
      <c r="AF48" s="60"/>
      <c r="AG48" s="60"/>
      <c r="AH48" s="1"/>
      <c r="AI48" s="60"/>
      <c r="AJ48" s="60"/>
      <c r="AK48" s="60"/>
      <c r="AL48" s="60"/>
      <c r="AM48" s="60"/>
      <c r="AN48" s="60"/>
      <c r="AO48" s="1"/>
      <c r="AP48" s="60"/>
      <c r="AQ48" s="60"/>
      <c r="AR48" s="60"/>
      <c r="AS48" s="60"/>
      <c r="AT48" s="60"/>
      <c r="AU48" s="60"/>
      <c r="AV48" s="1"/>
      <c r="AW48" s="60"/>
      <c r="AX48" s="60"/>
      <c r="AY48" s="60"/>
      <c r="AZ48" s="60"/>
      <c r="BA48" s="60"/>
      <c r="BB48" s="60"/>
      <c r="BC48" s="1"/>
      <c r="BD48" s="60"/>
      <c r="BE48" s="60"/>
      <c r="BF48" s="60"/>
      <c r="BG48" s="60"/>
      <c r="BH48" s="60"/>
      <c r="BI48" s="60"/>
      <c r="BJ48" s="1"/>
      <c r="BK48" s="60"/>
      <c r="BL48" s="60"/>
      <c r="BM48" s="60"/>
      <c r="BN48" s="60"/>
      <c r="BO48" s="60"/>
      <c r="BP48" s="60"/>
      <c r="BQ48" s="1"/>
      <c r="BR48" s="60"/>
      <c r="BS48" s="60"/>
      <c r="BT48" s="60"/>
      <c r="BU48" s="60"/>
      <c r="BV48" s="60"/>
      <c r="BW48" s="1"/>
    </row>
    <row r="49" spans="2:75" ht="15" customHeight="1" x14ac:dyDescent="0.25">
      <c r="B49" s="168" t="s">
        <v>712</v>
      </c>
      <c r="C49" s="152" t="s">
        <v>716</v>
      </c>
      <c r="D49" s="87" t="s">
        <v>714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8"/>
      <c r="AA49" s="52">
        <f t="shared" si="2"/>
        <v>0</v>
      </c>
      <c r="AB49" s="68"/>
      <c r="AC49" s="68"/>
      <c r="AD49" s="68"/>
      <c r="AE49" s="68"/>
      <c r="AF49" s="68"/>
      <c r="AG49" s="70"/>
      <c r="AH49" s="55">
        <f t="shared" si="3"/>
        <v>0</v>
      </c>
      <c r="AI49" s="70"/>
      <c r="AJ49" s="70"/>
      <c r="AK49" s="70"/>
      <c r="AL49" s="70"/>
      <c r="AM49" s="70"/>
      <c r="AN49" s="72"/>
      <c r="AO49" s="54">
        <f t="shared" si="4"/>
        <v>0</v>
      </c>
      <c r="AP49" s="72"/>
      <c r="AQ49" s="72"/>
      <c r="AR49" s="72"/>
      <c r="AS49" s="72"/>
      <c r="AT49" s="72"/>
      <c r="AU49" s="74"/>
      <c r="AV49" s="57">
        <f t="shared" si="8"/>
        <v>0</v>
      </c>
      <c r="AW49" s="74"/>
      <c r="AX49" s="74"/>
      <c r="AY49" s="74"/>
      <c r="AZ49" s="74"/>
      <c r="BA49" s="74"/>
      <c r="BB49" s="76"/>
      <c r="BC49" s="56">
        <f t="shared" si="5"/>
        <v>0</v>
      </c>
      <c r="BD49" s="76"/>
      <c r="BE49" s="76"/>
      <c r="BF49" s="76"/>
      <c r="BG49" s="76"/>
      <c r="BH49" s="76"/>
      <c r="BI49" s="78"/>
      <c r="BJ49" s="49">
        <f t="shared" si="6"/>
        <v>0</v>
      </c>
      <c r="BK49" s="78"/>
      <c r="BL49" s="78"/>
      <c r="BM49" s="78"/>
      <c r="BN49" s="78"/>
      <c r="BO49" s="78"/>
      <c r="BP49" s="80"/>
      <c r="BQ49" s="58">
        <f t="shared" si="7"/>
        <v>0</v>
      </c>
      <c r="BR49" s="80"/>
      <c r="BS49" s="80"/>
      <c r="BT49" s="80"/>
      <c r="BU49" s="80"/>
      <c r="BV49" s="80"/>
      <c r="BW49" s="1"/>
    </row>
    <row r="50" spans="2:75" ht="15" customHeight="1" x14ac:dyDescent="0.25">
      <c r="B50" s="169"/>
      <c r="C50" s="152"/>
      <c r="D50" s="87" t="s">
        <v>715</v>
      </c>
      <c r="E50" s="61"/>
      <c r="F50" s="50">
        <f t="shared" si="9"/>
        <v>0</v>
      </c>
      <c r="G50" s="61"/>
      <c r="H50" s="61"/>
      <c r="I50" s="61"/>
      <c r="J50" s="61"/>
      <c r="K50" s="61"/>
      <c r="L50" s="64"/>
      <c r="M50" s="51">
        <f t="shared" si="0"/>
        <v>0</v>
      </c>
      <c r="N50" s="64"/>
      <c r="O50" s="64"/>
      <c r="P50" s="64"/>
      <c r="Q50" s="64"/>
      <c r="R50" s="64"/>
      <c r="S50" s="66"/>
      <c r="T50" s="53">
        <f t="shared" si="1"/>
        <v>0</v>
      </c>
      <c r="U50" s="66"/>
      <c r="V50" s="66"/>
      <c r="W50" s="66"/>
      <c r="X50" s="66"/>
      <c r="Y50" s="66"/>
      <c r="Z50" s="68"/>
      <c r="AA50" s="52">
        <f t="shared" si="2"/>
        <v>0</v>
      </c>
      <c r="AB50" s="68"/>
      <c r="AC50" s="68"/>
      <c r="AD50" s="68"/>
      <c r="AE50" s="68"/>
      <c r="AF50" s="68"/>
      <c r="AG50" s="70"/>
      <c r="AH50" s="55">
        <f t="shared" si="3"/>
        <v>0</v>
      </c>
      <c r="AI50" s="70"/>
      <c r="AJ50" s="70"/>
      <c r="AK50" s="70"/>
      <c r="AL50" s="70"/>
      <c r="AM50" s="70"/>
      <c r="AN50" s="72"/>
      <c r="AO50" s="54">
        <f t="shared" si="4"/>
        <v>0</v>
      </c>
      <c r="AP50" s="72"/>
      <c r="AQ50" s="72"/>
      <c r="AR50" s="72"/>
      <c r="AS50" s="72"/>
      <c r="AT50" s="72"/>
      <c r="AU50" s="74"/>
      <c r="AV50" s="57">
        <f t="shared" si="8"/>
        <v>0</v>
      </c>
      <c r="AW50" s="74"/>
      <c r="AX50" s="74"/>
      <c r="AY50" s="74"/>
      <c r="AZ50" s="74"/>
      <c r="BA50" s="74"/>
      <c r="BB50" s="76"/>
      <c r="BC50" s="56">
        <f t="shared" si="5"/>
        <v>0</v>
      </c>
      <c r="BD50" s="76"/>
      <c r="BE50" s="76"/>
      <c r="BF50" s="76"/>
      <c r="BG50" s="76"/>
      <c r="BH50" s="76"/>
      <c r="BI50" s="78"/>
      <c r="BJ50" s="49">
        <f t="shared" si="6"/>
        <v>0</v>
      </c>
      <c r="BK50" s="78"/>
      <c r="BL50" s="78"/>
      <c r="BM50" s="78"/>
      <c r="BN50" s="78"/>
      <c r="BO50" s="78"/>
      <c r="BP50" s="80"/>
      <c r="BQ50" s="58">
        <f t="shared" si="7"/>
        <v>0</v>
      </c>
      <c r="BR50" s="80"/>
      <c r="BS50" s="80"/>
      <c r="BT50" s="80"/>
      <c r="BU50" s="80"/>
      <c r="BV50" s="80"/>
      <c r="BW50" s="1"/>
    </row>
    <row r="51" spans="2:75" ht="15" customHeight="1" x14ac:dyDescent="0.25">
      <c r="B51" s="169"/>
      <c r="C51" s="152"/>
      <c r="D51" s="87" t="s">
        <v>71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8"/>
      <c r="AA51" s="52">
        <f t="shared" si="2"/>
        <v>0</v>
      </c>
      <c r="AB51" s="68"/>
      <c r="AC51" s="68"/>
      <c r="AD51" s="68"/>
      <c r="AE51" s="68"/>
      <c r="AF51" s="68"/>
      <c r="AG51" s="70"/>
      <c r="AH51" s="55">
        <f t="shared" si="3"/>
        <v>0</v>
      </c>
      <c r="AI51" s="70"/>
      <c r="AJ51" s="70"/>
      <c r="AK51" s="70"/>
      <c r="AL51" s="70"/>
      <c r="AM51" s="70"/>
      <c r="AN51" s="72"/>
      <c r="AO51" s="54">
        <f t="shared" si="4"/>
        <v>0</v>
      </c>
      <c r="AP51" s="72"/>
      <c r="AQ51" s="72"/>
      <c r="AR51" s="72"/>
      <c r="AS51" s="72"/>
      <c r="AT51" s="72"/>
      <c r="AU51" s="74"/>
      <c r="AV51" s="57">
        <f t="shared" si="8"/>
        <v>0</v>
      </c>
      <c r="AW51" s="74"/>
      <c r="AX51" s="74"/>
      <c r="AY51" s="74"/>
      <c r="AZ51" s="74"/>
      <c r="BA51" s="74"/>
      <c r="BB51" s="76"/>
      <c r="BC51" s="56">
        <f t="shared" si="5"/>
        <v>0</v>
      </c>
      <c r="BD51" s="76"/>
      <c r="BE51" s="76"/>
      <c r="BF51" s="76"/>
      <c r="BG51" s="76"/>
      <c r="BH51" s="76"/>
      <c r="BI51" s="78"/>
      <c r="BJ51" s="49">
        <f t="shared" si="6"/>
        <v>0</v>
      </c>
      <c r="BK51" s="78"/>
      <c r="BL51" s="78"/>
      <c r="BM51" s="78"/>
      <c r="BN51" s="78"/>
      <c r="BO51" s="78"/>
      <c r="BP51" s="80"/>
      <c r="BQ51" s="58">
        <f t="shared" si="7"/>
        <v>0</v>
      </c>
      <c r="BR51" s="80"/>
      <c r="BS51" s="80"/>
      <c r="BT51" s="80"/>
      <c r="BU51" s="80"/>
      <c r="BV51" s="80"/>
      <c r="BW51" s="1"/>
    </row>
    <row r="52" spans="2:75" ht="15" customHeight="1" x14ac:dyDescent="0.25">
      <c r="B52" s="169"/>
      <c r="C52" s="152"/>
      <c r="D52" s="87" t="s">
        <v>705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8"/>
      <c r="AA52" s="52">
        <f t="shared" si="2"/>
        <v>0</v>
      </c>
      <c r="AB52" s="68"/>
      <c r="AC52" s="68"/>
      <c r="AD52" s="68"/>
      <c r="AE52" s="68"/>
      <c r="AF52" s="68"/>
      <c r="AG52" s="70"/>
      <c r="AH52" s="55">
        <f t="shared" si="3"/>
        <v>0</v>
      </c>
      <c r="AI52" s="70"/>
      <c r="AJ52" s="70"/>
      <c r="AK52" s="70"/>
      <c r="AL52" s="70"/>
      <c r="AM52" s="70"/>
      <c r="AN52" s="72"/>
      <c r="AO52" s="54">
        <f t="shared" si="4"/>
        <v>0</v>
      </c>
      <c r="AP52" s="72"/>
      <c r="AQ52" s="72"/>
      <c r="AR52" s="72"/>
      <c r="AS52" s="72"/>
      <c r="AT52" s="72"/>
      <c r="AU52" s="74"/>
      <c r="AV52" s="57">
        <f t="shared" si="8"/>
        <v>0</v>
      </c>
      <c r="AW52" s="74"/>
      <c r="AX52" s="74"/>
      <c r="AY52" s="74"/>
      <c r="AZ52" s="74"/>
      <c r="BA52" s="74"/>
      <c r="BB52" s="76"/>
      <c r="BC52" s="56">
        <f t="shared" si="5"/>
        <v>0</v>
      </c>
      <c r="BD52" s="76"/>
      <c r="BE52" s="76"/>
      <c r="BF52" s="76"/>
      <c r="BG52" s="76"/>
      <c r="BH52" s="76"/>
      <c r="BI52" s="78"/>
      <c r="BJ52" s="49">
        <f t="shared" si="6"/>
        <v>0</v>
      </c>
      <c r="BK52" s="78"/>
      <c r="BL52" s="78"/>
      <c r="BM52" s="78"/>
      <c r="BN52" s="78"/>
      <c r="BO52" s="78"/>
      <c r="BP52" s="80"/>
      <c r="BQ52" s="58">
        <f t="shared" si="7"/>
        <v>0</v>
      </c>
      <c r="BR52" s="80"/>
      <c r="BS52" s="80"/>
      <c r="BT52" s="80"/>
      <c r="BU52" s="80"/>
      <c r="BV52" s="80"/>
      <c r="BW52" s="1"/>
    </row>
    <row r="53" spans="2:75" ht="15" customHeight="1" x14ac:dyDescent="0.25">
      <c r="B53" s="169"/>
      <c r="C53" s="152" t="s">
        <v>13</v>
      </c>
      <c r="D53" s="87" t="s">
        <v>206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8"/>
      <c r="AA53" s="52">
        <f t="shared" si="2"/>
        <v>0</v>
      </c>
      <c r="AB53" s="68"/>
      <c r="AC53" s="68"/>
      <c r="AD53" s="68"/>
      <c r="AE53" s="68"/>
      <c r="AF53" s="68"/>
      <c r="AG53" s="70"/>
      <c r="AH53" s="55">
        <f t="shared" si="3"/>
        <v>0</v>
      </c>
      <c r="AI53" s="70"/>
      <c r="AJ53" s="70"/>
      <c r="AK53" s="70"/>
      <c r="AL53" s="70"/>
      <c r="AM53" s="70"/>
      <c r="AN53" s="72"/>
      <c r="AO53" s="54">
        <f t="shared" si="4"/>
        <v>0</v>
      </c>
      <c r="AP53" s="72"/>
      <c r="AQ53" s="72"/>
      <c r="AR53" s="72"/>
      <c r="AS53" s="72"/>
      <c r="AT53" s="72"/>
      <c r="AU53" s="74"/>
      <c r="AV53" s="57">
        <f t="shared" si="8"/>
        <v>0</v>
      </c>
      <c r="AW53" s="74"/>
      <c r="AX53" s="74"/>
      <c r="AY53" s="74"/>
      <c r="AZ53" s="74"/>
      <c r="BA53" s="74"/>
      <c r="BB53" s="76"/>
      <c r="BC53" s="56">
        <f t="shared" si="5"/>
        <v>0</v>
      </c>
      <c r="BD53" s="76"/>
      <c r="BE53" s="76"/>
      <c r="BF53" s="76"/>
      <c r="BG53" s="76"/>
      <c r="BH53" s="76"/>
      <c r="BI53" s="78"/>
      <c r="BJ53" s="49">
        <f t="shared" si="6"/>
        <v>0</v>
      </c>
      <c r="BK53" s="78"/>
      <c r="BL53" s="78"/>
      <c r="BM53" s="78"/>
      <c r="BN53" s="78"/>
      <c r="BO53" s="78"/>
      <c r="BP53" s="80"/>
      <c r="BQ53" s="58">
        <f t="shared" si="7"/>
        <v>0</v>
      </c>
      <c r="BR53" s="80"/>
      <c r="BS53" s="80"/>
      <c r="BT53" s="80"/>
      <c r="BU53" s="80"/>
      <c r="BV53" s="80"/>
      <c r="BW53" s="1"/>
    </row>
    <row r="54" spans="2:75" ht="15" customHeight="1" x14ac:dyDescent="0.25">
      <c r="B54" s="169"/>
      <c r="C54" s="152"/>
      <c r="D54" s="87" t="s">
        <v>610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8"/>
      <c r="AA54" s="52">
        <f t="shared" si="2"/>
        <v>0</v>
      </c>
      <c r="AB54" s="68"/>
      <c r="AC54" s="68"/>
      <c r="AD54" s="68"/>
      <c r="AE54" s="68"/>
      <c r="AF54" s="68"/>
      <c r="AG54" s="70"/>
      <c r="AH54" s="55">
        <f t="shared" si="3"/>
        <v>0</v>
      </c>
      <c r="AI54" s="70"/>
      <c r="AJ54" s="70"/>
      <c r="AK54" s="70"/>
      <c r="AL54" s="70"/>
      <c r="AM54" s="70"/>
      <c r="AN54" s="72"/>
      <c r="AO54" s="54">
        <f t="shared" si="4"/>
        <v>0</v>
      </c>
      <c r="AP54" s="72"/>
      <c r="AQ54" s="72"/>
      <c r="AR54" s="72"/>
      <c r="AS54" s="72"/>
      <c r="AT54" s="72"/>
      <c r="AU54" s="74"/>
      <c r="AV54" s="57">
        <f t="shared" si="8"/>
        <v>0</v>
      </c>
      <c r="AW54" s="74"/>
      <c r="AX54" s="74"/>
      <c r="AY54" s="74"/>
      <c r="AZ54" s="74"/>
      <c r="BA54" s="74"/>
      <c r="BB54" s="76"/>
      <c r="BC54" s="56">
        <f t="shared" si="5"/>
        <v>0</v>
      </c>
      <c r="BD54" s="76"/>
      <c r="BE54" s="76"/>
      <c r="BF54" s="76"/>
      <c r="BG54" s="76"/>
      <c r="BH54" s="76"/>
      <c r="BI54" s="78"/>
      <c r="BJ54" s="49">
        <f t="shared" si="6"/>
        <v>0</v>
      </c>
      <c r="BK54" s="78"/>
      <c r="BL54" s="78"/>
      <c r="BM54" s="78"/>
      <c r="BN54" s="78"/>
      <c r="BO54" s="78"/>
      <c r="BP54" s="80"/>
      <c r="BQ54" s="58">
        <f t="shared" si="7"/>
        <v>0</v>
      </c>
      <c r="BR54" s="80"/>
      <c r="BS54" s="80"/>
      <c r="BT54" s="80"/>
      <c r="BU54" s="80"/>
      <c r="BV54" s="80"/>
      <c r="BW54" s="1"/>
    </row>
    <row r="55" spans="2:75" ht="15" customHeight="1" x14ac:dyDescent="0.25">
      <c r="B55" s="169"/>
      <c r="C55" s="152"/>
      <c r="D55" s="87" t="s">
        <v>705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8"/>
      <c r="AA55" s="52">
        <f t="shared" si="2"/>
        <v>0</v>
      </c>
      <c r="AB55" s="68"/>
      <c r="AC55" s="68"/>
      <c r="AD55" s="68"/>
      <c r="AE55" s="68"/>
      <c r="AF55" s="68"/>
      <c r="AG55" s="70"/>
      <c r="AH55" s="55">
        <f t="shared" si="3"/>
        <v>0</v>
      </c>
      <c r="AI55" s="70"/>
      <c r="AJ55" s="70"/>
      <c r="AK55" s="70"/>
      <c r="AL55" s="70"/>
      <c r="AM55" s="70"/>
      <c r="AN55" s="72"/>
      <c r="AO55" s="54">
        <f t="shared" si="4"/>
        <v>0</v>
      </c>
      <c r="AP55" s="72"/>
      <c r="AQ55" s="72"/>
      <c r="AR55" s="72"/>
      <c r="AS55" s="72"/>
      <c r="AT55" s="72"/>
      <c r="AU55" s="74"/>
      <c r="AV55" s="57">
        <f t="shared" si="8"/>
        <v>0</v>
      </c>
      <c r="AW55" s="74"/>
      <c r="AX55" s="74"/>
      <c r="AY55" s="74"/>
      <c r="AZ55" s="74"/>
      <c r="BA55" s="74"/>
      <c r="BB55" s="76"/>
      <c r="BC55" s="56">
        <f t="shared" si="5"/>
        <v>0</v>
      </c>
      <c r="BD55" s="76"/>
      <c r="BE55" s="76"/>
      <c r="BF55" s="76"/>
      <c r="BG55" s="76"/>
      <c r="BH55" s="76"/>
      <c r="BI55" s="78"/>
      <c r="BJ55" s="49">
        <f t="shared" si="6"/>
        <v>0</v>
      </c>
      <c r="BK55" s="78"/>
      <c r="BL55" s="78"/>
      <c r="BM55" s="78"/>
      <c r="BN55" s="78"/>
      <c r="BO55" s="78"/>
      <c r="BP55" s="80"/>
      <c r="BQ55" s="58">
        <f t="shared" si="7"/>
        <v>0</v>
      </c>
      <c r="BR55" s="80"/>
      <c r="BS55" s="80"/>
      <c r="BT55" s="80"/>
      <c r="BU55" s="80"/>
      <c r="BV55" s="80"/>
      <c r="BW55" s="1"/>
    </row>
    <row r="56" spans="2:75" ht="15" customHeight="1" x14ac:dyDescent="0.25">
      <c r="B56" s="169"/>
      <c r="C56" s="152" t="s">
        <v>717</v>
      </c>
      <c r="D56" s="87" t="s">
        <v>718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8"/>
      <c r="AA56" s="52">
        <f t="shared" si="2"/>
        <v>0</v>
      </c>
      <c r="AB56" s="68"/>
      <c r="AC56" s="68"/>
      <c r="AD56" s="68"/>
      <c r="AE56" s="68"/>
      <c r="AF56" s="68"/>
      <c r="AG56" s="70"/>
      <c r="AH56" s="55">
        <f t="shared" si="3"/>
        <v>0</v>
      </c>
      <c r="AI56" s="70"/>
      <c r="AJ56" s="70"/>
      <c r="AK56" s="70"/>
      <c r="AL56" s="70"/>
      <c r="AM56" s="70"/>
      <c r="AN56" s="72"/>
      <c r="AO56" s="54">
        <f t="shared" si="4"/>
        <v>0</v>
      </c>
      <c r="AP56" s="72"/>
      <c r="AQ56" s="72"/>
      <c r="AR56" s="72"/>
      <c r="AS56" s="72"/>
      <c r="AT56" s="72"/>
      <c r="AU56" s="74"/>
      <c r="AV56" s="57">
        <f t="shared" si="8"/>
        <v>0</v>
      </c>
      <c r="AW56" s="74"/>
      <c r="AX56" s="74"/>
      <c r="AY56" s="74"/>
      <c r="AZ56" s="74"/>
      <c r="BA56" s="74"/>
      <c r="BB56" s="76"/>
      <c r="BC56" s="56">
        <f t="shared" si="5"/>
        <v>0</v>
      </c>
      <c r="BD56" s="76"/>
      <c r="BE56" s="76"/>
      <c r="BF56" s="76"/>
      <c r="BG56" s="76"/>
      <c r="BH56" s="76"/>
      <c r="BI56" s="78"/>
      <c r="BJ56" s="49">
        <f t="shared" si="6"/>
        <v>0</v>
      </c>
      <c r="BK56" s="78"/>
      <c r="BL56" s="78"/>
      <c r="BM56" s="78"/>
      <c r="BN56" s="78"/>
      <c r="BO56" s="78"/>
      <c r="BP56" s="80"/>
      <c r="BQ56" s="58">
        <f t="shared" si="7"/>
        <v>0</v>
      </c>
      <c r="BR56" s="80"/>
      <c r="BS56" s="80"/>
      <c r="BT56" s="80"/>
      <c r="BU56" s="80"/>
      <c r="BV56" s="80"/>
      <c r="BW56" s="1"/>
    </row>
    <row r="57" spans="2:75" ht="15" customHeight="1" x14ac:dyDescent="0.25">
      <c r="B57" s="169"/>
      <c r="C57" s="152"/>
      <c r="D57" s="87" t="s">
        <v>719</v>
      </c>
      <c r="E57" s="61"/>
      <c r="F57" s="50"/>
      <c r="G57" s="61"/>
      <c r="H57" s="61"/>
      <c r="I57" s="61"/>
      <c r="J57" s="61"/>
      <c r="K57" s="61"/>
      <c r="L57" s="64"/>
      <c r="M57" s="51"/>
      <c r="N57" s="64"/>
      <c r="O57" s="64"/>
      <c r="P57" s="64"/>
      <c r="Q57" s="64"/>
      <c r="R57" s="64"/>
      <c r="S57" s="66"/>
      <c r="T57" s="53"/>
      <c r="U57" s="66"/>
      <c r="V57" s="66"/>
      <c r="W57" s="66"/>
      <c r="X57" s="66"/>
      <c r="Y57" s="66"/>
      <c r="Z57" s="68"/>
      <c r="AA57" s="52"/>
      <c r="AB57" s="68"/>
      <c r="AC57" s="68"/>
      <c r="AD57" s="68"/>
      <c r="AE57" s="68"/>
      <c r="AF57" s="68"/>
      <c r="AG57" s="70"/>
      <c r="AH57" s="55"/>
      <c r="AI57" s="70"/>
      <c r="AJ57" s="70"/>
      <c r="AK57" s="70"/>
      <c r="AL57" s="70"/>
      <c r="AM57" s="70"/>
      <c r="AN57" s="72"/>
      <c r="AO57" s="54"/>
      <c r="AP57" s="72"/>
      <c r="AQ57" s="72"/>
      <c r="AR57" s="72"/>
      <c r="AS57" s="72"/>
      <c r="AT57" s="72"/>
      <c r="AU57" s="74"/>
      <c r="AV57" s="57"/>
      <c r="AW57" s="74"/>
      <c r="AX57" s="74"/>
      <c r="AY57" s="74"/>
      <c r="AZ57" s="74"/>
      <c r="BA57" s="74"/>
      <c r="BB57" s="76"/>
      <c r="BC57" s="56"/>
      <c r="BD57" s="76"/>
      <c r="BE57" s="76"/>
      <c r="BF57" s="76"/>
      <c r="BG57" s="76"/>
      <c r="BH57" s="76"/>
      <c r="BI57" s="78"/>
      <c r="BJ57" s="49"/>
      <c r="BK57" s="78"/>
      <c r="BL57" s="78"/>
      <c r="BM57" s="78"/>
      <c r="BN57" s="78"/>
      <c r="BO57" s="78"/>
      <c r="BP57" s="80"/>
      <c r="BQ57" s="58"/>
      <c r="BR57" s="80"/>
      <c r="BS57" s="80"/>
      <c r="BT57" s="80"/>
      <c r="BU57" s="80"/>
      <c r="BV57" s="80"/>
      <c r="BW57" s="1"/>
    </row>
    <row r="58" spans="2:75" ht="15" customHeight="1" x14ac:dyDescent="0.25">
      <c r="B58" s="169"/>
      <c r="C58" s="152"/>
      <c r="D58" s="87" t="s">
        <v>705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8"/>
      <c r="AA58" s="52">
        <f t="shared" si="2"/>
        <v>0</v>
      </c>
      <c r="AB58" s="68"/>
      <c r="AC58" s="68"/>
      <c r="AD58" s="68"/>
      <c r="AE58" s="68"/>
      <c r="AF58" s="68"/>
      <c r="AG58" s="70"/>
      <c r="AH58" s="55">
        <f t="shared" si="3"/>
        <v>0</v>
      </c>
      <c r="AI58" s="70"/>
      <c r="AJ58" s="70"/>
      <c r="AK58" s="70"/>
      <c r="AL58" s="70"/>
      <c r="AM58" s="70"/>
      <c r="AN58" s="72"/>
      <c r="AO58" s="54">
        <f t="shared" si="4"/>
        <v>0</v>
      </c>
      <c r="AP58" s="72"/>
      <c r="AQ58" s="72"/>
      <c r="AR58" s="72"/>
      <c r="AS58" s="72"/>
      <c r="AT58" s="72"/>
      <c r="AU58" s="74"/>
      <c r="AV58" s="57">
        <f t="shared" si="8"/>
        <v>0</v>
      </c>
      <c r="AW58" s="74"/>
      <c r="AX58" s="74"/>
      <c r="AY58" s="74"/>
      <c r="AZ58" s="74"/>
      <c r="BA58" s="74"/>
      <c r="BB58" s="76"/>
      <c r="BC58" s="56">
        <f t="shared" si="5"/>
        <v>0</v>
      </c>
      <c r="BD58" s="76"/>
      <c r="BE58" s="76"/>
      <c r="BF58" s="76"/>
      <c r="BG58" s="76"/>
      <c r="BH58" s="76"/>
      <c r="BI58" s="78"/>
      <c r="BJ58" s="49">
        <f t="shared" si="6"/>
        <v>0</v>
      </c>
      <c r="BK58" s="78"/>
      <c r="BL58" s="78"/>
      <c r="BM58" s="78"/>
      <c r="BN58" s="78"/>
      <c r="BO58" s="78"/>
      <c r="BP58" s="80"/>
      <c r="BQ58" s="58">
        <f t="shared" si="7"/>
        <v>0</v>
      </c>
      <c r="BR58" s="80"/>
      <c r="BS58" s="80"/>
      <c r="BT58" s="80"/>
      <c r="BU58" s="80"/>
      <c r="BV58" s="80"/>
      <c r="BW58" s="1"/>
    </row>
    <row r="59" spans="2:75" ht="15" customHeight="1" x14ac:dyDescent="0.25">
      <c r="B59" s="169"/>
      <c r="C59" s="167" t="s">
        <v>8</v>
      </c>
      <c r="D59" s="87" t="s">
        <v>709</v>
      </c>
      <c r="E59" s="61"/>
      <c r="F59" s="50">
        <f t="shared" si="9"/>
        <v>0</v>
      </c>
      <c r="G59" s="61"/>
      <c r="H59" s="61"/>
      <c r="I59" s="61"/>
      <c r="J59" s="61"/>
      <c r="K59" s="61"/>
      <c r="L59" s="64"/>
      <c r="M59" s="51">
        <f t="shared" si="0"/>
        <v>0</v>
      </c>
      <c r="N59" s="64"/>
      <c r="O59" s="64"/>
      <c r="P59" s="64"/>
      <c r="Q59" s="64"/>
      <c r="R59" s="64"/>
      <c r="S59" s="66"/>
      <c r="T59" s="53">
        <f t="shared" si="1"/>
        <v>0</v>
      </c>
      <c r="U59" s="66"/>
      <c r="V59" s="66"/>
      <c r="W59" s="66"/>
      <c r="X59" s="66"/>
      <c r="Y59" s="66"/>
      <c r="Z59" s="68"/>
      <c r="AA59" s="52">
        <f t="shared" si="2"/>
        <v>0</v>
      </c>
      <c r="AB59" s="68"/>
      <c r="AC59" s="68"/>
      <c r="AD59" s="68"/>
      <c r="AE59" s="68"/>
      <c r="AF59" s="68"/>
      <c r="AG59" s="70"/>
      <c r="AH59" s="55">
        <f t="shared" si="3"/>
        <v>0</v>
      </c>
      <c r="AI59" s="70"/>
      <c r="AJ59" s="70"/>
      <c r="AK59" s="70"/>
      <c r="AL59" s="70"/>
      <c r="AM59" s="70"/>
      <c r="AN59" s="72"/>
      <c r="AO59" s="54">
        <f t="shared" si="4"/>
        <v>0</v>
      </c>
      <c r="AP59" s="72"/>
      <c r="AQ59" s="72"/>
      <c r="AR59" s="72"/>
      <c r="AS59" s="72"/>
      <c r="AT59" s="72"/>
      <c r="AU59" s="74"/>
      <c r="AV59" s="57">
        <f t="shared" si="8"/>
        <v>0</v>
      </c>
      <c r="AW59" s="74"/>
      <c r="AX59" s="74"/>
      <c r="AY59" s="74"/>
      <c r="AZ59" s="74"/>
      <c r="BA59" s="74"/>
      <c r="BB59" s="76"/>
      <c r="BC59" s="56">
        <f t="shared" si="5"/>
        <v>0</v>
      </c>
      <c r="BD59" s="76"/>
      <c r="BE59" s="76"/>
      <c r="BF59" s="76"/>
      <c r="BG59" s="76"/>
      <c r="BH59" s="76"/>
      <c r="BI59" s="78"/>
      <c r="BJ59" s="49">
        <f t="shared" si="6"/>
        <v>0</v>
      </c>
      <c r="BK59" s="78"/>
      <c r="BL59" s="78"/>
      <c r="BM59" s="78"/>
      <c r="BN59" s="78"/>
      <c r="BO59" s="78"/>
      <c r="BP59" s="80"/>
      <c r="BQ59" s="58">
        <f t="shared" si="7"/>
        <v>0</v>
      </c>
      <c r="BR59" s="80"/>
      <c r="BS59" s="80"/>
      <c r="BT59" s="80"/>
      <c r="BU59" s="80"/>
      <c r="BV59" s="80"/>
      <c r="BW59" s="1"/>
    </row>
    <row r="60" spans="2:75" ht="15" customHeight="1" x14ac:dyDescent="0.25">
      <c r="B60" s="169"/>
      <c r="C60" s="167"/>
      <c r="D60" s="87" t="s">
        <v>710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8"/>
      <c r="AA60" s="52">
        <f t="shared" si="2"/>
        <v>0</v>
      </c>
      <c r="AB60" s="68"/>
      <c r="AC60" s="68"/>
      <c r="AD60" s="68"/>
      <c r="AE60" s="68"/>
      <c r="AF60" s="68"/>
      <c r="AG60" s="70"/>
      <c r="AH60" s="55">
        <f t="shared" si="3"/>
        <v>0</v>
      </c>
      <c r="AI60" s="70"/>
      <c r="AJ60" s="70"/>
      <c r="AK60" s="70"/>
      <c r="AL60" s="70"/>
      <c r="AM60" s="70"/>
      <c r="AN60" s="72"/>
      <c r="AO60" s="54">
        <f t="shared" si="4"/>
        <v>0</v>
      </c>
      <c r="AP60" s="72"/>
      <c r="AQ60" s="72"/>
      <c r="AR60" s="72"/>
      <c r="AS60" s="72"/>
      <c r="AT60" s="72"/>
      <c r="AU60" s="74"/>
      <c r="AV60" s="57">
        <f t="shared" si="8"/>
        <v>0</v>
      </c>
      <c r="AW60" s="74"/>
      <c r="AX60" s="74"/>
      <c r="AY60" s="74"/>
      <c r="AZ60" s="74"/>
      <c r="BA60" s="74"/>
      <c r="BB60" s="76"/>
      <c r="BC60" s="56">
        <f t="shared" si="5"/>
        <v>0</v>
      </c>
      <c r="BD60" s="76"/>
      <c r="BE60" s="76"/>
      <c r="BF60" s="76"/>
      <c r="BG60" s="76"/>
      <c r="BH60" s="76"/>
      <c r="BI60" s="78"/>
      <c r="BJ60" s="49">
        <f t="shared" si="6"/>
        <v>0</v>
      </c>
      <c r="BK60" s="78"/>
      <c r="BL60" s="78"/>
      <c r="BM60" s="78"/>
      <c r="BN60" s="78"/>
      <c r="BO60" s="78"/>
      <c r="BP60" s="80"/>
      <c r="BQ60" s="58">
        <f t="shared" si="7"/>
        <v>0</v>
      </c>
      <c r="BR60" s="80"/>
      <c r="BS60" s="80"/>
      <c r="BT60" s="80"/>
      <c r="BU60" s="80"/>
      <c r="BV60" s="80"/>
      <c r="BW60" s="1"/>
    </row>
    <row r="61" spans="2:75" ht="15" customHeight="1" x14ac:dyDescent="0.25">
      <c r="B61" s="169"/>
      <c r="C61" s="167"/>
      <c r="D61" s="87" t="s">
        <v>711</v>
      </c>
      <c r="E61" s="61"/>
      <c r="F61" s="50"/>
      <c r="G61" s="61"/>
      <c r="H61" s="61"/>
      <c r="I61" s="61"/>
      <c r="J61" s="61"/>
      <c r="K61" s="61"/>
      <c r="L61" s="64"/>
      <c r="M61" s="51"/>
      <c r="N61" s="64"/>
      <c r="O61" s="64"/>
      <c r="P61" s="64"/>
      <c r="Q61" s="64"/>
      <c r="R61" s="64"/>
      <c r="S61" s="66"/>
      <c r="T61" s="53"/>
      <c r="U61" s="66"/>
      <c r="V61" s="66"/>
      <c r="W61" s="66"/>
      <c r="X61" s="66"/>
      <c r="Y61" s="66"/>
      <c r="Z61" s="68"/>
      <c r="AA61" s="52"/>
      <c r="AB61" s="68"/>
      <c r="AC61" s="68"/>
      <c r="AD61" s="68"/>
      <c r="AE61" s="68"/>
      <c r="AF61" s="68"/>
      <c r="AG61" s="70"/>
      <c r="AH61" s="55"/>
      <c r="AI61" s="70"/>
      <c r="AJ61" s="70"/>
      <c r="AK61" s="70"/>
      <c r="AL61" s="70"/>
      <c r="AM61" s="70"/>
      <c r="AN61" s="72"/>
      <c r="AO61" s="54"/>
      <c r="AP61" s="72"/>
      <c r="AQ61" s="72"/>
      <c r="AR61" s="72"/>
      <c r="AS61" s="72"/>
      <c r="AT61" s="72"/>
      <c r="AU61" s="74"/>
      <c r="AV61" s="57"/>
      <c r="AW61" s="74"/>
      <c r="AX61" s="74"/>
      <c r="AY61" s="74"/>
      <c r="AZ61" s="74"/>
      <c r="BA61" s="74"/>
      <c r="BB61" s="76"/>
      <c r="BC61" s="56"/>
      <c r="BD61" s="76"/>
      <c r="BE61" s="76"/>
      <c r="BF61" s="76"/>
      <c r="BG61" s="76"/>
      <c r="BH61" s="76"/>
      <c r="BI61" s="78"/>
      <c r="BJ61" s="49"/>
      <c r="BK61" s="78"/>
      <c r="BL61" s="78"/>
      <c r="BM61" s="78"/>
      <c r="BN61" s="78"/>
      <c r="BO61" s="78"/>
      <c r="BP61" s="80"/>
      <c r="BQ61" s="58"/>
      <c r="BR61" s="80"/>
      <c r="BS61" s="80"/>
      <c r="BT61" s="80"/>
      <c r="BU61" s="80"/>
      <c r="BV61" s="80"/>
      <c r="BW61" s="1"/>
    </row>
    <row r="62" spans="2:75" ht="15" customHeight="1" x14ac:dyDescent="0.25">
      <c r="B62" s="170"/>
      <c r="C62" s="167"/>
      <c r="D62" s="87" t="s">
        <v>705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8"/>
      <c r="AA62" s="52">
        <f t="shared" si="2"/>
        <v>0</v>
      </c>
      <c r="AB62" s="68"/>
      <c r="AC62" s="68"/>
      <c r="AD62" s="68"/>
      <c r="AE62" s="68"/>
      <c r="AF62" s="68"/>
      <c r="AG62" s="70"/>
      <c r="AH62" s="55">
        <f t="shared" si="3"/>
        <v>0</v>
      </c>
      <c r="AI62" s="70"/>
      <c r="AJ62" s="70"/>
      <c r="AK62" s="70"/>
      <c r="AL62" s="70"/>
      <c r="AM62" s="70"/>
      <c r="AN62" s="72"/>
      <c r="AO62" s="54">
        <f t="shared" si="4"/>
        <v>0</v>
      </c>
      <c r="AP62" s="72"/>
      <c r="AQ62" s="72"/>
      <c r="AR62" s="72"/>
      <c r="AS62" s="72"/>
      <c r="AT62" s="72"/>
      <c r="AU62" s="74"/>
      <c r="AV62" s="57">
        <f t="shared" si="8"/>
        <v>0</v>
      </c>
      <c r="AW62" s="74"/>
      <c r="AX62" s="74"/>
      <c r="AY62" s="74"/>
      <c r="AZ62" s="74"/>
      <c r="BA62" s="74"/>
      <c r="BB62" s="76"/>
      <c r="BC62" s="56">
        <f t="shared" si="5"/>
        <v>0</v>
      </c>
      <c r="BD62" s="76"/>
      <c r="BE62" s="76"/>
      <c r="BF62" s="76"/>
      <c r="BG62" s="76"/>
      <c r="BH62" s="76"/>
      <c r="BI62" s="78"/>
      <c r="BJ62" s="49">
        <f t="shared" si="6"/>
        <v>0</v>
      </c>
      <c r="BK62" s="78"/>
      <c r="BL62" s="78"/>
      <c r="BM62" s="78"/>
      <c r="BN62" s="78"/>
      <c r="BO62" s="78"/>
      <c r="BP62" s="80"/>
      <c r="BQ62" s="58">
        <f t="shared" si="7"/>
        <v>0</v>
      </c>
      <c r="BR62" s="80"/>
      <c r="BS62" s="80"/>
      <c r="BT62" s="80"/>
      <c r="BU62" s="80"/>
      <c r="BV62" s="80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C49:C52"/>
    <mergeCell ref="C53:C55"/>
    <mergeCell ref="C56:C58"/>
    <mergeCell ref="C59:C62"/>
    <mergeCell ref="B49:B62"/>
    <mergeCell ref="C2:D2"/>
    <mergeCell ref="B5:D5"/>
    <mergeCell ref="B3:D4"/>
    <mergeCell ref="C34:C37"/>
    <mergeCell ref="C38:C43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90" r:id="rId4" name="CardapioWeek1Prato1">
          <controlPr defaultSize="0" autoLine="0" autoPict="0" r:id="rId5">
            <anchor moveWithCells="1">
              <from>
                <xdr:col>4</xdr:col>
                <xdr:colOff>0</xdr:colOff>
                <xdr:row>5</xdr:row>
                <xdr:rowOff>171450</xdr:rowOff>
              </from>
              <to>
                <xdr:col>5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1290" r:id="rId4" name="CardapioWeek1Prato1"/>
      </mc:Fallback>
    </mc:AlternateContent>
    <mc:AlternateContent xmlns:mc="http://schemas.openxmlformats.org/markup-compatibility/2006">
      <mc:Choice Requires="x14">
        <control shapeId="11288" r:id="rId6" name="btnGerarPDF">
          <controlPr defaultSize="0" autoLine="0" autoPict="0" r:id="rId7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6" name="btnGerarPDF"/>
      </mc:Fallback>
    </mc:AlternateContent>
    <mc:AlternateContent xmlns:mc="http://schemas.openxmlformats.org/markup-compatibility/2006">
      <mc:Choice Requires="x14">
        <control shapeId="11265" r:id="rId8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9" name="Button 25">
          <controlPr defaultSize="0" print="0" autoFill="0" autoPict="0" macro="[0]!GerarPDF">
            <anchor moveWithCells="1" sizeWithCells="1">
              <from>
                <xdr:col>2</xdr:col>
                <xdr:colOff>638175</xdr:colOff>
                <xdr:row>4</xdr:row>
                <xdr:rowOff>57150</xdr:rowOff>
              </from>
              <to>
                <xdr:col>3</xdr:col>
                <xdr:colOff>904875</xdr:colOff>
                <xdr:row>5</xdr:row>
                <xdr:rowOff>85725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B3" sqref="B3:W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82" t="s">
        <v>730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</row>
    <row r="2" spans="2:23" ht="23.25" customHeight="1" x14ac:dyDescent="0.25"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 ht="27.75" customHeight="1" x14ac:dyDescent="0.25"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</row>
    <row r="4" spans="2:23" ht="12.95" customHeight="1" x14ac:dyDescent="0.25">
      <c r="B4" s="85"/>
      <c r="C4" s="176" t="s">
        <v>722</v>
      </c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"/>
      <c r="W4" s="1"/>
    </row>
    <row r="5" spans="2:23" ht="11.1" customHeight="1" x14ac:dyDescent="0.25">
      <c r="B5" s="85"/>
      <c r="C5" s="177" t="s">
        <v>687</v>
      </c>
      <c r="D5" s="177"/>
      <c r="E5" s="177"/>
      <c r="F5" s="91" t="s">
        <v>697</v>
      </c>
      <c r="G5" s="91" t="s">
        <v>698</v>
      </c>
      <c r="H5" s="91" t="s">
        <v>699</v>
      </c>
      <c r="I5" s="91" t="s">
        <v>700</v>
      </c>
      <c r="J5" s="177" t="s">
        <v>723</v>
      </c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"/>
      <c r="W5" s="1"/>
    </row>
    <row r="6" spans="2:23" ht="11.1" customHeight="1" x14ac:dyDescent="0.25">
      <c r="B6" s="85"/>
      <c r="C6" s="175" t="s">
        <v>14</v>
      </c>
      <c r="D6" s="90" t="s">
        <v>680</v>
      </c>
      <c r="E6" s="90">
        <f>Cardápio!F7+Cardápio!M7</f>
        <v>6</v>
      </c>
      <c r="F6" s="90">
        <f>Cardápio!T7+Cardápio!AA7</f>
        <v>5</v>
      </c>
      <c r="G6" s="90">
        <f>Cardápio!AH7+Cardápio!AO7</f>
        <v>9</v>
      </c>
      <c r="H6" s="90">
        <f>Cardápio!AV7+Cardápio!BC7</f>
        <v>13</v>
      </c>
      <c r="I6" s="90">
        <f>Cardápio!BJ7+Cardápio!BQ7</f>
        <v>16</v>
      </c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"/>
      <c r="W6" s="1"/>
    </row>
    <row r="7" spans="2:23" ht="11.1" customHeight="1" x14ac:dyDescent="0.25">
      <c r="B7" s="85"/>
      <c r="C7" s="175"/>
      <c r="D7" s="94" t="s">
        <v>681</v>
      </c>
      <c r="E7" s="90">
        <f>Cardápio!F8+Cardápio!M8</f>
        <v>4</v>
      </c>
      <c r="F7" s="90">
        <f>Cardápio!T8+Cardápio!AA8</f>
        <v>5</v>
      </c>
      <c r="G7" s="90">
        <f>Cardápio!AH8+Cardápio!AO8</f>
        <v>9</v>
      </c>
      <c r="H7" s="90">
        <f>Cardápio!AV8+Cardápio!BC8</f>
        <v>19</v>
      </c>
      <c r="I7" s="90">
        <f>Cardápio!BJ8+Cardápio!BQ8</f>
        <v>16</v>
      </c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"/>
      <c r="W7" s="1"/>
    </row>
    <row r="8" spans="2:23" ht="11.1" customHeight="1" x14ac:dyDescent="0.25">
      <c r="B8" s="85"/>
      <c r="C8" s="175"/>
      <c r="D8" s="94" t="s">
        <v>682</v>
      </c>
      <c r="E8" s="90">
        <f>Cardápio!F9+Cardápio!M9</f>
        <v>7</v>
      </c>
      <c r="F8" s="90">
        <f>Cardápio!T9+Cardápio!AA9</f>
        <v>7</v>
      </c>
      <c r="G8" s="90">
        <f>Cardápio!AH9+Cardápio!AO9</f>
        <v>9</v>
      </c>
      <c r="H8" s="90">
        <f>Cardápio!AV9+Cardápio!BC9</f>
        <v>13</v>
      </c>
      <c r="I8" s="90">
        <f>Cardápio!BJ9+Cardápio!BQ9</f>
        <v>16</v>
      </c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"/>
      <c r="W8" s="1"/>
    </row>
    <row r="9" spans="2:23" ht="11.1" customHeight="1" x14ac:dyDescent="0.25">
      <c r="B9" s="85"/>
      <c r="C9" s="175"/>
      <c r="D9" s="94" t="s">
        <v>683</v>
      </c>
      <c r="E9" s="90">
        <f>Cardápio!F10+Cardápio!M10</f>
        <v>5</v>
      </c>
      <c r="F9" s="90">
        <f>Cardápio!T10+Cardápio!AA10</f>
        <v>5</v>
      </c>
      <c r="G9" s="90">
        <f>Cardápio!AH10+Cardápio!AO10</f>
        <v>10</v>
      </c>
      <c r="H9" s="90">
        <f>Cardápio!AV10+Cardápio!BC10</f>
        <v>27</v>
      </c>
      <c r="I9" s="90">
        <f>Cardápio!BJ10+Cardápio!BQ10</f>
        <v>32</v>
      </c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"/>
      <c r="W9" s="1"/>
    </row>
    <row r="10" spans="2:23" ht="11.1" customHeight="1" x14ac:dyDescent="0.25">
      <c r="B10" s="85"/>
      <c r="C10" s="175" t="s">
        <v>684</v>
      </c>
      <c r="D10" s="94">
        <v>1</v>
      </c>
      <c r="E10" s="90">
        <f>Cardápio!F11+Cardápio!M11</f>
        <v>2</v>
      </c>
      <c r="F10" s="90">
        <f>Cardápio!T11+Cardápio!AA11</f>
        <v>5</v>
      </c>
      <c r="G10" s="90">
        <f>Cardápio!AH11+Cardápio!AO11</f>
        <v>0</v>
      </c>
      <c r="H10" s="90">
        <f>Cardápio!AV11+Cardápio!BC11</f>
        <v>0</v>
      </c>
      <c r="I10" s="90">
        <f>Cardápio!BJ11+Cardápio!BQ11</f>
        <v>0</v>
      </c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"/>
      <c r="W10" s="1"/>
    </row>
    <row r="11" spans="2:23" ht="11.1" customHeight="1" x14ac:dyDescent="0.25">
      <c r="B11" s="85"/>
      <c r="C11" s="175"/>
      <c r="D11" s="93">
        <v>2</v>
      </c>
      <c r="E11" s="90">
        <f>Cardápio!F12+Cardápio!M12</f>
        <v>0</v>
      </c>
      <c r="F11" s="90">
        <f>Cardápio!T12+Cardápio!AA12</f>
        <v>0</v>
      </c>
      <c r="G11" s="90">
        <f>Cardápio!AH12+Cardápio!AO12</f>
        <v>0</v>
      </c>
      <c r="H11" s="90">
        <f>Cardápio!AV12+Cardápio!BC12</f>
        <v>0</v>
      </c>
      <c r="I11" s="90">
        <f>Cardápio!BJ12+Cardápio!BQ12</f>
        <v>0</v>
      </c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"/>
      <c r="W11" s="1"/>
    </row>
    <row r="12" spans="2:23" ht="11.1" customHeight="1" x14ac:dyDescent="0.25">
      <c r="B12" s="85"/>
      <c r="C12" s="175"/>
      <c r="D12" s="93">
        <v>3</v>
      </c>
      <c r="E12" s="90">
        <f>Cardápio!F13+Cardápio!M13</f>
        <v>0</v>
      </c>
      <c r="F12" s="90">
        <f>Cardápio!T13+Cardápio!AA13</f>
        <v>0</v>
      </c>
      <c r="G12" s="90">
        <f>Cardápio!AH13+Cardápio!AO13</f>
        <v>0</v>
      </c>
      <c r="H12" s="90">
        <f>Cardápio!AV13+Cardápio!BC13</f>
        <v>0</v>
      </c>
      <c r="I12" s="90">
        <f>Cardápio!BJ13+Cardápio!BQ13</f>
        <v>0</v>
      </c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"/>
      <c r="W12" s="1"/>
    </row>
    <row r="13" spans="2:23" ht="11.1" customHeight="1" x14ac:dyDescent="0.25">
      <c r="B13" s="85"/>
      <c r="C13" s="175"/>
      <c r="D13" s="93">
        <v>4</v>
      </c>
      <c r="E13" s="90">
        <f>Cardápio!F14+Cardápio!M14</f>
        <v>0</v>
      </c>
      <c r="F13" s="90">
        <f>Cardápio!T14+Cardápio!AA14</f>
        <v>0</v>
      </c>
      <c r="G13" s="90">
        <f>Cardápio!AH14+Cardápio!AO14</f>
        <v>0</v>
      </c>
      <c r="H13" s="90">
        <f>Cardápio!AV14+Cardápio!BC14</f>
        <v>0</v>
      </c>
      <c r="I13" s="90">
        <f>Cardápio!BJ14+Cardápio!BQ14</f>
        <v>0</v>
      </c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"/>
      <c r="W13" s="1"/>
    </row>
    <row r="14" spans="2:23" ht="11.1" customHeight="1" x14ac:dyDescent="0.25">
      <c r="B14" s="85"/>
      <c r="C14" s="175"/>
      <c r="D14" s="93">
        <v>5</v>
      </c>
      <c r="E14" s="90">
        <f>Cardápio!F15+Cardápio!M15</f>
        <v>0</v>
      </c>
      <c r="F14" s="90">
        <f>Cardápio!T15+Cardápio!AA15</f>
        <v>0</v>
      </c>
      <c r="G14" s="90">
        <f>Cardápio!AH15+Cardápio!AO15</f>
        <v>0</v>
      </c>
      <c r="H14" s="90">
        <f>Cardápio!AV15+Cardápio!BC15</f>
        <v>0</v>
      </c>
      <c r="I14" s="90">
        <f>Cardápio!BJ15+Cardápio!BQ15</f>
        <v>0</v>
      </c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"/>
      <c r="W14" s="1"/>
    </row>
    <row r="15" spans="2:23" ht="11.1" customHeight="1" x14ac:dyDescent="0.25">
      <c r="B15" s="85"/>
      <c r="C15" s="175"/>
      <c r="D15" s="93">
        <v>6</v>
      </c>
      <c r="E15" s="90">
        <f>Cardápio!F16+Cardápio!M16</f>
        <v>0</v>
      </c>
      <c r="F15" s="90">
        <f>Cardápio!T16+Cardápio!AA16</f>
        <v>0</v>
      </c>
      <c r="G15" s="90">
        <f>Cardápio!AH16+Cardápio!AO16</f>
        <v>0</v>
      </c>
      <c r="H15" s="90">
        <f>Cardápio!AV16+Cardápio!BC16</f>
        <v>0</v>
      </c>
      <c r="I15" s="90">
        <f>Cardápio!BJ16+Cardápio!BQ16</f>
        <v>0</v>
      </c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"/>
      <c r="W15" s="1"/>
    </row>
    <row r="16" spans="2:23" ht="11.1" customHeight="1" x14ac:dyDescent="0.25">
      <c r="B16" s="85"/>
      <c r="C16" s="175"/>
      <c r="D16" s="93">
        <v>7</v>
      </c>
      <c r="E16" s="90">
        <f>Cardápio!F17+Cardápio!M17</f>
        <v>0</v>
      </c>
      <c r="F16" s="90">
        <f>Cardápio!T17+Cardápio!AA17</f>
        <v>0</v>
      </c>
      <c r="G16" s="90">
        <f>Cardápio!AH17+Cardápio!AO17</f>
        <v>0</v>
      </c>
      <c r="H16" s="90">
        <f>Cardápio!AV17+Cardápio!BC17</f>
        <v>0</v>
      </c>
      <c r="I16" s="90">
        <f>Cardápio!BJ17+Cardápio!BQ17</f>
        <v>0</v>
      </c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"/>
      <c r="W16" s="1"/>
    </row>
    <row r="17" spans="2:23" ht="11.1" customHeight="1" x14ac:dyDescent="0.25">
      <c r="B17" s="85"/>
      <c r="C17" s="175"/>
      <c r="D17" s="93">
        <v>8</v>
      </c>
      <c r="E17" s="90">
        <f>Cardápio!F18+Cardápio!M18</f>
        <v>0</v>
      </c>
      <c r="F17" s="90">
        <f>Cardápio!T18+Cardápio!AA18</f>
        <v>0</v>
      </c>
      <c r="G17" s="90">
        <f>Cardápio!AH18+Cardápio!AO18</f>
        <v>0</v>
      </c>
      <c r="H17" s="90">
        <f>Cardápio!AV18+Cardápio!BC18</f>
        <v>0</v>
      </c>
      <c r="I17" s="90">
        <f>Cardápio!BJ18+Cardápio!BQ18</f>
        <v>0</v>
      </c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"/>
      <c r="W17" s="1"/>
    </row>
    <row r="18" spans="2:23" ht="11.1" customHeight="1" x14ac:dyDescent="0.25">
      <c r="B18" s="85"/>
      <c r="C18" s="175"/>
      <c r="D18" s="93">
        <v>9</v>
      </c>
      <c r="E18" s="90">
        <f>Cardápio!F19+Cardápio!M19</f>
        <v>0</v>
      </c>
      <c r="F18" s="90">
        <f>Cardápio!T19+Cardápio!AA19</f>
        <v>0</v>
      </c>
      <c r="G18" s="90">
        <f>Cardápio!AH19+Cardápio!AO19</f>
        <v>0</v>
      </c>
      <c r="H18" s="90">
        <f>Cardápio!AV19+Cardápio!BC19</f>
        <v>0</v>
      </c>
      <c r="I18" s="90">
        <f>Cardápio!BJ19+Cardápio!BQ19</f>
        <v>0</v>
      </c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"/>
      <c r="W18" s="1"/>
    </row>
    <row r="19" spans="2:23" ht="11.1" customHeight="1" x14ac:dyDescent="0.25">
      <c r="B19" s="85"/>
      <c r="C19" s="175"/>
      <c r="D19" s="93" t="s">
        <v>705</v>
      </c>
      <c r="E19" s="90">
        <f>Cardápio!F20+Cardápio!M20</f>
        <v>0</v>
      </c>
      <c r="F19" s="90">
        <f>Cardápio!T20+Cardápio!AA20</f>
        <v>0</v>
      </c>
      <c r="G19" s="90">
        <f>Cardápio!AH20+Cardápio!AO20</f>
        <v>0</v>
      </c>
      <c r="H19" s="90">
        <f>Cardápio!AV20+Cardápio!BC20</f>
        <v>0</v>
      </c>
      <c r="I19" s="90">
        <f>Cardápio!BJ20+Cardápio!BQ20</f>
        <v>0</v>
      </c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"/>
      <c r="W19" s="1"/>
    </row>
    <row r="20" spans="2:23" ht="11.1" customHeight="1" x14ac:dyDescent="0.25">
      <c r="B20" s="85"/>
      <c r="C20" s="175" t="s">
        <v>15</v>
      </c>
      <c r="D20" s="93">
        <v>1</v>
      </c>
      <c r="E20" s="95">
        <f>Cardápio!F21+Cardápio!M21</f>
        <v>0</v>
      </c>
      <c r="F20" s="95">
        <f>Cardápio!T21+Cardápio!AA21</f>
        <v>0</v>
      </c>
      <c r="G20" s="95">
        <f>Cardápio!AH21+Cardápio!AO21</f>
        <v>0</v>
      </c>
      <c r="H20" s="95">
        <f>Cardápio!AV21+Cardápio!BC21</f>
        <v>0</v>
      </c>
      <c r="I20" s="95">
        <f>Cardápio!BJ21+Cardápio!BQ21</f>
        <v>0</v>
      </c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"/>
      <c r="W20" s="1"/>
    </row>
    <row r="21" spans="2:23" ht="11.1" customHeight="1" x14ac:dyDescent="0.25">
      <c r="B21" s="85"/>
      <c r="C21" s="175"/>
      <c r="D21" s="93">
        <v>2</v>
      </c>
      <c r="E21" s="95">
        <f>Cardápio!F22+Cardápio!M22</f>
        <v>0</v>
      </c>
      <c r="F21" s="95">
        <f>Cardápio!T22+Cardápio!AA22</f>
        <v>0</v>
      </c>
      <c r="G21" s="95">
        <f>Cardápio!AH22+Cardápio!AO22</f>
        <v>0</v>
      </c>
      <c r="H21" s="95">
        <f>Cardápio!AV22+Cardápio!BC22</f>
        <v>0</v>
      </c>
      <c r="I21" s="95">
        <f>Cardápio!BJ22+Cardápio!BQ22</f>
        <v>0</v>
      </c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"/>
      <c r="W21" s="1"/>
    </row>
    <row r="22" spans="2:23" ht="11.1" customHeight="1" x14ac:dyDescent="0.25">
      <c r="B22" s="1"/>
      <c r="C22" s="175"/>
      <c r="D22" s="93">
        <v>3</v>
      </c>
      <c r="E22" s="95">
        <f>Cardápio!F23+Cardápio!M23</f>
        <v>0</v>
      </c>
      <c r="F22" s="95">
        <f>Cardápio!T23+Cardápio!AA23</f>
        <v>0</v>
      </c>
      <c r="G22" s="95">
        <f>Cardápio!AH23+Cardápio!AO23</f>
        <v>0</v>
      </c>
      <c r="H22" s="95">
        <f>Cardápio!AV23+Cardápio!BC23</f>
        <v>0</v>
      </c>
      <c r="I22" s="95">
        <f>Cardápio!BJ23+Cardápio!BQ23</f>
        <v>0</v>
      </c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"/>
      <c r="W22" s="1"/>
    </row>
    <row r="23" spans="2:23" ht="11.1" customHeight="1" x14ac:dyDescent="0.25">
      <c r="B23" s="1"/>
      <c r="C23" s="175"/>
      <c r="D23" s="93" t="s">
        <v>705</v>
      </c>
      <c r="E23" s="95">
        <f>Cardápio!F24+Cardápio!M24</f>
        <v>0</v>
      </c>
      <c r="F23" s="95">
        <f>Cardápio!T24+Cardápio!AA24</f>
        <v>0</v>
      </c>
      <c r="G23" s="95">
        <f>Cardápio!AH24+Cardápio!AO24</f>
        <v>0</v>
      </c>
      <c r="H23" s="95">
        <f>Cardápio!AV24+Cardápio!BC24</f>
        <v>0</v>
      </c>
      <c r="I23" s="95">
        <f>Cardápio!BJ24+Cardápio!BQ24</f>
        <v>0</v>
      </c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"/>
      <c r="W23" s="1"/>
    </row>
    <row r="24" spans="2:23" ht="11.1" customHeight="1" x14ac:dyDescent="0.25">
      <c r="B24" s="1"/>
      <c r="C24" s="175" t="s">
        <v>724</v>
      </c>
      <c r="D24" s="93">
        <v>1</v>
      </c>
      <c r="E24" s="95">
        <f>Cardápio!F25+Cardápio!M25</f>
        <v>0</v>
      </c>
      <c r="F24" s="95">
        <f>Cardápio!T25+Cardápio!AA25</f>
        <v>0</v>
      </c>
      <c r="G24" s="95">
        <f>Cardápio!AH25+Cardápio!AO25</f>
        <v>0</v>
      </c>
      <c r="H24" s="95">
        <f>Cardápio!AV25+Cardápio!BC25</f>
        <v>0</v>
      </c>
      <c r="I24" s="95">
        <f>Cardápio!BJ25+Cardápio!BQ25</f>
        <v>0</v>
      </c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"/>
      <c r="W24" s="1"/>
    </row>
    <row r="25" spans="2:23" ht="11.1" customHeight="1" x14ac:dyDescent="0.25">
      <c r="B25" s="1"/>
      <c r="C25" s="175"/>
      <c r="D25" s="93">
        <v>2</v>
      </c>
      <c r="E25" s="95">
        <f>Cardápio!F26+Cardápio!M26</f>
        <v>0</v>
      </c>
      <c r="F25" s="95">
        <f>Cardápio!T26+Cardápio!AA26</f>
        <v>0</v>
      </c>
      <c r="G25" s="95">
        <f>Cardápio!AH26+Cardápio!AO26</f>
        <v>0</v>
      </c>
      <c r="H25" s="95">
        <f>Cardápio!AV26+Cardápio!BC26</f>
        <v>0</v>
      </c>
      <c r="I25" s="95">
        <f>Cardápio!BJ26+Cardápio!BQ26</f>
        <v>0</v>
      </c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"/>
      <c r="W25" s="1"/>
    </row>
    <row r="26" spans="2:23" ht="11.1" customHeight="1" x14ac:dyDescent="0.25">
      <c r="B26" s="1"/>
      <c r="C26" s="175"/>
      <c r="D26" s="93">
        <v>3</v>
      </c>
      <c r="E26" s="95">
        <f>Cardápio!F27+Cardápio!M27</f>
        <v>0</v>
      </c>
      <c r="F26" s="95">
        <f>Cardápio!T27+Cardápio!AA27</f>
        <v>0</v>
      </c>
      <c r="G26" s="95">
        <f>Cardápio!AH27+Cardápio!AO27</f>
        <v>0</v>
      </c>
      <c r="H26" s="95">
        <f>Cardápio!AV27+Cardápio!BC27</f>
        <v>0</v>
      </c>
      <c r="I26" s="95">
        <f>Cardápio!BJ27+Cardápio!BQ27</f>
        <v>0</v>
      </c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"/>
      <c r="W26" s="1"/>
    </row>
    <row r="27" spans="2:23" ht="11.1" customHeight="1" x14ac:dyDescent="0.25">
      <c r="B27" s="1"/>
      <c r="C27" s="175"/>
      <c r="D27" s="93" t="s">
        <v>705</v>
      </c>
      <c r="E27" s="95">
        <f>Cardápio!F28+Cardápio!M28</f>
        <v>0</v>
      </c>
      <c r="F27" s="95">
        <f>Cardápio!T28+Cardápio!AA28</f>
        <v>0</v>
      </c>
      <c r="G27" s="95">
        <f>Cardápio!AH28+Cardápio!AO28</f>
        <v>0</v>
      </c>
      <c r="H27" s="95">
        <f>Cardápio!AV28+Cardápio!BC28</f>
        <v>0</v>
      </c>
      <c r="I27" s="95">
        <f>Cardápio!BJ28+Cardápio!BQ28</f>
        <v>0</v>
      </c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"/>
      <c r="W27" s="1"/>
    </row>
    <row r="28" spans="2:23" ht="11.1" customHeight="1" x14ac:dyDescent="0.25">
      <c r="B28" s="1"/>
      <c r="C28" s="175" t="s">
        <v>686</v>
      </c>
      <c r="D28" s="93">
        <v>1</v>
      </c>
      <c r="E28" s="95">
        <f>Cardápio!F29+Cardápio!M29</f>
        <v>0</v>
      </c>
      <c r="F28" s="95">
        <f>Cardápio!T29+Cardápio!AA29</f>
        <v>0</v>
      </c>
      <c r="G28" s="95">
        <f>Cardápio!AH29+Cardápio!AO29</f>
        <v>0</v>
      </c>
      <c r="H28" s="95">
        <f>Cardápio!AV29+Cardápio!BC29</f>
        <v>0</v>
      </c>
      <c r="I28" s="95">
        <f>Cardápio!BJ29+Cardápio!BQ29</f>
        <v>0</v>
      </c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"/>
      <c r="W28" s="1"/>
    </row>
    <row r="29" spans="2:23" ht="11.1" customHeight="1" x14ac:dyDescent="0.25">
      <c r="B29" s="1"/>
      <c r="C29" s="175"/>
      <c r="D29" s="93">
        <v>2</v>
      </c>
      <c r="E29" s="95">
        <f>Cardápio!F30+Cardápio!M30</f>
        <v>0</v>
      </c>
      <c r="F29" s="95">
        <f>Cardápio!T30+Cardápio!AA30</f>
        <v>0</v>
      </c>
      <c r="G29" s="95">
        <f>Cardápio!AH30+Cardápio!AO30</f>
        <v>0</v>
      </c>
      <c r="H29" s="95">
        <f>Cardápio!AV30+Cardápio!BC30</f>
        <v>0</v>
      </c>
      <c r="I29" s="95">
        <f>Cardápio!BJ30+Cardápio!BQ30</f>
        <v>0</v>
      </c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"/>
      <c r="W29" s="1"/>
    </row>
    <row r="30" spans="2:23" ht="11.1" customHeight="1" x14ac:dyDescent="0.25">
      <c r="B30" s="1"/>
      <c r="C30" s="175"/>
      <c r="D30" s="93">
        <v>3</v>
      </c>
      <c r="E30" s="95">
        <f>Cardápio!F31+Cardápio!M31</f>
        <v>0</v>
      </c>
      <c r="F30" s="95">
        <f>Cardápio!T31+Cardápio!AA31</f>
        <v>0</v>
      </c>
      <c r="G30" s="95">
        <f>Cardápio!AH31+Cardápio!AO31</f>
        <v>0</v>
      </c>
      <c r="H30" s="95">
        <f>Cardápio!AV31+Cardápio!BC31</f>
        <v>0</v>
      </c>
      <c r="I30" s="95">
        <f>Cardápio!BJ31+Cardápio!BQ31</f>
        <v>0</v>
      </c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"/>
      <c r="W30" s="1"/>
    </row>
    <row r="31" spans="2:23" ht="11.1" customHeight="1" x14ac:dyDescent="0.25">
      <c r="B31" s="1"/>
      <c r="C31" s="175"/>
      <c r="D31" s="93" t="s">
        <v>705</v>
      </c>
      <c r="E31" s="95">
        <f>Cardápio!F32+Cardápio!M32</f>
        <v>0</v>
      </c>
      <c r="F31" s="95">
        <f>Cardápio!T32+Cardápio!AA32</f>
        <v>0</v>
      </c>
      <c r="G31" s="95">
        <f>Cardápio!AH32+Cardápio!AO32</f>
        <v>0</v>
      </c>
      <c r="H31" s="95">
        <f>Cardápio!AV32+Cardápio!BC32</f>
        <v>0</v>
      </c>
      <c r="I31" s="95">
        <f>Cardápio!BJ32+Cardápio!BQ32</f>
        <v>0</v>
      </c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"/>
      <c r="W31" s="1"/>
    </row>
    <row r="32" spans="2:23" ht="12.95" customHeight="1" x14ac:dyDescent="0.25">
      <c r="B32" s="1"/>
      <c r="C32" s="176" t="s">
        <v>725</v>
      </c>
      <c r="D32" s="176"/>
      <c r="E32" s="176"/>
      <c r="F32" s="176"/>
      <c r="G32" s="176"/>
      <c r="H32" s="176"/>
      <c r="I32" s="176"/>
      <c r="J32" s="176"/>
      <c r="K32" s="176"/>
      <c r="L32" s="176"/>
      <c r="M32" s="176"/>
      <c r="N32" s="176"/>
      <c r="O32" s="176"/>
      <c r="P32" s="176"/>
      <c r="Q32" s="176"/>
      <c r="R32" s="176"/>
      <c r="S32" s="176"/>
      <c r="T32" s="176"/>
      <c r="U32" s="176"/>
      <c r="V32" s="1"/>
      <c r="W32" s="1"/>
    </row>
    <row r="33" spans="2:23" ht="11.1" customHeight="1" x14ac:dyDescent="0.25">
      <c r="B33" s="1"/>
      <c r="C33" s="177" t="s">
        <v>687</v>
      </c>
      <c r="D33" s="177"/>
      <c r="E33" s="177"/>
      <c r="F33" s="91" t="s">
        <v>697</v>
      </c>
      <c r="G33" s="91" t="s">
        <v>698</v>
      </c>
      <c r="H33" s="91" t="s">
        <v>699</v>
      </c>
      <c r="I33" s="91" t="s">
        <v>700</v>
      </c>
      <c r="J33" s="177" t="s">
        <v>723</v>
      </c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"/>
      <c r="W33" s="1"/>
    </row>
    <row r="34" spans="2:23" ht="11.1" customHeight="1" x14ac:dyDescent="0.25">
      <c r="B34" s="1"/>
      <c r="C34" s="175" t="s">
        <v>726</v>
      </c>
      <c r="D34" s="93" t="s">
        <v>702</v>
      </c>
      <c r="E34" s="96">
        <f>Cardápio!F34+Cardápio!M34</f>
        <v>0</v>
      </c>
      <c r="F34" s="96">
        <f>Cardápio!T34+Cardápio!AA34</f>
        <v>0</v>
      </c>
      <c r="G34" s="96">
        <f>Cardápio!AH34+Cardápio!AO34</f>
        <v>0</v>
      </c>
      <c r="H34" s="96">
        <f>Cardápio!AV34+Cardápio!BC34</f>
        <v>0</v>
      </c>
      <c r="I34" s="96">
        <f>Cardápio!BJ34+Cardápio!BQ34</f>
        <v>0</v>
      </c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"/>
      <c r="W34" s="1"/>
    </row>
    <row r="35" spans="2:23" ht="11.1" customHeight="1" x14ac:dyDescent="0.25">
      <c r="B35" s="1"/>
      <c r="C35" s="175"/>
      <c r="D35" s="93" t="s">
        <v>703</v>
      </c>
      <c r="E35" s="96">
        <f>Cardápio!F35+Cardápio!M35</f>
        <v>0</v>
      </c>
      <c r="F35" s="96">
        <f>Cardápio!T35+Cardápio!AA35</f>
        <v>0</v>
      </c>
      <c r="G35" s="96">
        <f>Cardápio!AH35+Cardápio!AO35</f>
        <v>0</v>
      </c>
      <c r="H35" s="96">
        <f>Cardápio!AV35+Cardápio!BC35</f>
        <v>0</v>
      </c>
      <c r="I35" s="96">
        <f>Cardápio!BJ35+Cardápio!BQ35</f>
        <v>0</v>
      </c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"/>
      <c r="W35" s="1"/>
    </row>
    <row r="36" spans="2:23" ht="11.1" customHeight="1" x14ac:dyDescent="0.25">
      <c r="B36" s="1"/>
      <c r="C36" s="175"/>
      <c r="D36" s="93" t="s">
        <v>704</v>
      </c>
      <c r="E36" s="96">
        <f>Cardápio!F36+Cardápio!M36</f>
        <v>0</v>
      </c>
      <c r="F36" s="96">
        <f>Cardápio!T36+Cardápio!AA36</f>
        <v>0</v>
      </c>
      <c r="G36" s="96">
        <f>Cardápio!AH36+Cardápio!AO36</f>
        <v>0</v>
      </c>
      <c r="H36" s="96">
        <f>Cardápio!AV36+Cardápio!BC36</f>
        <v>0</v>
      </c>
      <c r="I36" s="96">
        <f>Cardápio!BJ36+Cardápio!BQ36</f>
        <v>0</v>
      </c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"/>
      <c r="W36" s="1"/>
    </row>
    <row r="37" spans="2:23" ht="11.1" customHeight="1" x14ac:dyDescent="0.25">
      <c r="B37" s="1"/>
      <c r="C37" s="175"/>
      <c r="D37" s="93" t="s">
        <v>705</v>
      </c>
      <c r="E37" s="96">
        <f>Cardápio!F37+Cardápio!M37</f>
        <v>0</v>
      </c>
      <c r="F37" s="96">
        <f>Cardápio!T37+Cardápio!AA37</f>
        <v>0</v>
      </c>
      <c r="G37" s="96">
        <f>Cardápio!AH37+Cardápio!AO37</f>
        <v>0</v>
      </c>
      <c r="H37" s="96">
        <f>Cardápio!AV37+Cardápio!BC37</f>
        <v>0</v>
      </c>
      <c r="I37" s="96">
        <f>Cardápio!BJ37+Cardápio!BQ37</f>
        <v>0</v>
      </c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"/>
      <c r="W37" s="1"/>
    </row>
    <row r="38" spans="2:23" ht="11.1" customHeight="1" x14ac:dyDescent="0.25">
      <c r="B38" s="1"/>
      <c r="C38" s="175" t="s">
        <v>708</v>
      </c>
      <c r="D38" s="93" t="s">
        <v>194</v>
      </c>
      <c r="E38" s="96">
        <f>Cardápio!F38+Cardápio!M38</f>
        <v>0</v>
      </c>
      <c r="F38" s="96">
        <f>Cardápio!T38+Cardápio!AA38</f>
        <v>0</v>
      </c>
      <c r="G38" s="96">
        <f>Cardápio!AH38+Cardápio!AO38</f>
        <v>0</v>
      </c>
      <c r="H38" s="96">
        <f>Cardápio!AV38+Cardápio!BC38</f>
        <v>0</v>
      </c>
      <c r="I38" s="96">
        <f>Cardápio!BJ38+Cardápio!BQ38</f>
        <v>0</v>
      </c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"/>
      <c r="W38" s="1"/>
    </row>
    <row r="39" spans="2:23" ht="11.1" customHeight="1" x14ac:dyDescent="0.25">
      <c r="B39" s="1"/>
      <c r="C39" s="175"/>
      <c r="D39" s="93" t="s">
        <v>56</v>
      </c>
      <c r="E39" s="96">
        <f>Cardápio!F39+Cardápio!M39</f>
        <v>0</v>
      </c>
      <c r="F39" s="96">
        <f>Cardápio!T39+Cardápio!AA39</f>
        <v>0</v>
      </c>
      <c r="G39" s="96">
        <f>Cardápio!AH39+Cardápio!AO39</f>
        <v>0</v>
      </c>
      <c r="H39" s="96">
        <f>Cardápio!AV39+Cardápio!BC39</f>
        <v>0</v>
      </c>
      <c r="I39" s="96">
        <f>Cardápio!BJ39+Cardápio!BQ39</f>
        <v>0</v>
      </c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"/>
      <c r="W39" s="1"/>
    </row>
    <row r="40" spans="2:23" ht="11.1" customHeight="1" x14ac:dyDescent="0.25">
      <c r="B40" s="1"/>
      <c r="C40" s="175"/>
      <c r="D40" s="93" t="s">
        <v>54</v>
      </c>
      <c r="E40" s="96">
        <f>Cardápio!F40+Cardápio!M40</f>
        <v>0</v>
      </c>
      <c r="F40" s="96">
        <f>Cardápio!T40+Cardápio!AA40</f>
        <v>0</v>
      </c>
      <c r="G40" s="96">
        <f>Cardápio!AH40+Cardápio!AO40</f>
        <v>0</v>
      </c>
      <c r="H40" s="96">
        <f>Cardápio!AV40+Cardápio!BC40</f>
        <v>0</v>
      </c>
      <c r="I40" s="96">
        <f>Cardápio!BJ40+Cardápio!BQ40</f>
        <v>0</v>
      </c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"/>
      <c r="W40" s="1"/>
    </row>
    <row r="41" spans="2:23" ht="11.1" customHeight="1" x14ac:dyDescent="0.25">
      <c r="B41" s="1"/>
      <c r="C41" s="175"/>
      <c r="D41" s="93" t="s">
        <v>706</v>
      </c>
      <c r="E41" s="96">
        <f>Cardápio!F41+Cardápio!M41</f>
        <v>0</v>
      </c>
      <c r="F41" s="96">
        <f>Cardápio!T41+Cardápio!AA41</f>
        <v>0</v>
      </c>
      <c r="G41" s="96">
        <f>Cardápio!AH41+Cardápio!AO41</f>
        <v>0</v>
      </c>
      <c r="H41" s="96">
        <f>Cardápio!AV41+Cardápio!BC41</f>
        <v>0</v>
      </c>
      <c r="I41" s="96">
        <f>Cardápio!BJ41+Cardápio!BQ41</f>
        <v>0</v>
      </c>
      <c r="J41" s="178"/>
      <c r="K41" s="178"/>
      <c r="L41" s="178"/>
      <c r="M41" s="178"/>
      <c r="N41" s="178"/>
      <c r="O41" s="178"/>
      <c r="P41" s="178"/>
      <c r="Q41" s="178"/>
      <c r="R41" s="178"/>
      <c r="S41" s="178"/>
      <c r="T41" s="178"/>
      <c r="U41" s="178"/>
      <c r="V41" s="1"/>
      <c r="W41" s="1"/>
    </row>
    <row r="42" spans="2:23" ht="11.1" customHeight="1" x14ac:dyDescent="0.25">
      <c r="B42" s="1"/>
      <c r="C42" s="175"/>
      <c r="D42" s="93" t="s">
        <v>707</v>
      </c>
      <c r="E42" s="96">
        <f>Cardápio!F42+Cardápio!M42</f>
        <v>0</v>
      </c>
      <c r="F42" s="96">
        <f>Cardápio!T42+Cardápio!AA42</f>
        <v>0</v>
      </c>
      <c r="G42" s="96">
        <f>Cardápio!AH42+Cardápio!AO42</f>
        <v>0</v>
      </c>
      <c r="H42" s="96">
        <f>Cardápio!AV42+Cardápio!BC42</f>
        <v>0</v>
      </c>
      <c r="I42" s="96">
        <f>Cardápio!BJ42+Cardápio!BQ42</f>
        <v>0</v>
      </c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"/>
      <c r="W42" s="1"/>
    </row>
    <row r="43" spans="2:23" ht="11.1" customHeight="1" x14ac:dyDescent="0.25">
      <c r="B43" s="1"/>
      <c r="C43" s="175"/>
      <c r="D43" s="93" t="s">
        <v>705</v>
      </c>
      <c r="E43" s="96">
        <f>Cardápio!F43+Cardápio!M43</f>
        <v>0</v>
      </c>
      <c r="F43" s="96">
        <f>Cardápio!T43+Cardápio!AA43</f>
        <v>0</v>
      </c>
      <c r="G43" s="96">
        <f>Cardápio!AH43+Cardápio!AO43</f>
        <v>0</v>
      </c>
      <c r="H43" s="96">
        <f>Cardápio!AV43+Cardápio!BC43</f>
        <v>0</v>
      </c>
      <c r="I43" s="96">
        <f>Cardápio!BJ43+Cardápio!BQ43</f>
        <v>0</v>
      </c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"/>
      <c r="W43" s="1"/>
    </row>
    <row r="44" spans="2:23" ht="11.1" customHeight="1" x14ac:dyDescent="0.25">
      <c r="B44" s="1"/>
      <c r="C44" s="175" t="s">
        <v>8</v>
      </c>
      <c r="D44" s="93" t="s">
        <v>709</v>
      </c>
      <c r="E44" s="96">
        <f>Cardápio!F44+Cardápio!M44</f>
        <v>0</v>
      </c>
      <c r="F44" s="96">
        <f>Cardápio!T44+Cardápio!AA44</f>
        <v>0</v>
      </c>
      <c r="G44" s="96">
        <f>Cardápio!AH44+Cardápio!AO44</f>
        <v>0</v>
      </c>
      <c r="H44" s="96">
        <f>Cardápio!AV44+Cardápio!BC44</f>
        <v>0</v>
      </c>
      <c r="I44" s="96">
        <f>Cardápio!BJ44+Cardápio!BQ44</f>
        <v>0</v>
      </c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"/>
      <c r="W44" s="1"/>
    </row>
    <row r="45" spans="2:23" ht="11.1" customHeight="1" x14ac:dyDescent="0.25">
      <c r="B45" s="1"/>
      <c r="C45" s="175"/>
      <c r="D45" s="93" t="s">
        <v>710</v>
      </c>
      <c r="E45" s="96">
        <f>Cardápio!F45+Cardápio!M45</f>
        <v>0</v>
      </c>
      <c r="F45" s="96">
        <f>Cardápio!T45+Cardápio!AA45</f>
        <v>0</v>
      </c>
      <c r="G45" s="96">
        <f>Cardápio!AH45+Cardápio!AO45</f>
        <v>0</v>
      </c>
      <c r="H45" s="96">
        <f>Cardápio!AV45+Cardápio!BC45</f>
        <v>0</v>
      </c>
      <c r="I45" s="96">
        <f>Cardápio!BJ45+Cardápio!BQ45</f>
        <v>0</v>
      </c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"/>
      <c r="W45" s="1"/>
    </row>
    <row r="46" spans="2:23" ht="11.1" customHeight="1" x14ac:dyDescent="0.25">
      <c r="B46" s="1"/>
      <c r="C46" s="175"/>
      <c r="D46" s="93" t="s">
        <v>711</v>
      </c>
      <c r="E46" s="96">
        <f>Cardápio!F46+Cardápio!M46</f>
        <v>0</v>
      </c>
      <c r="F46" s="96">
        <f>Cardápio!T46+Cardápio!AA46</f>
        <v>0</v>
      </c>
      <c r="G46" s="96">
        <f>Cardápio!AH46+Cardápio!AO46</f>
        <v>0</v>
      </c>
      <c r="H46" s="96">
        <f>Cardápio!AV46+Cardápio!BC46</f>
        <v>0</v>
      </c>
      <c r="I46" s="96">
        <f>Cardápio!BJ46+Cardápio!BQ46</f>
        <v>0</v>
      </c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"/>
      <c r="W46" s="1"/>
    </row>
    <row r="47" spans="2:23" ht="11.1" customHeight="1" x14ac:dyDescent="0.25">
      <c r="B47" s="1"/>
      <c r="C47" s="175"/>
      <c r="D47" s="93" t="s">
        <v>705</v>
      </c>
      <c r="E47" s="96">
        <f>Cardápio!F47+Cardápio!M47</f>
        <v>0</v>
      </c>
      <c r="F47" s="96">
        <f>Cardápio!T47+Cardápio!AA47</f>
        <v>0</v>
      </c>
      <c r="G47" s="96">
        <f>Cardápio!AH47+Cardápio!AO47</f>
        <v>0</v>
      </c>
      <c r="H47" s="96">
        <f>Cardápio!AV47+Cardápio!BC47</f>
        <v>0</v>
      </c>
      <c r="I47" s="96">
        <f>Cardápio!BJ47+Cardápio!BQ47</f>
        <v>0</v>
      </c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"/>
      <c r="W47" s="1"/>
    </row>
    <row r="48" spans="2:23" x14ac:dyDescent="0.25">
      <c r="B48" s="1"/>
      <c r="C48" s="176" t="s">
        <v>727</v>
      </c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"/>
      <c r="W48" s="1"/>
    </row>
    <row r="49" spans="2:23" s="92" customFormat="1" ht="9" customHeight="1" x14ac:dyDescent="0.25">
      <c r="B49" s="4"/>
      <c r="C49" s="177" t="s">
        <v>687</v>
      </c>
      <c r="D49" s="177"/>
      <c r="E49" s="177"/>
      <c r="F49" s="91" t="s">
        <v>697</v>
      </c>
      <c r="G49" s="91" t="s">
        <v>698</v>
      </c>
      <c r="H49" s="91" t="s">
        <v>699</v>
      </c>
      <c r="I49" s="91" t="s">
        <v>700</v>
      </c>
      <c r="J49" s="177" t="s">
        <v>723</v>
      </c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4"/>
      <c r="W49" s="4"/>
    </row>
    <row r="50" spans="2:23" s="92" customFormat="1" ht="14.1" customHeight="1" x14ac:dyDescent="0.25">
      <c r="B50" s="4"/>
      <c r="C50" s="175" t="s">
        <v>728</v>
      </c>
      <c r="D50" s="93" t="s">
        <v>714</v>
      </c>
      <c r="E50" s="97">
        <f>Cardápio!F49+Cardápio!M49</f>
        <v>0</v>
      </c>
      <c r="F50" s="97">
        <f>Cardápio!T49+Cardápio!AA49</f>
        <v>0</v>
      </c>
      <c r="G50" s="97">
        <f>Cardápio!AH49+Cardápio!AO49</f>
        <v>0</v>
      </c>
      <c r="H50" s="97">
        <f>Cardápio!AV49+Cardápio!BC49</f>
        <v>0</v>
      </c>
      <c r="I50" s="97">
        <f>Cardápio!BJ49+Cardápio!BQ49</f>
        <v>0</v>
      </c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4"/>
      <c r="W50" s="4"/>
    </row>
    <row r="51" spans="2:23" s="92" customFormat="1" ht="14.1" customHeight="1" x14ac:dyDescent="0.25">
      <c r="B51" s="4"/>
      <c r="C51" s="175"/>
      <c r="D51" s="93" t="s">
        <v>715</v>
      </c>
      <c r="E51" s="97">
        <f>Cardápio!F50+Cardápio!M50</f>
        <v>0</v>
      </c>
      <c r="F51" s="97">
        <f>Cardápio!T50+Cardápio!AA50</f>
        <v>0</v>
      </c>
      <c r="G51" s="97">
        <f>Cardápio!AH50+Cardápio!AO50</f>
        <v>0</v>
      </c>
      <c r="H51" s="97">
        <f>Cardápio!AV50+Cardápio!BC50</f>
        <v>0</v>
      </c>
      <c r="I51" s="97">
        <f>Cardápio!BJ50+Cardápio!BQ50</f>
        <v>0</v>
      </c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4"/>
      <c r="W51" s="4"/>
    </row>
    <row r="52" spans="2:23" s="92" customFormat="1" ht="14.1" customHeight="1" x14ac:dyDescent="0.25">
      <c r="B52" s="4"/>
      <c r="C52" s="175"/>
      <c r="D52" s="93" t="s">
        <v>71</v>
      </c>
      <c r="E52" s="97">
        <f>Cardápio!F51+Cardápio!M51</f>
        <v>0</v>
      </c>
      <c r="F52" s="97">
        <f>Cardápio!T51+Cardápio!AA51</f>
        <v>0</v>
      </c>
      <c r="G52" s="97">
        <f>Cardápio!AH51+Cardápio!AO51</f>
        <v>0</v>
      </c>
      <c r="H52" s="97">
        <f>Cardápio!AV51+Cardápio!BC51</f>
        <v>0</v>
      </c>
      <c r="I52" s="97">
        <f>Cardápio!BJ51+Cardápio!BQ51</f>
        <v>0</v>
      </c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4"/>
      <c r="W52" s="4"/>
    </row>
    <row r="53" spans="2:23" s="92" customFormat="1" ht="14.1" customHeight="1" x14ac:dyDescent="0.25">
      <c r="B53" s="4"/>
      <c r="C53" s="175"/>
      <c r="D53" s="93" t="s">
        <v>705</v>
      </c>
      <c r="E53" s="97">
        <f>Cardápio!F52+Cardápio!M52</f>
        <v>0</v>
      </c>
      <c r="F53" s="97">
        <f>Cardápio!T52+Cardápio!AA52</f>
        <v>0</v>
      </c>
      <c r="G53" s="97">
        <f>Cardápio!AH52+Cardápio!AO52</f>
        <v>0</v>
      </c>
      <c r="H53" s="97">
        <f>Cardápio!AV52+Cardápio!BC52</f>
        <v>0</v>
      </c>
      <c r="I53" s="97">
        <f>Cardápio!BJ52+Cardápio!BQ52</f>
        <v>0</v>
      </c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4"/>
      <c r="W53" s="4"/>
    </row>
    <row r="54" spans="2:23" s="92" customFormat="1" ht="11.1" customHeight="1" x14ac:dyDescent="0.25">
      <c r="B54" s="4"/>
      <c r="C54" s="172" t="s">
        <v>13</v>
      </c>
      <c r="D54" s="93" t="s">
        <v>206</v>
      </c>
      <c r="E54" s="97">
        <f>Cardápio!F53+Cardápio!M53</f>
        <v>0</v>
      </c>
      <c r="F54" s="97">
        <f>Cardápio!T53+Cardápio!AA53</f>
        <v>0</v>
      </c>
      <c r="G54" s="97">
        <f>Cardápio!AH53+Cardápio!AO53</f>
        <v>0</v>
      </c>
      <c r="H54" s="97">
        <f>Cardápio!AV53+Cardápio!BC53</f>
        <v>0</v>
      </c>
      <c r="I54" s="97">
        <f>Cardápio!BJ53+Cardápio!BQ53</f>
        <v>0</v>
      </c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4"/>
      <c r="W54" s="4"/>
    </row>
    <row r="55" spans="2:23" s="92" customFormat="1" ht="11.1" customHeight="1" x14ac:dyDescent="0.25">
      <c r="B55" s="4"/>
      <c r="C55" s="173"/>
      <c r="D55" s="93" t="s">
        <v>610</v>
      </c>
      <c r="E55" s="97">
        <f>Cardápio!F54+Cardápio!M54</f>
        <v>0</v>
      </c>
      <c r="F55" s="97">
        <f>Cardápio!T54+Cardápio!AA54</f>
        <v>0</v>
      </c>
      <c r="G55" s="97">
        <f>Cardápio!AH54+Cardápio!AO54</f>
        <v>0</v>
      </c>
      <c r="H55" s="97">
        <f>Cardápio!AV54+Cardápio!BC54</f>
        <v>0</v>
      </c>
      <c r="I55" s="97">
        <f>Cardápio!BJ54+Cardápio!BQ54</f>
        <v>0</v>
      </c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4"/>
      <c r="W55" s="4"/>
    </row>
    <row r="56" spans="2:23" s="92" customFormat="1" ht="11.1" customHeight="1" x14ac:dyDescent="0.25">
      <c r="B56" s="4"/>
      <c r="C56" s="174"/>
      <c r="D56" s="93" t="s">
        <v>705</v>
      </c>
      <c r="E56" s="97">
        <f>Cardápio!F55+Cardápio!M55</f>
        <v>0</v>
      </c>
      <c r="F56" s="97">
        <f>Cardápio!T55+Cardápio!AA55</f>
        <v>0</v>
      </c>
      <c r="G56" s="97">
        <f>Cardápio!AH55+Cardápio!AO55</f>
        <v>0</v>
      </c>
      <c r="H56" s="97">
        <f>Cardápio!AV55+Cardápio!BC55</f>
        <v>0</v>
      </c>
      <c r="I56" s="97">
        <f>Cardápio!BJ55+Cardápio!BQ55</f>
        <v>0</v>
      </c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4"/>
      <c r="W56" s="4"/>
    </row>
    <row r="57" spans="2:23" ht="24" customHeight="1" x14ac:dyDescent="0.25">
      <c r="B57" s="1"/>
      <c r="C57" s="172" t="s">
        <v>729</v>
      </c>
      <c r="D57" s="90" t="s">
        <v>718</v>
      </c>
      <c r="E57" s="97">
        <f>Cardápio!F56+Cardápio!M56</f>
        <v>0</v>
      </c>
      <c r="F57" s="97">
        <f>Cardápio!T56+Cardápio!AA56</f>
        <v>0</v>
      </c>
      <c r="G57" s="97">
        <f>Cardápio!AH56+Cardápio!AO56</f>
        <v>0</v>
      </c>
      <c r="H57" s="97">
        <f>Cardápio!AV56+Cardápio!BC56</f>
        <v>0</v>
      </c>
      <c r="I57" s="97">
        <f>Cardápio!BJ56+Cardápio!BQ56</f>
        <v>0</v>
      </c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"/>
      <c r="W57" s="1"/>
    </row>
    <row r="58" spans="2:23" ht="24" customHeight="1" x14ac:dyDescent="0.25">
      <c r="B58" s="1"/>
      <c r="C58" s="173"/>
      <c r="D58" s="90" t="s">
        <v>719</v>
      </c>
      <c r="E58" s="97">
        <f>Cardápio!F57+Cardápio!M57</f>
        <v>0</v>
      </c>
      <c r="F58" s="97">
        <f>Cardápio!T57+Cardápio!AA57</f>
        <v>0</v>
      </c>
      <c r="G58" s="97">
        <f>Cardápio!AH57+Cardápio!AO57</f>
        <v>0</v>
      </c>
      <c r="H58" s="97">
        <f>Cardápio!AV57+Cardápio!BC57</f>
        <v>0</v>
      </c>
      <c r="I58" s="97">
        <f>Cardápio!BJ57+Cardápio!BQ57</f>
        <v>0</v>
      </c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"/>
      <c r="W58" s="1"/>
    </row>
    <row r="59" spans="2:23" ht="24" customHeight="1" x14ac:dyDescent="0.25">
      <c r="B59" s="1"/>
      <c r="C59" s="174"/>
      <c r="D59" s="90" t="s">
        <v>705</v>
      </c>
      <c r="E59" s="97">
        <f>Cardápio!F58+Cardápio!M58</f>
        <v>0</v>
      </c>
      <c r="F59" s="97">
        <f>Cardápio!T58+Cardápio!AA58</f>
        <v>0</v>
      </c>
      <c r="G59" s="97">
        <f>Cardápio!AH58+Cardápio!AO58</f>
        <v>0</v>
      </c>
      <c r="H59" s="97">
        <f>Cardápio!AV58+Cardápio!BC58</f>
        <v>0</v>
      </c>
      <c r="I59" s="97">
        <f>Cardápio!BJ58+Cardápio!BQ58</f>
        <v>0</v>
      </c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"/>
      <c r="W59" s="1"/>
    </row>
    <row r="60" spans="2:23" ht="11.1" customHeight="1" x14ac:dyDescent="0.25">
      <c r="B60" s="1"/>
      <c r="C60" s="175" t="s">
        <v>8</v>
      </c>
      <c r="D60" s="93" t="s">
        <v>709</v>
      </c>
      <c r="E60" s="97">
        <f>Cardápio!F59+Cardápio!M59</f>
        <v>0</v>
      </c>
      <c r="F60" s="97">
        <f>Cardápio!T59+Cardápio!AA59</f>
        <v>0</v>
      </c>
      <c r="G60" s="97">
        <f>Cardápio!AH59+Cardápio!AO59</f>
        <v>0</v>
      </c>
      <c r="H60" s="97">
        <f>Cardápio!AV59+Cardápio!BC59</f>
        <v>0</v>
      </c>
      <c r="I60" s="97">
        <f>Cardápio!BJ59+Cardápio!BQ59</f>
        <v>0</v>
      </c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"/>
      <c r="W60" s="1"/>
    </row>
    <row r="61" spans="2:23" ht="11.1" customHeight="1" x14ac:dyDescent="0.25">
      <c r="B61" s="1"/>
      <c r="C61" s="175"/>
      <c r="D61" s="93" t="s">
        <v>710</v>
      </c>
      <c r="E61" s="97">
        <f>Cardápio!F60+Cardápio!M60</f>
        <v>0</v>
      </c>
      <c r="F61" s="97">
        <f>Cardápio!T60+Cardápio!AA60</f>
        <v>0</v>
      </c>
      <c r="G61" s="97">
        <f>Cardápio!AH60+Cardápio!AO60</f>
        <v>0</v>
      </c>
      <c r="H61" s="97">
        <f>Cardápio!AV60+Cardápio!BC60</f>
        <v>0</v>
      </c>
      <c r="I61" s="97">
        <f>Cardápio!BJ60+Cardápio!BQ60</f>
        <v>0</v>
      </c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"/>
      <c r="W61" s="1"/>
    </row>
    <row r="62" spans="2:23" ht="11.1" customHeight="1" x14ac:dyDescent="0.25">
      <c r="B62" s="1"/>
      <c r="C62" s="175"/>
      <c r="D62" s="93" t="s">
        <v>711</v>
      </c>
      <c r="E62" s="97">
        <f>Cardápio!F61+Cardápio!M61</f>
        <v>0</v>
      </c>
      <c r="F62" s="97">
        <f>Cardápio!T61+Cardápio!AA61</f>
        <v>0</v>
      </c>
      <c r="G62" s="97">
        <f>Cardápio!AH61+Cardápio!AO61</f>
        <v>0</v>
      </c>
      <c r="H62" s="97">
        <f>Cardápio!AV61+Cardápio!BC61</f>
        <v>0</v>
      </c>
      <c r="I62" s="97">
        <f>Cardápio!BJ61+Cardápio!BQ61</f>
        <v>0</v>
      </c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"/>
      <c r="W62" s="1"/>
    </row>
    <row r="63" spans="2:23" ht="11.1" customHeight="1" x14ac:dyDescent="0.25">
      <c r="B63" s="1"/>
      <c r="C63" s="175"/>
      <c r="D63" s="93" t="s">
        <v>705</v>
      </c>
      <c r="E63" s="97">
        <f>Cardápio!F62+Cardápio!M62</f>
        <v>0</v>
      </c>
      <c r="F63" s="97">
        <f>Cardápio!T62+Cardápio!AA62</f>
        <v>0</v>
      </c>
      <c r="G63" s="97">
        <f>Cardápio!AH62+Cardápio!AO62</f>
        <v>0</v>
      </c>
      <c r="H63" s="97">
        <f>Cardápio!AV62+Cardápio!BC62</f>
        <v>0</v>
      </c>
      <c r="I63" s="97">
        <f>Cardápio!BJ62+Cardápio!BQ62</f>
        <v>0</v>
      </c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"/>
      <c r="W63" s="1"/>
    </row>
    <row r="64" spans="2:23" x14ac:dyDescent="0.25">
      <c r="B64" s="1"/>
      <c r="C64" s="83"/>
      <c r="D64" s="83"/>
      <c r="E64" s="84"/>
      <c r="F64" s="84"/>
      <c r="G64" s="84"/>
      <c r="H64" s="84"/>
      <c r="I64" s="84"/>
      <c r="J64" s="84"/>
      <c r="K64" s="84"/>
      <c r="L64" s="8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3"/>
      <c r="D65" s="83"/>
      <c r="E65" s="84"/>
      <c r="F65" s="84"/>
      <c r="G65" s="84"/>
      <c r="H65" s="84"/>
      <c r="I65" s="84"/>
      <c r="J65" s="84"/>
      <c r="K65" s="84"/>
      <c r="L65" s="8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3"/>
      <c r="D66" s="83"/>
      <c r="E66" s="84"/>
      <c r="F66" s="84"/>
      <c r="G66" s="84"/>
      <c r="H66" s="84"/>
      <c r="I66" s="84"/>
      <c r="J66" s="84"/>
      <c r="K66" s="84"/>
      <c r="L66" s="84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3"/>
      <c r="D67" s="83"/>
      <c r="E67" s="84"/>
      <c r="F67" s="84"/>
      <c r="G67" s="84"/>
      <c r="H67" s="84"/>
      <c r="I67" s="84"/>
      <c r="J67" s="84"/>
      <c r="K67" s="84"/>
      <c r="L67" s="8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3"/>
      <c r="D68" s="83"/>
      <c r="E68" s="84"/>
      <c r="F68" s="84"/>
      <c r="G68" s="84"/>
      <c r="H68" s="84"/>
      <c r="I68" s="84"/>
      <c r="J68" s="84"/>
      <c r="K68" s="84"/>
      <c r="L68" s="84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3"/>
      <c r="D69" s="83"/>
      <c r="E69" s="84"/>
      <c r="F69" s="84"/>
      <c r="G69" s="84"/>
      <c r="H69" s="84"/>
      <c r="I69" s="84"/>
      <c r="J69" s="84"/>
      <c r="K69" s="84"/>
      <c r="L69" s="8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3"/>
      <c r="D70" s="83"/>
      <c r="E70" s="84"/>
      <c r="F70" s="84"/>
      <c r="G70" s="84"/>
      <c r="H70" s="84"/>
      <c r="I70" s="84"/>
      <c r="J70" s="84"/>
      <c r="K70" s="84"/>
      <c r="L70" s="84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3"/>
      <c r="D71" s="83"/>
      <c r="E71" s="84"/>
      <c r="F71" s="84"/>
      <c r="G71" s="84"/>
      <c r="H71" s="84"/>
      <c r="I71" s="84"/>
      <c r="J71" s="84"/>
      <c r="K71" s="84"/>
      <c r="L71" s="84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3"/>
      <c r="D72" s="83"/>
      <c r="E72" s="84"/>
      <c r="F72" s="84"/>
      <c r="G72" s="84"/>
      <c r="H72" s="84"/>
      <c r="I72" s="84"/>
      <c r="J72" s="84"/>
      <c r="K72" s="84"/>
      <c r="L72" s="8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40"/>
  <sheetViews>
    <sheetView zoomScaleNormal="100" workbookViewId="0">
      <pane ySplit="3" topLeftCell="A4" activePane="bottomLeft" state="frozen"/>
      <selection pane="bottomLeft" activeCell="Y24" sqref="Y2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</row>
    <row r="2" spans="2:22" ht="23.25" customHeight="1" x14ac:dyDescent="0.25"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</row>
    <row r="3" spans="2:22" ht="27.75" customHeight="1" x14ac:dyDescent="0.25"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</row>
    <row r="4" spans="2:22" ht="12.95" customHeight="1" x14ac:dyDescent="0.25">
      <c r="B4" s="133"/>
      <c r="C4" s="176" t="s">
        <v>731</v>
      </c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"/>
      <c r="V4" s="1"/>
    </row>
    <row r="5" spans="2:22" ht="11.1" customHeight="1" x14ac:dyDescent="0.25">
      <c r="B5" s="133"/>
      <c r="C5" s="187" t="s">
        <v>486</v>
      </c>
      <c r="D5" s="187" t="s">
        <v>4</v>
      </c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"/>
      <c r="V5" s="1"/>
    </row>
    <row r="6" spans="2:22" ht="11.1" customHeight="1" x14ac:dyDescent="0.25">
      <c r="B6" s="133"/>
      <c r="C6" s="188" t="s">
        <v>732</v>
      </c>
      <c r="D6" s="90"/>
      <c r="E6" s="90"/>
      <c r="F6" s="90"/>
      <c r="G6" s="90"/>
      <c r="H6" s="90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"/>
      <c r="V6" s="1"/>
    </row>
    <row r="7" spans="2:22" ht="11.1" customHeight="1" x14ac:dyDescent="0.25">
      <c r="B7" s="133"/>
      <c r="C7" s="189"/>
      <c r="D7" s="90"/>
      <c r="E7" s="90"/>
      <c r="F7" s="90"/>
      <c r="G7" s="90"/>
      <c r="H7" s="90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"/>
      <c r="V7" s="1"/>
    </row>
    <row r="8" spans="2:22" ht="11.1" customHeight="1" x14ac:dyDescent="0.25">
      <c r="B8" s="133"/>
      <c r="C8" s="189"/>
      <c r="D8" s="90"/>
      <c r="E8" s="90"/>
      <c r="F8" s="90"/>
      <c r="G8" s="90"/>
      <c r="H8" s="90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"/>
      <c r="V8" s="1"/>
    </row>
    <row r="9" spans="2:22" ht="11.1" customHeight="1" x14ac:dyDescent="0.25">
      <c r="B9" s="133"/>
      <c r="C9" s="189"/>
      <c r="D9" s="90"/>
      <c r="E9" s="90"/>
      <c r="F9" s="90"/>
      <c r="G9" s="90"/>
      <c r="H9" s="90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"/>
      <c r="V9" s="1"/>
    </row>
    <row r="10" spans="2:22" ht="11.1" customHeight="1" x14ac:dyDescent="0.25">
      <c r="B10" s="133"/>
      <c r="C10" s="189"/>
      <c r="D10" s="90"/>
      <c r="E10" s="90"/>
      <c r="F10" s="90"/>
      <c r="G10" s="90"/>
      <c r="H10" s="90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"/>
      <c r="V10" s="1"/>
    </row>
    <row r="11" spans="2:22" ht="11.1" customHeight="1" x14ac:dyDescent="0.25">
      <c r="B11" s="133"/>
      <c r="C11" s="189"/>
      <c r="D11" s="90"/>
      <c r="E11" s="90"/>
      <c r="F11" s="90"/>
      <c r="G11" s="90"/>
      <c r="H11" s="90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"/>
      <c r="V11" s="1"/>
    </row>
    <row r="12" spans="2:22" ht="11.1" customHeight="1" x14ac:dyDescent="0.25">
      <c r="B12" s="133"/>
      <c r="C12" s="189"/>
      <c r="D12" s="90"/>
      <c r="E12" s="90"/>
      <c r="F12" s="90"/>
      <c r="G12" s="90"/>
      <c r="H12" s="90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"/>
      <c r="V12" s="1"/>
    </row>
    <row r="13" spans="2:22" ht="11.1" customHeight="1" x14ac:dyDescent="0.25">
      <c r="B13" s="133"/>
      <c r="C13" s="189"/>
      <c r="D13" s="90"/>
      <c r="E13" s="90"/>
      <c r="F13" s="90"/>
      <c r="G13" s="90"/>
      <c r="H13" s="90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"/>
      <c r="V13" s="1"/>
    </row>
    <row r="14" spans="2:22" ht="11.1" customHeight="1" x14ac:dyDescent="0.25">
      <c r="B14" s="133"/>
      <c r="C14" s="189"/>
      <c r="D14" s="90"/>
      <c r="E14" s="90"/>
      <c r="F14" s="90"/>
      <c r="G14" s="90"/>
      <c r="H14" s="90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"/>
      <c r="V14" s="1"/>
    </row>
    <row r="15" spans="2:22" ht="11.1" customHeight="1" x14ac:dyDescent="0.25">
      <c r="B15" s="133"/>
      <c r="C15" s="190"/>
      <c r="D15" s="90"/>
      <c r="E15" s="90"/>
      <c r="F15" s="90"/>
      <c r="G15" s="90"/>
      <c r="H15" s="90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"/>
      <c r="V15" s="1"/>
    </row>
    <row r="16" spans="2:22" ht="11.1" customHeight="1" x14ac:dyDescent="0.25">
      <c r="B16" s="133"/>
      <c r="C16" s="93"/>
      <c r="D16" s="90"/>
      <c r="E16" s="90"/>
      <c r="F16" s="90"/>
      <c r="G16" s="90"/>
      <c r="H16" s="90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"/>
      <c r="V16" s="1"/>
    </row>
    <row r="17" spans="2:22" ht="11.1" customHeight="1" x14ac:dyDescent="0.25">
      <c r="B17" s="133"/>
      <c r="C17" s="93"/>
      <c r="D17" s="90"/>
      <c r="E17" s="90"/>
      <c r="F17" s="90"/>
      <c r="G17" s="90"/>
      <c r="H17" s="90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"/>
      <c r="V17" s="1"/>
    </row>
    <row r="18" spans="2:22" ht="11.1" customHeight="1" x14ac:dyDescent="0.25">
      <c r="B18" s="133"/>
      <c r="C18" s="93"/>
      <c r="D18" s="90"/>
      <c r="E18" s="90"/>
      <c r="F18" s="90"/>
      <c r="G18" s="90"/>
      <c r="H18" s="90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"/>
      <c r="V18" s="1"/>
    </row>
    <row r="19" spans="2:22" ht="11.1" customHeight="1" x14ac:dyDescent="0.25">
      <c r="B19" s="133"/>
      <c r="C19" s="93"/>
      <c r="D19" s="90"/>
      <c r="E19" s="90"/>
      <c r="F19" s="90"/>
      <c r="G19" s="90"/>
      <c r="H19" s="90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"/>
      <c r="V19" s="1"/>
    </row>
    <row r="20" spans="2:22" ht="11.1" customHeight="1" x14ac:dyDescent="0.25">
      <c r="B20" s="133"/>
      <c r="C20" s="93"/>
      <c r="D20" s="95"/>
      <c r="E20" s="95"/>
      <c r="F20" s="95"/>
      <c r="G20" s="95"/>
      <c r="H20" s="95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"/>
      <c r="V20" s="1"/>
    </row>
    <row r="21" spans="2:22" ht="11.1" customHeight="1" x14ac:dyDescent="0.25">
      <c r="B21" s="133"/>
      <c r="C21" s="93"/>
      <c r="D21" s="95"/>
      <c r="E21" s="95"/>
      <c r="F21" s="95"/>
      <c r="G21" s="95"/>
      <c r="H21" s="9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"/>
      <c r="V21" s="1"/>
    </row>
    <row r="22" spans="2:22" ht="11.1" customHeight="1" x14ac:dyDescent="0.25">
      <c r="B22" s="1"/>
      <c r="C22" s="93"/>
      <c r="D22" s="95"/>
      <c r="E22" s="95"/>
      <c r="F22" s="95"/>
      <c r="G22" s="95"/>
      <c r="H22" s="9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"/>
      <c r="V22" s="1"/>
    </row>
    <row r="23" spans="2:22" ht="11.1" customHeight="1" x14ac:dyDescent="0.25">
      <c r="B23" s="1"/>
      <c r="C23" s="93"/>
      <c r="D23" s="95"/>
      <c r="E23" s="95"/>
      <c r="F23" s="95"/>
      <c r="G23" s="95"/>
      <c r="H23" s="9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"/>
      <c r="V23" s="1"/>
    </row>
    <row r="24" spans="2:22" ht="11.1" customHeight="1" x14ac:dyDescent="0.25">
      <c r="B24" s="1"/>
      <c r="C24" s="93"/>
      <c r="D24" s="95"/>
      <c r="E24" s="95"/>
      <c r="F24" s="95"/>
      <c r="G24" s="95"/>
      <c r="H24" s="95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"/>
      <c r="V24" s="1"/>
    </row>
    <row r="25" spans="2:22" ht="11.1" customHeight="1" x14ac:dyDescent="0.25">
      <c r="B25" s="1"/>
      <c r="C25" s="93"/>
      <c r="D25" s="95"/>
      <c r="E25" s="95"/>
      <c r="F25" s="95"/>
      <c r="G25" s="95"/>
      <c r="H25" s="9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"/>
      <c r="V25" s="1"/>
    </row>
    <row r="26" spans="2:22" ht="11.1" customHeight="1" x14ac:dyDescent="0.25">
      <c r="B26" s="1"/>
      <c r="C26" s="93"/>
      <c r="D26" s="95"/>
      <c r="E26" s="95"/>
      <c r="F26" s="95"/>
      <c r="G26" s="95"/>
      <c r="H26" s="9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"/>
      <c r="V26" s="1"/>
    </row>
    <row r="27" spans="2:22" ht="11.1" customHeight="1" x14ac:dyDescent="0.25">
      <c r="B27" s="1"/>
      <c r="C27" s="93"/>
      <c r="D27" s="95"/>
      <c r="E27" s="95"/>
      <c r="F27" s="95"/>
      <c r="G27" s="95"/>
      <c r="H27" s="9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"/>
      <c r="V27" s="1"/>
    </row>
    <row r="28" spans="2:22" ht="11.1" customHeight="1" x14ac:dyDescent="0.25">
      <c r="B28" s="1"/>
      <c r="C28" s="93"/>
      <c r="D28" s="95"/>
      <c r="E28" s="95"/>
      <c r="F28" s="95"/>
      <c r="G28" s="95"/>
      <c r="H28" s="95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"/>
      <c r="V28" s="1"/>
    </row>
    <row r="29" spans="2:22" ht="11.1" customHeight="1" x14ac:dyDescent="0.25">
      <c r="B29" s="1"/>
      <c r="C29" s="93"/>
      <c r="D29" s="95"/>
      <c r="E29" s="95"/>
      <c r="F29" s="95"/>
      <c r="G29" s="95"/>
      <c r="H29" s="9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"/>
      <c r="V29" s="1"/>
    </row>
    <row r="30" spans="2:22" ht="11.1" customHeight="1" x14ac:dyDescent="0.25">
      <c r="B30" s="1"/>
      <c r="C30" s="93"/>
      <c r="D30" s="95"/>
      <c r="E30" s="95"/>
      <c r="F30" s="95"/>
      <c r="G30" s="95"/>
      <c r="H30" s="9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"/>
      <c r="V30" s="1"/>
    </row>
    <row r="31" spans="2:22" ht="11.1" customHeight="1" x14ac:dyDescent="0.25">
      <c r="B31" s="1"/>
      <c r="C31" s="93"/>
      <c r="D31" s="95"/>
      <c r="E31" s="95"/>
      <c r="F31" s="95"/>
      <c r="G31" s="95"/>
      <c r="H31" s="9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"/>
      <c r="V31" s="1"/>
    </row>
    <row r="32" spans="2:22" x14ac:dyDescent="0.25">
      <c r="B32" s="1"/>
      <c r="C32" s="83"/>
      <c r="D32" s="84"/>
      <c r="E32" s="84"/>
      <c r="F32" s="84"/>
      <c r="G32" s="84"/>
      <c r="H32" s="84"/>
      <c r="I32" s="84"/>
      <c r="J32" s="84"/>
      <c r="K32" s="84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2:22" x14ac:dyDescent="0.25">
      <c r="B33" s="1"/>
      <c r="C33" s="83"/>
      <c r="D33" s="84"/>
      <c r="E33" s="84"/>
      <c r="F33" s="84"/>
      <c r="G33" s="84"/>
      <c r="H33" s="84"/>
      <c r="I33" s="84"/>
      <c r="J33" s="84"/>
      <c r="K33" s="84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2:22" x14ac:dyDescent="0.25">
      <c r="B34" s="1"/>
      <c r="C34" s="83"/>
      <c r="D34" s="84"/>
      <c r="E34" s="84"/>
      <c r="F34" s="84"/>
      <c r="G34" s="84"/>
      <c r="H34" s="84"/>
      <c r="I34" s="84"/>
      <c r="J34" s="84"/>
      <c r="K34" s="84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2:22" x14ac:dyDescent="0.25">
      <c r="B35" s="1"/>
      <c r="C35" s="83"/>
      <c r="D35" s="84"/>
      <c r="E35" s="84"/>
      <c r="F35" s="84"/>
      <c r="G35" s="84"/>
      <c r="H35" s="84"/>
      <c r="I35" s="84"/>
      <c r="J35" s="84"/>
      <c r="K35" s="84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  <row r="36" spans="2:22" x14ac:dyDescent="0.25">
      <c r="B36" s="1"/>
      <c r="C36" s="83"/>
      <c r="D36" s="84"/>
      <c r="E36" s="84"/>
      <c r="F36" s="84"/>
      <c r="G36" s="84"/>
      <c r="H36" s="84"/>
      <c r="I36" s="84"/>
      <c r="J36" s="84"/>
      <c r="K36" s="84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2:22" x14ac:dyDescent="0.25">
      <c r="B37" s="1"/>
      <c r="C37" s="83"/>
      <c r="D37" s="84"/>
      <c r="E37" s="84"/>
      <c r="F37" s="84"/>
      <c r="G37" s="84"/>
      <c r="H37" s="84"/>
      <c r="I37" s="84"/>
      <c r="J37" s="84"/>
      <c r="K37" s="84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</row>
    <row r="38" spans="2:22" x14ac:dyDescent="0.25">
      <c r="B38" s="1"/>
      <c r="C38" s="83"/>
      <c r="D38" s="84"/>
      <c r="E38" s="84"/>
      <c r="F38" s="84"/>
      <c r="G38" s="84"/>
      <c r="H38" s="84"/>
      <c r="I38" s="84"/>
      <c r="J38" s="84"/>
      <c r="K38" s="84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2:22" x14ac:dyDescent="0.25">
      <c r="B39" s="1"/>
      <c r="C39" s="83"/>
      <c r="D39" s="84"/>
      <c r="E39" s="84"/>
      <c r="F39" s="84"/>
      <c r="G39" s="84"/>
      <c r="H39" s="84"/>
      <c r="I39" s="84"/>
      <c r="J39" s="84"/>
      <c r="K39" s="84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</row>
    <row r="40" spans="2:22" x14ac:dyDescent="0.25">
      <c r="B40" s="1"/>
      <c r="C40" s="83"/>
      <c r="D40" s="84"/>
      <c r="E40" s="84"/>
      <c r="F40" s="84"/>
      <c r="G40" s="84"/>
      <c r="H40" s="84"/>
      <c r="I40" s="84"/>
      <c r="J40" s="84"/>
      <c r="K40" s="84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</row>
  </sheetData>
  <sheetProtection selectLockedCells="1"/>
  <mergeCells count="4">
    <mergeCell ref="C6:C15"/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Fichas Técnicas</vt:lpstr>
      <vt:lpstr>Cad. Unid. Medida</vt:lpstr>
      <vt:lpstr>Cardápio</vt:lpstr>
      <vt:lpstr>Lista Semanal</vt:lpstr>
      <vt:lpstr>Lista Compras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2018-11-26T11:22:00Z</cp:lastPrinted>
  <dcterms:created xsi:type="dcterms:W3CDTF">2018-11-01T22:50:23Z</dcterms:created>
  <dcterms:modified xsi:type="dcterms:W3CDTF">2018-12-01T22:48:34Z</dcterms:modified>
</cp:coreProperties>
</file>