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Green Up\Massa\"/>
    </mc:Choice>
  </mc:AlternateContent>
  <bookViews>
    <workbookView xWindow="0" yWindow="0" windowWidth="11670" windowHeight="4545" firstSheet="4" activeTab="4"/>
  </bookViews>
  <sheets>
    <sheet name="Plan Cardapio" sheetId="1" state="hidden" r:id="rId1"/>
    <sheet name="Cardapio" sheetId="2" state="hidden" r:id="rId2"/>
    <sheet name="Novas Fichas" sheetId="11" state="hidden" r:id="rId3"/>
    <sheet name="Modo de preparo" sheetId="12" state="hidden" r:id="rId4"/>
    <sheet name="Ficha Tecnica" sheetId="5" r:id="rId5"/>
    <sheet name="Pratos Master " sheetId="4" state="hidden" r:id="rId6"/>
    <sheet name="Pratos Master (new)" sheetId="13" r:id="rId7"/>
    <sheet name="Ingrediente Master" sheetId="6" r:id="rId8"/>
    <sheet name="Estoque" sheetId="10" state="hidden" r:id="rId9"/>
    <sheet name="Lista Compras" sheetId="7" state="hidden" r:id="rId10"/>
    <sheet name="Lista Producao" sheetId="8" state="hidden" r:id="rId11"/>
    <sheet name="Lista Expedicao" sheetId="9" state="hidden" r:id="rId12"/>
  </sheets>
  <externalReferences>
    <externalReference r:id="rId13"/>
  </externalReferences>
  <definedNames>
    <definedName name="_xlnm._FilterDatabase" localSheetId="4" hidden="1">'Ficha Tecnica'!$A$3:$E$2329</definedName>
    <definedName name="_xlnm._FilterDatabase" localSheetId="7" hidden="1">'Ingrediente Master'!$A$1:$I$1</definedName>
    <definedName name="_xlnm._FilterDatabase" localSheetId="5" hidden="1">'Pratos Master '!$A$1:$C$185</definedName>
    <definedName name="_xlnm._FilterDatabase" localSheetId="6" hidden="1">'Pratos Master (new)'!$A$1:$C$207</definedName>
    <definedName name="_xlnm.Print_Area" localSheetId="5">'Pratos Master '!$A$1:$C$122</definedName>
    <definedName name="_xlnm.Print_Area" localSheetId="6">'Pratos Master (new)'!$A$1:$C$115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16" i="5" l="1"/>
  <c r="H115" i="5"/>
  <c r="H114" i="5"/>
  <c r="H113" i="5"/>
  <c r="H112" i="5"/>
  <c r="H111" i="5"/>
  <c r="H110" i="5"/>
  <c r="H109" i="5"/>
  <c r="H108" i="5"/>
  <c r="H107" i="5"/>
  <c r="H106" i="5"/>
  <c r="H105" i="5"/>
  <c r="H165" i="10" l="1"/>
  <c r="J165" i="10" s="1"/>
  <c r="H164" i="10"/>
  <c r="I164" i="10" s="1"/>
  <c r="H163" i="10"/>
  <c r="J163" i="10" s="1"/>
  <c r="H162" i="10"/>
  <c r="J162" i="10" s="1"/>
  <c r="H161" i="10"/>
  <c r="J161" i="10" s="1"/>
  <c r="H160" i="10"/>
  <c r="I160" i="10" s="1"/>
  <c r="H159" i="10"/>
  <c r="J159" i="10" s="1"/>
  <c r="H158" i="10"/>
  <c r="J158" i="10" s="1"/>
  <c r="H157" i="10"/>
  <c r="J157" i="10" s="1"/>
  <c r="H156" i="10"/>
  <c r="I156" i="10" s="1"/>
  <c r="H155" i="10"/>
  <c r="J155" i="10" s="1"/>
  <c r="H154" i="10"/>
  <c r="J154" i="10" s="1"/>
  <c r="H153" i="10"/>
  <c r="J153" i="10" s="1"/>
  <c r="H152" i="10"/>
  <c r="I152" i="10" s="1"/>
  <c r="H151" i="10"/>
  <c r="I151" i="10" s="1"/>
  <c r="H150" i="10"/>
  <c r="J150" i="10" s="1"/>
  <c r="H149" i="10"/>
  <c r="J149" i="10" s="1"/>
  <c r="H148" i="10"/>
  <c r="I148" i="10" s="1"/>
  <c r="J147" i="10"/>
  <c r="H147" i="10"/>
  <c r="I147" i="10" s="1"/>
  <c r="H146" i="10"/>
  <c r="J146" i="10" s="1"/>
  <c r="H145" i="10"/>
  <c r="J145" i="10" s="1"/>
  <c r="H144" i="10"/>
  <c r="I144" i="10" s="1"/>
  <c r="H143" i="10"/>
  <c r="I143" i="10" s="1"/>
  <c r="H142" i="10"/>
  <c r="J142" i="10" s="1"/>
  <c r="H141" i="10"/>
  <c r="J141" i="10" s="1"/>
  <c r="H140" i="10"/>
  <c r="I140" i="10" s="1"/>
  <c r="H139" i="10"/>
  <c r="J139" i="10" s="1"/>
  <c r="H138" i="10"/>
  <c r="J138" i="10" s="1"/>
  <c r="H137" i="10"/>
  <c r="J137" i="10" s="1"/>
  <c r="H136" i="10"/>
  <c r="I136" i="10" s="1"/>
  <c r="H135" i="10"/>
  <c r="I135" i="10" s="1"/>
  <c r="H134" i="10"/>
  <c r="J134" i="10" s="1"/>
  <c r="H133" i="10"/>
  <c r="J133" i="10" s="1"/>
  <c r="H132" i="10"/>
  <c r="I132" i="10" s="1"/>
  <c r="J131" i="10"/>
  <c r="H131" i="10"/>
  <c r="I131" i="10" s="1"/>
  <c r="H130" i="10"/>
  <c r="J130" i="10" s="1"/>
  <c r="H129" i="10"/>
  <c r="J129" i="10" s="1"/>
  <c r="H128" i="10"/>
  <c r="I128" i="10" s="1"/>
  <c r="H127" i="10"/>
  <c r="J127" i="10" s="1"/>
  <c r="H126" i="10"/>
  <c r="J126" i="10" s="1"/>
  <c r="H125" i="10"/>
  <c r="J125" i="10" s="1"/>
  <c r="H124" i="10"/>
  <c r="I124" i="10" s="1"/>
  <c r="H123" i="10"/>
  <c r="J123" i="10" s="1"/>
  <c r="H122" i="10"/>
  <c r="J122" i="10" s="1"/>
  <c r="H121" i="10"/>
  <c r="J121" i="10" s="1"/>
  <c r="H120" i="10"/>
  <c r="I120" i="10" s="1"/>
  <c r="H119" i="10"/>
  <c r="I119" i="10" s="1"/>
  <c r="H118" i="10"/>
  <c r="J118" i="10" s="1"/>
  <c r="H117" i="10"/>
  <c r="J117" i="10" s="1"/>
  <c r="H116" i="10"/>
  <c r="I116" i="10" s="1"/>
  <c r="J115" i="10"/>
  <c r="H115" i="10"/>
  <c r="I115" i="10" s="1"/>
  <c r="H114" i="10"/>
  <c r="J114" i="10" s="1"/>
  <c r="H113" i="10"/>
  <c r="J113" i="10" s="1"/>
  <c r="H112" i="10"/>
  <c r="I112" i="10" s="1"/>
  <c r="H111" i="10"/>
  <c r="J111" i="10" s="1"/>
  <c r="H110" i="10"/>
  <c r="J110" i="10" s="1"/>
  <c r="H109" i="10"/>
  <c r="J109" i="10" s="1"/>
  <c r="H108" i="10"/>
  <c r="I108" i="10" s="1"/>
  <c r="H107" i="10"/>
  <c r="J107" i="10" s="1"/>
  <c r="H106" i="10"/>
  <c r="J106" i="10" s="1"/>
  <c r="H105" i="10"/>
  <c r="J105" i="10" s="1"/>
  <c r="H104" i="10"/>
  <c r="I104" i="10" s="1"/>
  <c r="H103" i="10"/>
  <c r="I103" i="10" s="1"/>
  <c r="H102" i="10"/>
  <c r="J102" i="10" s="1"/>
  <c r="H101" i="10"/>
  <c r="J101" i="10" s="1"/>
  <c r="H100" i="10"/>
  <c r="I100" i="10" s="1"/>
  <c r="J99" i="10"/>
  <c r="H99" i="10"/>
  <c r="I99" i="10" s="1"/>
  <c r="H98" i="10"/>
  <c r="J98" i="10" s="1"/>
  <c r="H97" i="10"/>
  <c r="J97" i="10" s="1"/>
  <c r="H96" i="10"/>
  <c r="I96" i="10" s="1"/>
  <c r="H95" i="10"/>
  <c r="I95" i="10" s="1"/>
  <c r="H94" i="10"/>
  <c r="J94" i="10" s="1"/>
  <c r="H93" i="10"/>
  <c r="J93" i="10" s="1"/>
  <c r="H92" i="10"/>
  <c r="I92" i="10" s="1"/>
  <c r="H91" i="10"/>
  <c r="J91" i="10" s="1"/>
  <c r="H90" i="10"/>
  <c r="J90" i="10" s="1"/>
  <c r="H89" i="10"/>
  <c r="J89" i="10" s="1"/>
  <c r="H88" i="10"/>
  <c r="I88" i="10" s="1"/>
  <c r="H87" i="10"/>
  <c r="I87" i="10" s="1"/>
  <c r="H86" i="10"/>
  <c r="J86" i="10" s="1"/>
  <c r="H85" i="10"/>
  <c r="J85" i="10" s="1"/>
  <c r="H84" i="10"/>
  <c r="I84" i="10" s="1"/>
  <c r="J83" i="10"/>
  <c r="H83" i="10"/>
  <c r="I83" i="10" s="1"/>
  <c r="H82" i="10"/>
  <c r="J82" i="10" s="1"/>
  <c r="H81" i="10"/>
  <c r="J81" i="10" s="1"/>
  <c r="H80" i="10"/>
  <c r="I80" i="10" s="1"/>
  <c r="H79" i="10"/>
  <c r="J79" i="10" s="1"/>
  <c r="H78" i="10"/>
  <c r="J78" i="10" s="1"/>
  <c r="H77" i="10"/>
  <c r="J77" i="10" s="1"/>
  <c r="H76" i="10"/>
  <c r="I76" i="10" s="1"/>
  <c r="H75" i="10"/>
  <c r="J75" i="10" s="1"/>
  <c r="H74" i="10"/>
  <c r="J74" i="10" s="1"/>
  <c r="H73" i="10"/>
  <c r="J73" i="10" s="1"/>
  <c r="H72" i="10"/>
  <c r="I72" i="10" s="1"/>
  <c r="H71" i="10"/>
  <c r="I71" i="10" s="1"/>
  <c r="H70" i="10"/>
  <c r="J70" i="10" s="1"/>
  <c r="H69" i="10"/>
  <c r="J69" i="10" s="1"/>
  <c r="H68" i="10"/>
  <c r="I68" i="10" s="1"/>
  <c r="J67" i="10"/>
  <c r="H67" i="10"/>
  <c r="I67" i="10" s="1"/>
  <c r="H66" i="10"/>
  <c r="J66" i="10" s="1"/>
  <c r="H65" i="10"/>
  <c r="J65" i="10" s="1"/>
  <c r="H64" i="10"/>
  <c r="I64" i="10" s="1"/>
  <c r="H63" i="10"/>
  <c r="J63" i="10" s="1"/>
  <c r="H62" i="10"/>
  <c r="J62" i="10" s="1"/>
  <c r="H61" i="10"/>
  <c r="J61" i="10" s="1"/>
  <c r="H60" i="10"/>
  <c r="I60" i="10" s="1"/>
  <c r="H59" i="10"/>
  <c r="J59" i="10" s="1"/>
  <c r="H58" i="10"/>
  <c r="J58" i="10" s="1"/>
  <c r="H57" i="10"/>
  <c r="J57" i="10" s="1"/>
  <c r="H56" i="10"/>
  <c r="I56" i="10" s="1"/>
  <c r="J55" i="10"/>
  <c r="I55" i="10"/>
  <c r="H55" i="10"/>
  <c r="H54" i="10"/>
  <c r="J54" i="10" s="1"/>
  <c r="H53" i="10"/>
  <c r="J53" i="10" s="1"/>
  <c r="J52" i="10"/>
  <c r="H52" i="10"/>
  <c r="I52" i="10" s="1"/>
  <c r="H51" i="10"/>
  <c r="I51" i="10" s="1"/>
  <c r="H50" i="10"/>
  <c r="J50" i="10" s="1"/>
  <c r="H49" i="10"/>
  <c r="J49" i="10" s="1"/>
  <c r="H48" i="10"/>
  <c r="I48" i="10" s="1"/>
  <c r="H47" i="10"/>
  <c r="I47" i="10" s="1"/>
  <c r="H46" i="10"/>
  <c r="J46" i="10" s="1"/>
  <c r="H45" i="10"/>
  <c r="J45" i="10" s="1"/>
  <c r="H44" i="10"/>
  <c r="I44" i="10" s="1"/>
  <c r="H43" i="10"/>
  <c r="J43" i="10" s="1"/>
  <c r="H42" i="10"/>
  <c r="J42" i="10" s="1"/>
  <c r="H41" i="10"/>
  <c r="J41" i="10" s="1"/>
  <c r="H40" i="10"/>
  <c r="I40" i="10" s="1"/>
  <c r="I39" i="10"/>
  <c r="H39" i="10"/>
  <c r="J39" i="10" s="1"/>
  <c r="H38" i="10"/>
  <c r="J38" i="10" s="1"/>
  <c r="H37" i="10"/>
  <c r="J37" i="10" s="1"/>
  <c r="J36" i="10"/>
  <c r="H36" i="10"/>
  <c r="I36" i="10" s="1"/>
  <c r="J35" i="10"/>
  <c r="H35" i="10"/>
  <c r="I35" i="10" s="1"/>
  <c r="H34" i="10"/>
  <c r="J34" i="10" s="1"/>
  <c r="H33" i="10"/>
  <c r="J33" i="10" s="1"/>
  <c r="H32" i="10"/>
  <c r="I32" i="10" s="1"/>
  <c r="H31" i="10"/>
  <c r="J31" i="10" s="1"/>
  <c r="H30" i="10"/>
  <c r="J30" i="10" s="1"/>
  <c r="H29" i="10"/>
  <c r="J29" i="10" s="1"/>
  <c r="H28" i="10"/>
  <c r="I28" i="10" s="1"/>
  <c r="H27" i="10"/>
  <c r="J27" i="10" s="1"/>
  <c r="H26" i="10"/>
  <c r="J26" i="10" s="1"/>
  <c r="H25" i="10"/>
  <c r="J25" i="10" s="1"/>
  <c r="H24" i="10"/>
  <c r="I24" i="10" s="1"/>
  <c r="J23" i="10"/>
  <c r="I23" i="10"/>
  <c r="H23" i="10"/>
  <c r="H22" i="10"/>
  <c r="J22" i="10" s="1"/>
  <c r="H21" i="10"/>
  <c r="J21" i="10" s="1"/>
  <c r="J20" i="10"/>
  <c r="H20" i="10"/>
  <c r="I20" i="10" s="1"/>
  <c r="H19" i="10"/>
  <c r="I19" i="10" s="1"/>
  <c r="H18" i="10"/>
  <c r="I18" i="10" s="1"/>
  <c r="H17" i="10"/>
  <c r="I17" i="10" s="1"/>
  <c r="H16" i="10"/>
  <c r="J16" i="10" s="1"/>
  <c r="H15" i="10"/>
  <c r="J15" i="10" s="1"/>
  <c r="H14" i="10"/>
  <c r="I14" i="10" s="1"/>
  <c r="H13" i="10"/>
  <c r="J13" i="10" s="1"/>
  <c r="H12" i="10"/>
  <c r="I12" i="10" s="1"/>
  <c r="H11" i="10"/>
  <c r="I11" i="10" s="1"/>
  <c r="H10" i="10"/>
  <c r="I10" i="10" s="1"/>
  <c r="H9" i="10"/>
  <c r="I9" i="10" s="1"/>
  <c r="H8" i="10"/>
  <c r="I8" i="10" s="1"/>
  <c r="H7" i="10"/>
  <c r="I7" i="10" s="1"/>
  <c r="H6" i="10"/>
  <c r="I6" i="10" s="1"/>
  <c r="H5" i="10"/>
  <c r="I5" i="10" s="1"/>
  <c r="I4" i="10"/>
  <c r="H4" i="10"/>
  <c r="H3" i="10"/>
  <c r="I3" i="10" s="1"/>
  <c r="J19" i="10" l="1"/>
  <c r="J51" i="10"/>
  <c r="J32" i="10"/>
  <c r="J64" i="10"/>
  <c r="J80" i="10"/>
  <c r="J96" i="10"/>
  <c r="J112" i="10"/>
  <c r="J128" i="10"/>
  <c r="J144" i="10"/>
  <c r="J160" i="10"/>
  <c r="I163" i="10"/>
  <c r="J48" i="10"/>
  <c r="J71" i="10"/>
  <c r="J87" i="10"/>
  <c r="J103" i="10"/>
  <c r="J119" i="10"/>
  <c r="J135" i="10"/>
  <c r="J151" i="10"/>
  <c r="J28" i="10"/>
  <c r="I31" i="10"/>
  <c r="I63" i="10"/>
  <c r="J76" i="10"/>
  <c r="I79" i="10"/>
  <c r="J108" i="10"/>
  <c r="I111" i="10"/>
  <c r="J124" i="10"/>
  <c r="I127" i="10"/>
  <c r="J156" i="10"/>
  <c r="I159" i="10"/>
  <c r="J10" i="10"/>
  <c r="I13" i="10"/>
  <c r="J24" i="10"/>
  <c r="I27" i="10"/>
  <c r="J40" i="10"/>
  <c r="I43" i="10"/>
  <c r="J47" i="10"/>
  <c r="J56" i="10"/>
  <c r="I59" i="10"/>
  <c r="J72" i="10"/>
  <c r="I75" i="10"/>
  <c r="J88" i="10"/>
  <c r="I91" i="10"/>
  <c r="J95" i="10"/>
  <c r="J104" i="10"/>
  <c r="I107" i="10"/>
  <c r="J120" i="10"/>
  <c r="I123" i="10"/>
  <c r="J136" i="10"/>
  <c r="I139" i="10"/>
  <c r="J143" i="10"/>
  <c r="J152" i="10"/>
  <c r="I155" i="10"/>
  <c r="J14" i="10"/>
  <c r="J44" i="10"/>
  <c r="J60" i="10"/>
  <c r="J92" i="10"/>
  <c r="J140" i="10"/>
  <c r="J68" i="10"/>
  <c r="J84" i="10"/>
  <c r="J100" i="10"/>
  <c r="J116" i="10"/>
  <c r="J132" i="10"/>
  <c r="J148" i="10"/>
  <c r="J164" i="10"/>
  <c r="I16" i="10"/>
  <c r="I22" i="10"/>
  <c r="I26" i="10"/>
  <c r="I30" i="10"/>
  <c r="I34" i="10"/>
  <c r="I38" i="10"/>
  <c r="I42" i="10"/>
  <c r="I46" i="10"/>
  <c r="I50" i="10"/>
  <c r="I54" i="10"/>
  <c r="I58" i="10"/>
  <c r="I62" i="10"/>
  <c r="I66" i="10"/>
  <c r="I70" i="10"/>
  <c r="I74" i="10"/>
  <c r="I78" i="10"/>
  <c r="I82" i="10"/>
  <c r="I86" i="10"/>
  <c r="I90" i="10"/>
  <c r="I94" i="10"/>
  <c r="I98" i="10"/>
  <c r="I102" i="10"/>
  <c r="I106" i="10"/>
  <c r="I110" i="10"/>
  <c r="I114" i="10"/>
  <c r="I118" i="10"/>
  <c r="I122" i="10"/>
  <c r="I126" i="10"/>
  <c r="I130" i="10"/>
  <c r="I134" i="10"/>
  <c r="I138" i="10"/>
  <c r="I142" i="10"/>
  <c r="I146" i="10"/>
  <c r="I150" i="10"/>
  <c r="I154" i="10"/>
  <c r="I158" i="10"/>
  <c r="I162" i="10"/>
  <c r="J12" i="10"/>
  <c r="I15" i="10"/>
  <c r="I21" i="10"/>
  <c r="I25" i="10"/>
  <c r="I29" i="10"/>
  <c r="I33" i="10"/>
  <c r="I37" i="10"/>
  <c r="I41" i="10"/>
  <c r="I45" i="10"/>
  <c r="I49" i="10"/>
  <c r="I53" i="10"/>
  <c r="I57" i="10"/>
  <c r="I61" i="10"/>
  <c r="I65" i="10"/>
  <c r="I69" i="10"/>
  <c r="I73" i="10"/>
  <c r="I77" i="10"/>
  <c r="I81" i="10"/>
  <c r="I85" i="10"/>
  <c r="I89" i="10"/>
  <c r="I93" i="10"/>
  <c r="I97" i="10"/>
  <c r="I101" i="10"/>
  <c r="I105" i="10"/>
  <c r="I109" i="10"/>
  <c r="I113" i="10"/>
  <c r="I117" i="10"/>
  <c r="I121" i="10"/>
  <c r="I125" i="10"/>
  <c r="I129" i="10"/>
  <c r="I133" i="10"/>
  <c r="I137" i="10"/>
  <c r="I141" i="10"/>
  <c r="I145" i="10"/>
  <c r="I149" i="10"/>
  <c r="I153" i="10"/>
  <c r="I157" i="10"/>
  <c r="I161" i="10"/>
  <c r="I165" i="10"/>
  <c r="F35" i="9" l="1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BC53" i="2"/>
  <c r="BC52" i="2"/>
  <c r="BC51" i="2"/>
  <c r="BC50" i="2"/>
  <c r="BC49" i="2"/>
  <c r="BC48" i="2"/>
  <c r="BC47" i="2"/>
  <c r="BC46" i="2"/>
  <c r="BC45" i="2"/>
  <c r="BC44" i="2"/>
  <c r="BC43" i="2"/>
  <c r="BC42" i="2"/>
  <c r="BC40" i="2"/>
  <c r="BC39" i="2"/>
  <c r="BC38" i="2"/>
  <c r="BC37" i="2"/>
  <c r="BC36" i="2"/>
  <c r="BC35" i="2"/>
  <c r="BC34" i="2"/>
  <c r="BC33" i="2"/>
  <c r="BC32" i="2"/>
  <c r="BC31" i="2"/>
  <c r="BC30" i="2"/>
  <c r="BC29" i="2"/>
  <c r="BC28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11" i="2"/>
  <c r="BC10" i="2"/>
  <c r="BC9" i="2"/>
  <c r="BC8" i="2"/>
  <c r="BC7" i="2"/>
  <c r="BC6" i="2"/>
  <c r="BC5" i="2"/>
  <c r="BJ53" i="2"/>
  <c r="BJ52" i="2"/>
  <c r="BJ51" i="2"/>
  <c r="BJ50" i="2"/>
  <c r="BJ49" i="2"/>
  <c r="BJ48" i="2"/>
  <c r="BJ47" i="2"/>
  <c r="BJ46" i="2"/>
  <c r="BJ45" i="2"/>
  <c r="BJ44" i="2"/>
  <c r="BJ43" i="2"/>
  <c r="BJ42" i="2"/>
  <c r="BJ40" i="2"/>
  <c r="BJ39" i="2"/>
  <c r="BJ38" i="2"/>
  <c r="BJ37" i="2"/>
  <c r="BJ36" i="2"/>
  <c r="BJ35" i="2"/>
  <c r="BJ34" i="2"/>
  <c r="BJ33" i="2"/>
  <c r="BJ32" i="2"/>
  <c r="BJ31" i="2"/>
  <c r="BJ30" i="2"/>
  <c r="BJ29" i="2"/>
  <c r="BJ28" i="2"/>
  <c r="BJ26" i="2"/>
  <c r="BJ25" i="2"/>
  <c r="BJ24" i="2"/>
  <c r="BJ23" i="2"/>
  <c r="BJ22" i="2"/>
  <c r="BJ21" i="2"/>
  <c r="BJ20" i="2"/>
  <c r="BJ19" i="2"/>
  <c r="BJ18" i="2"/>
  <c r="BJ17" i="2"/>
  <c r="BJ16" i="2"/>
  <c r="BJ15" i="2"/>
  <c r="BJ14" i="2"/>
  <c r="BJ13" i="2"/>
  <c r="BJ12" i="2"/>
  <c r="BJ11" i="2"/>
  <c r="BJ10" i="2"/>
  <c r="BJ9" i="2"/>
  <c r="BJ8" i="2"/>
  <c r="BJ7" i="2"/>
  <c r="BJ6" i="2"/>
  <c r="BJ5" i="2"/>
  <c r="BQ53" i="2"/>
  <c r="BQ52" i="2"/>
  <c r="BQ51" i="2"/>
  <c r="BQ50" i="2"/>
  <c r="BQ49" i="2"/>
  <c r="BQ48" i="2"/>
  <c r="BQ47" i="2"/>
  <c r="BQ46" i="2"/>
  <c r="BQ45" i="2"/>
  <c r="BQ44" i="2"/>
  <c r="BQ43" i="2"/>
  <c r="BQ42" i="2"/>
  <c r="BQ40" i="2"/>
  <c r="BQ39" i="2"/>
  <c r="BQ38" i="2"/>
  <c r="BQ37" i="2"/>
  <c r="BQ36" i="2"/>
  <c r="BQ35" i="2"/>
  <c r="BQ34" i="2"/>
  <c r="BQ33" i="2"/>
  <c r="BQ32" i="2"/>
  <c r="BQ31" i="2"/>
  <c r="BQ30" i="2"/>
  <c r="BQ29" i="2"/>
  <c r="BQ28" i="2"/>
  <c r="BQ26" i="2"/>
  <c r="BQ25" i="2"/>
  <c r="BQ24" i="2"/>
  <c r="BQ23" i="2"/>
  <c r="BQ22" i="2"/>
  <c r="BQ21" i="2"/>
  <c r="BQ20" i="2"/>
  <c r="BQ19" i="2"/>
  <c r="BQ18" i="2"/>
  <c r="BQ17" i="2"/>
  <c r="BQ16" i="2"/>
  <c r="BQ15" i="2"/>
  <c r="BQ14" i="2"/>
  <c r="BQ13" i="2"/>
  <c r="BQ12" i="2"/>
  <c r="BQ11" i="2"/>
  <c r="BQ10" i="2"/>
  <c r="BQ9" i="2"/>
  <c r="BQ8" i="2"/>
  <c r="BQ7" i="2"/>
  <c r="BQ6" i="2"/>
  <c r="BQ5" i="2"/>
  <c r="AV53" i="2"/>
  <c r="AV52" i="2"/>
  <c r="AV51" i="2"/>
  <c r="AV50" i="2"/>
  <c r="AV49" i="2"/>
  <c r="AV48" i="2"/>
  <c r="AV47" i="2"/>
  <c r="AV46" i="2"/>
  <c r="AV45" i="2"/>
  <c r="AV44" i="2"/>
  <c r="AV43" i="2"/>
  <c r="AV42" i="2"/>
  <c r="AV40" i="2"/>
  <c r="AV39" i="2"/>
  <c r="AV38" i="2"/>
  <c r="AV37" i="2"/>
  <c r="AV36" i="2"/>
  <c r="AV35" i="2"/>
  <c r="AV34" i="2"/>
  <c r="AV33" i="2"/>
  <c r="AV32" i="2"/>
  <c r="AV31" i="2"/>
  <c r="AV30" i="2"/>
  <c r="AV29" i="2"/>
  <c r="AV28" i="2"/>
  <c r="AV26" i="2"/>
  <c r="AV25" i="2"/>
  <c r="AV24" i="2"/>
  <c r="AV23" i="2"/>
  <c r="AV22" i="2"/>
  <c r="AV21" i="2"/>
  <c r="AV20" i="2"/>
  <c r="AV19" i="2"/>
  <c r="AV18" i="2"/>
  <c r="AV17" i="2"/>
  <c r="AV16" i="2"/>
  <c r="AV15" i="2"/>
  <c r="AV14" i="2"/>
  <c r="AV13" i="2"/>
  <c r="AV12" i="2"/>
  <c r="AV11" i="2"/>
  <c r="AV10" i="2"/>
  <c r="AV9" i="2"/>
  <c r="AV8" i="2"/>
  <c r="AV7" i="2"/>
  <c r="AV6" i="2"/>
  <c r="AV5" i="2"/>
  <c r="AO53" i="2"/>
  <c r="AO52" i="2"/>
  <c r="AO51" i="2"/>
  <c r="AO50" i="2"/>
  <c r="AO49" i="2"/>
  <c r="AO48" i="2"/>
  <c r="AO47" i="2"/>
  <c r="AO46" i="2"/>
  <c r="AO45" i="2"/>
  <c r="AO44" i="2"/>
  <c r="AO43" i="2"/>
  <c r="AO42" i="2"/>
  <c r="AO40" i="2"/>
  <c r="AO39" i="2"/>
  <c r="AO38" i="2"/>
  <c r="AO37" i="2"/>
  <c r="AO36" i="2"/>
  <c r="AO35" i="2"/>
  <c r="AO34" i="2"/>
  <c r="AO33" i="2"/>
  <c r="AO32" i="2"/>
  <c r="AO31" i="2"/>
  <c r="AO30" i="2"/>
  <c r="AO29" i="2"/>
  <c r="AO28" i="2"/>
  <c r="AO26" i="2"/>
  <c r="AO25" i="2"/>
  <c r="AO24" i="2"/>
  <c r="AO23" i="2"/>
  <c r="AO22" i="2"/>
  <c r="AO21" i="2"/>
  <c r="AO20" i="2"/>
  <c r="AO19" i="2"/>
  <c r="AO18" i="2"/>
  <c r="AO17" i="2"/>
  <c r="AO16" i="2"/>
  <c r="AO15" i="2"/>
  <c r="AO14" i="2"/>
  <c r="AO13" i="2"/>
  <c r="AO12" i="2"/>
  <c r="AO11" i="2"/>
  <c r="AO10" i="2"/>
  <c r="AO9" i="2"/>
  <c r="AO8" i="2"/>
  <c r="AO7" i="2"/>
  <c r="AO6" i="2"/>
  <c r="AO5" i="2"/>
  <c r="AH53" i="2"/>
  <c r="AH52" i="2"/>
  <c r="AH51" i="2"/>
  <c r="AH50" i="2"/>
  <c r="AH49" i="2"/>
  <c r="AH48" i="2"/>
  <c r="AH47" i="2"/>
  <c r="AH46" i="2"/>
  <c r="AH45" i="2"/>
  <c r="AH44" i="2"/>
  <c r="AH43" i="2"/>
  <c r="AH42" i="2"/>
  <c r="AH40" i="2"/>
  <c r="AH39" i="2"/>
  <c r="AH38" i="2"/>
  <c r="AH37" i="2"/>
  <c r="AH36" i="2"/>
  <c r="AH35" i="2"/>
  <c r="AH34" i="2"/>
  <c r="AH33" i="2"/>
  <c r="AH32" i="2"/>
  <c r="AH31" i="2"/>
  <c r="AH30" i="2"/>
  <c r="AH29" i="2"/>
  <c r="AH28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T53" i="2"/>
  <c r="T52" i="2"/>
  <c r="T51" i="2"/>
  <c r="T50" i="2"/>
  <c r="T49" i="2"/>
  <c r="T48" i="2"/>
  <c r="T47" i="2"/>
  <c r="T46" i="2"/>
  <c r="T45" i="2"/>
  <c r="T44" i="2"/>
  <c r="T43" i="2"/>
  <c r="T42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M53" i="2"/>
  <c r="M52" i="2"/>
  <c r="M51" i="2"/>
  <c r="M50" i="2"/>
  <c r="M49" i="2"/>
  <c r="M48" i="2"/>
  <c r="M47" i="2"/>
  <c r="M46" i="2"/>
  <c r="M45" i="2"/>
  <c r="M44" i="2"/>
  <c r="M43" i="2"/>
  <c r="M42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F53" i="2"/>
  <c r="F52" i="2"/>
  <c r="F51" i="2"/>
  <c r="F50" i="2"/>
  <c r="F49" i="2"/>
  <c r="F48" i="2"/>
  <c r="F47" i="2"/>
  <c r="F46" i="2"/>
  <c r="F45" i="2"/>
  <c r="F44" i="2"/>
  <c r="F43" i="2"/>
  <c r="F42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D2206" i="5"/>
  <c r="D2205" i="5"/>
  <c r="D2192" i="5"/>
  <c r="D2191" i="5"/>
  <c r="D2190" i="5"/>
  <c r="D2189" i="5"/>
  <c r="D2188" i="5"/>
  <c r="D2187" i="5"/>
  <c r="D1223" i="5"/>
  <c r="D1222" i="5"/>
  <c r="D1221" i="5"/>
  <c r="D1220" i="5"/>
  <c r="D1219" i="5"/>
  <c r="D1218" i="5"/>
  <c r="D1217" i="5"/>
  <c r="D1216" i="5"/>
  <c r="D1215" i="5"/>
  <c r="D1214" i="5"/>
  <c r="D2453" i="5"/>
</calcChain>
</file>

<file path=xl/comments1.xml><?xml version="1.0" encoding="utf-8"?>
<comments xmlns="http://schemas.openxmlformats.org/spreadsheetml/2006/main">
  <authors>
    <author>MARCO TULIO</author>
  </authors>
  <commentList>
    <comment ref="D58" authorId="0" shapeId="0">
      <text>
        <r>
          <rPr>
            <b/>
            <sz val="9"/>
            <color indexed="81"/>
            <rFont val="Segoe UI"/>
            <family val="2"/>
          </rPr>
          <t>MARCO TULIO:</t>
        </r>
        <r>
          <rPr>
            <sz val="9"/>
            <color indexed="81"/>
            <rFont val="Segoe UI"/>
            <family val="2"/>
          </rPr>
          <t xml:space="preserve">
conversão 1ml para 2g
Logo 10 g de limão são 5 ml de suco de limao</t>
        </r>
      </text>
    </comment>
    <comment ref="D1168" authorId="0" shapeId="0">
      <text>
        <r>
          <rPr>
            <b/>
            <sz val="9"/>
            <color indexed="81"/>
            <rFont val="Segoe UI"/>
            <family val="2"/>
          </rPr>
          <t>MARCO TULIO:</t>
        </r>
        <r>
          <rPr>
            <sz val="9"/>
            <color indexed="81"/>
            <rFont val="Segoe UI"/>
            <family val="2"/>
          </rPr>
          <t xml:space="preserve">
convertendo são 5 ml de suco de limao</t>
        </r>
      </text>
    </comment>
    <comment ref="D2022" authorId="0" shapeId="0">
      <text>
        <r>
          <rPr>
            <b/>
            <sz val="9"/>
            <color indexed="81"/>
            <rFont val="Segoe UI"/>
            <family val="2"/>
          </rPr>
          <t>MARCO TULIO:</t>
        </r>
        <r>
          <rPr>
            <sz val="9"/>
            <color indexed="81"/>
            <rFont val="Segoe UI"/>
            <family val="2"/>
          </rPr>
          <t xml:space="preserve">
convertendo são 5 ml de suco de limao</t>
        </r>
      </text>
    </comment>
    <comment ref="D2061" authorId="0" shapeId="0">
      <text>
        <r>
          <rPr>
            <b/>
            <sz val="9"/>
            <color indexed="81"/>
            <rFont val="Segoe UI"/>
            <family val="2"/>
          </rPr>
          <t>MARCO TULIO:</t>
        </r>
        <r>
          <rPr>
            <sz val="9"/>
            <color indexed="81"/>
            <rFont val="Segoe UI"/>
            <family val="2"/>
          </rPr>
          <t xml:space="preserve">
conversão
10g -&gt; 5 ml
</t>
        </r>
      </text>
    </comment>
  </commentList>
</comments>
</file>

<file path=xl/sharedStrings.xml><?xml version="1.0" encoding="utf-8"?>
<sst xmlns="http://schemas.openxmlformats.org/spreadsheetml/2006/main" count="11347" uniqueCount="1557">
  <si>
    <t>Week 1</t>
  </si>
  <si>
    <t>Week 2</t>
  </si>
  <si>
    <t>Week 3</t>
  </si>
  <si>
    <t>Week 4</t>
  </si>
  <si>
    <t>Week 5</t>
  </si>
  <si>
    <t>Cardapio 1</t>
  </si>
  <si>
    <t>Cardapio 2</t>
  </si>
  <si>
    <t>Cardapio 3</t>
  </si>
  <si>
    <t>Cardapio 4</t>
  </si>
  <si>
    <t>Cardapio 5</t>
  </si>
  <si>
    <t>Cardapio 6</t>
  </si>
  <si>
    <t>Cardapio 7</t>
  </si>
  <si>
    <t>Cardapio 8</t>
  </si>
  <si>
    <t>Cardapio 9</t>
  </si>
  <si>
    <t>Cardapio 10</t>
  </si>
  <si>
    <t>Legumes vapor</t>
  </si>
  <si>
    <t>Folhas</t>
  </si>
  <si>
    <t>Salada Grega (folhas, tomate, Queijo branco, azeitona e pepino)</t>
  </si>
  <si>
    <t>Carpaccio Clássico com mescla de folhas</t>
  </si>
  <si>
    <t>Mescla de folhas roxas com ameixas, aceto e brasílico roxo</t>
  </si>
  <si>
    <t xml:space="preserve">Mescla de folhas, feijao fradinho, pimentao assado </t>
  </si>
  <si>
    <t>Mescla de folhas, coco frescos, tempero ceviche</t>
  </si>
  <si>
    <t>Agrião, vegetais variados julianne, limao</t>
  </si>
  <si>
    <t>Alface grelhada, jerez, amendoa e bacon crocante</t>
  </si>
  <si>
    <t>Mescla de folhas, goji, quinoa, melaço</t>
  </si>
  <si>
    <t xml:space="preserve">Mescla de folhas, pepino, iogurte, hortelã, dill, limão </t>
  </si>
  <si>
    <t>Mescla de folhas com tomate, palmito e picles de chuchu</t>
  </si>
  <si>
    <t>Folhas nobres com aceto e pipoca de arroz selvagem</t>
  </si>
  <si>
    <t>Cenoura, gomos cítricos, dill, funcho e rucula</t>
  </si>
  <si>
    <t>Mescla de folhas, couve flor tostada, cúrcuma, cardamomo e semente de mostarda</t>
  </si>
  <si>
    <t>Folhas com abacate, romã, rabanete, hortelã, coentro</t>
  </si>
  <si>
    <t>Mizuna, tofu grelhado, oleo de gergelim, limao, pepino</t>
  </si>
  <si>
    <t>Mescla de folhas, funcho, laranja, dill, coco, gengibre</t>
  </si>
  <si>
    <t>Espinafre, avela, vinagre arroz, chips beringel, tomate fatia desidratado</t>
  </si>
  <si>
    <t>Rúcula, espinafre, semente de abóbora, abobora grelhada e mel</t>
  </si>
  <si>
    <t>Massa</t>
  </si>
  <si>
    <t>Massa com brocolis, castanhas e frutos secos</t>
  </si>
  <si>
    <t>Gnocchi de baroa, aceto, rúcula e frutos secos</t>
  </si>
  <si>
    <t>Rigatoni a la guido</t>
  </si>
  <si>
    <t>Carpaccio de beterraba, flor de sal, fusilli, vinagrete e ervas</t>
  </si>
  <si>
    <t>Farfalle, alho, azeite, parmesao, peperoncino</t>
  </si>
  <si>
    <t>Gnocchi de batata doce, orapronobis e tomate assado</t>
  </si>
  <si>
    <t>Espaguetti oriental frio</t>
  </si>
  <si>
    <t>Espaguetti integral, cogumelo, óleo gergelim, folha mostarda</t>
  </si>
  <si>
    <t>Penne Verde</t>
  </si>
  <si>
    <t>Salpicão de frango, palha, passas</t>
  </si>
  <si>
    <t>Maionese de batata, atum, ervilha, mostarda e pipoca de arroz</t>
  </si>
  <si>
    <t>Panzanela clássica</t>
  </si>
  <si>
    <t>Guacamole classico, nachos a parte</t>
  </si>
  <si>
    <t>Tomate grelhado, alcaparras e pesto</t>
  </si>
  <si>
    <t>Ervilha torta, tomate cereja, búfala, Jerez e hortelã</t>
  </si>
  <si>
    <t>Batatinha baby dourada, vagem, limao, atum, tomate, cebola</t>
  </si>
  <si>
    <t>Cebola assada, aceto, cebolinha verde grelhada</t>
  </si>
  <si>
    <t>Couscous com bronoise de legumes, limão</t>
  </si>
  <si>
    <t>Guarnicao</t>
  </si>
  <si>
    <t>Pirão de peixe</t>
  </si>
  <si>
    <t>Legumes em rodelas assados com alecrim</t>
  </si>
  <si>
    <t xml:space="preserve">Farofa de cebola e dendê </t>
  </si>
  <si>
    <t>Milho grelhado, polenta de milho</t>
  </si>
  <si>
    <t xml:space="preserve">Abóbora Assada </t>
  </si>
  <si>
    <t>Arroz de couve flor, curcuma e gengibre</t>
  </si>
  <si>
    <t>Abobrinha assada com chimichurri</t>
  </si>
  <si>
    <t>Brochete de legumes</t>
  </si>
  <si>
    <t xml:space="preserve">Risoto de grãos, quinoa e nuvem de castanha do para </t>
  </si>
  <si>
    <t xml:space="preserve">Batata gratinada </t>
  </si>
  <si>
    <t>Purê de Batata com cebolinha</t>
  </si>
  <si>
    <t>Espinafre refogado, grão de bico</t>
  </si>
  <si>
    <t>Farofa de Ovos</t>
  </si>
  <si>
    <t>Legumes verdes (vagem, ervilha, brocolis e ervas)</t>
  </si>
  <si>
    <t>Purê rustico de batata doce</t>
  </si>
  <si>
    <t>feijao</t>
  </si>
  <si>
    <t>Arroz (B&amp;I)</t>
  </si>
  <si>
    <t>Proteina</t>
  </si>
  <si>
    <t>Paillard com gremolata</t>
  </si>
  <si>
    <t>Carne de panela clássica</t>
  </si>
  <si>
    <t>Panqueca integral caprese (muçarela, pesto, tomate)</t>
  </si>
  <si>
    <t>Carne com chimichurri</t>
  </si>
  <si>
    <t>Steak ao poivre</t>
  </si>
  <si>
    <t>Omelete com quinoa e legumes tostados</t>
  </si>
  <si>
    <t>Carne com brócolis oriental</t>
  </si>
  <si>
    <t>Carne Assada (Brisket)</t>
  </si>
  <si>
    <t>Peixe com legumes e coco</t>
  </si>
  <si>
    <t>Bobo de camarão no axé</t>
  </si>
  <si>
    <t>Tilapia com Batata Domino</t>
  </si>
  <si>
    <t>Peixe com baroinha, amendoas e pimenta cayena</t>
  </si>
  <si>
    <t>Brochete de peixe do dia com cogumelos e cebolinha</t>
  </si>
  <si>
    <t>Fish cake no panko</t>
  </si>
  <si>
    <t>Peixe Crocante na crosta de sementes</t>
  </si>
  <si>
    <t>Frango grelhado</t>
  </si>
  <si>
    <t>Sobrecoxa e coxa na cerveja, mostarda e cebola</t>
  </si>
  <si>
    <t>Sanduiches</t>
  </si>
  <si>
    <t>Baguette</t>
  </si>
  <si>
    <t>Others</t>
  </si>
  <si>
    <t>Other 1</t>
  </si>
  <si>
    <t>Other 2</t>
  </si>
  <si>
    <t>Other 3</t>
  </si>
  <si>
    <t>Coco</t>
  </si>
  <si>
    <t>Combo Protein</t>
  </si>
  <si>
    <t>Combo Tradicional</t>
  </si>
  <si>
    <t>Combo Fresh</t>
  </si>
  <si>
    <t>Tapiocas</t>
  </si>
  <si>
    <t>Crepiocas</t>
  </si>
  <si>
    <t>Omeletes</t>
  </si>
  <si>
    <t>Chocolate, Chocolate, Chocolate</t>
  </si>
  <si>
    <t>Mousse de Chocolate com Cardamomo</t>
  </si>
  <si>
    <t>Pudim</t>
  </si>
  <si>
    <t>Salada de Frutas + Iorgurte</t>
  </si>
  <si>
    <t>Salad Bar</t>
  </si>
  <si>
    <t>Clara 1</t>
  </si>
  <si>
    <t>Clara 2</t>
  </si>
  <si>
    <t>Escura 1</t>
  </si>
  <si>
    <t>Escura 2</t>
  </si>
  <si>
    <t xml:space="preserve">Legumes 
e Frutas </t>
  </si>
  <si>
    <t>Graos</t>
  </si>
  <si>
    <t>Proteico</t>
  </si>
  <si>
    <t>Forma 1</t>
  </si>
  <si>
    <t>Forma 2</t>
  </si>
  <si>
    <t>livre</t>
  </si>
  <si>
    <t>Copos</t>
  </si>
  <si>
    <t>Frango</t>
  </si>
  <si>
    <t>Vegano</t>
  </si>
  <si>
    <t>Salmao</t>
  </si>
  <si>
    <t>Salada 
de Frutas</t>
  </si>
  <si>
    <t>Simples</t>
  </si>
  <si>
    <t>Iogurte</t>
  </si>
  <si>
    <t>Green 
Up &amp; Go</t>
  </si>
  <si>
    <t>Molhos</t>
  </si>
  <si>
    <t>Buffet 
Quente</t>
  </si>
  <si>
    <t>Simples 1</t>
  </si>
  <si>
    <t>Simples 2</t>
  </si>
  <si>
    <t>Premium</t>
  </si>
  <si>
    <t>Feijao</t>
  </si>
  <si>
    <t>Arroz integral</t>
  </si>
  <si>
    <t>Arroz branco</t>
  </si>
  <si>
    <t>Guarnicao 1</t>
  </si>
  <si>
    <t>Guarnicao 2</t>
  </si>
  <si>
    <t>20 Out</t>
  </si>
  <si>
    <t>ITAIM</t>
  </si>
  <si>
    <t>VILA</t>
  </si>
  <si>
    <t>JK</t>
  </si>
  <si>
    <t>INDI</t>
  </si>
  <si>
    <t>LIVRE</t>
  </si>
  <si>
    <r>
      <t xml:space="preserve">Salad Bar
</t>
    </r>
    <r>
      <rPr>
        <b/>
        <i/>
        <sz val="11"/>
        <color theme="0"/>
        <rFont val="Calibri"/>
        <family val="2"/>
        <scheme val="minor"/>
      </rPr>
      <t xml:space="preserve">
(em kilos)</t>
    </r>
  </si>
  <si>
    <r>
      <t xml:space="preserve">Buffet 
Quente
</t>
    </r>
    <r>
      <rPr>
        <b/>
        <i/>
        <sz val="11"/>
        <color theme="0"/>
        <rFont val="Calibri"/>
        <family val="2"/>
        <scheme val="minor"/>
      </rPr>
      <t>(em porcoes 
- unidade)</t>
    </r>
  </si>
  <si>
    <r>
      <t xml:space="preserve">Green 
Up &amp; Go
</t>
    </r>
    <r>
      <rPr>
        <b/>
        <i/>
        <sz val="11"/>
        <color theme="0"/>
        <rFont val="Calibri"/>
        <family val="2"/>
        <scheme val="minor"/>
      </rPr>
      <t>(em porcoes 
- unidade)</t>
    </r>
  </si>
  <si>
    <t>Unidades</t>
  </si>
  <si>
    <t>Item</t>
  </si>
  <si>
    <t>Description</t>
  </si>
  <si>
    <t>Salada Caeser (Croutons, maionese de aliche e parmesão)</t>
  </si>
  <si>
    <t>Mescla de Folhas, picles de beterraba e melancia e semente de abóbora</t>
  </si>
  <si>
    <t>Penne, tomate seco, rúcula, búfala.</t>
  </si>
  <si>
    <t>Trigo, rabanete, Nabo sauté, hortelã, limão e zattar</t>
  </si>
  <si>
    <t>Salada Mineira (Ora pro nobis, couve, espinafre, mostarda, queijo minas, melaço, mini milho)</t>
  </si>
  <si>
    <t>Salada Waldorf</t>
  </si>
  <si>
    <t>Fusili ao pesto, rúcula, parmesão, panko</t>
  </si>
  <si>
    <t>Salada de beterraba com Aceto, dill e queijo de cabra</t>
  </si>
  <si>
    <t>Mescla de folhas, lombo defumado, damasco e canastra</t>
  </si>
  <si>
    <t xml:space="preserve">Agrião, Bacon e queijo de cabra, croutons </t>
  </si>
  <si>
    <t>Rigatoni com frango grelhado e chimichurri</t>
  </si>
  <si>
    <t>Couscous marroquino, Laranja, amêndoas</t>
  </si>
  <si>
    <t>Mescla de folhas, manga, gergelim, óleo de gergelim, balsâmico, crocante de e biscoito de arroz</t>
  </si>
  <si>
    <t>Mescla de Folhas laranja desidratada com casca, hortelã, gengibre vinagrete de laranja e limão + Salsão</t>
  </si>
  <si>
    <t>Farfale, bacalhau, grão de bico, pimentão assado, alho, cebola, vinagre e salsinha</t>
  </si>
  <si>
    <t xml:space="preserve">Abobrinha grelhada com pesto e búfala </t>
  </si>
  <si>
    <t>Salada de folhas com pêssego, mel e castanha</t>
  </si>
  <si>
    <t>Caponata Clássica</t>
  </si>
  <si>
    <t>Proteinas</t>
  </si>
  <si>
    <t>Saltimbocca</t>
  </si>
  <si>
    <t>Frango Grelhado</t>
  </si>
  <si>
    <t xml:space="preserve">Kafta Clássica – com qualada seca, páprica e hortelã. </t>
  </si>
  <si>
    <t>Cupim assado clássico</t>
  </si>
  <si>
    <t>Baby Beef a Cavalo e ciboulette</t>
  </si>
  <si>
    <t>Burguer de carne, tomate, queijo gratinado</t>
  </si>
  <si>
    <t>Peixe na crosta de pacoquinha e coulis de pimentao</t>
  </si>
  <si>
    <t>Veggie Burguer (grão de bico, lentilha, cebola roxa, hortelã e Cabra)</t>
  </si>
  <si>
    <t>Purê de abobora Assada</t>
  </si>
  <si>
    <t>Guarnicoes</t>
  </si>
  <si>
    <t>Brócolis com chips de alho</t>
  </si>
  <si>
    <t>Couve flor gratinada</t>
  </si>
  <si>
    <t>Batata doce dourada com alecrim</t>
  </si>
  <si>
    <t>Arroz cremoso de cogumelos (com nuvem de castanha do para na finalização do prato)</t>
  </si>
  <si>
    <t>Beterraba assada, redução de aceto</t>
  </si>
  <si>
    <t>Arroz com lentilha, aletria e zattar</t>
  </si>
  <si>
    <t>Coxa e sobrecoxa assada no mel</t>
  </si>
  <si>
    <t>Casca Abacaxi, melao e alecrim</t>
  </si>
  <si>
    <t>Caju, Gengibre, Maracuja</t>
  </si>
  <si>
    <t>Melancia, gengibre, hortela e limao</t>
  </si>
  <si>
    <t>Laranja, Melancia e beterraba</t>
  </si>
  <si>
    <t>Limonada com capim limao</t>
  </si>
  <si>
    <t>Abacaxi com hortela</t>
  </si>
  <si>
    <t>Cha branco, alecrim e limao</t>
  </si>
  <si>
    <t>Chá de capim limão, hortelã, limão, abacaxi, clorofila.</t>
  </si>
  <si>
    <t>Laranja, romã, framboesa, cúrcuma, beterraba</t>
  </si>
  <si>
    <t>Laranja, abacaxi, cenoura, gengibre, acerola, cúrcuma e maçã.</t>
  </si>
  <si>
    <t>Gorgonzola, maçã verde, nozes, mel, endívia ou radicchio</t>
  </si>
  <si>
    <t>Sanduiche</t>
  </si>
  <si>
    <t>Tomate desidratado, búfala manta, brasílico roxo e pesto</t>
  </si>
  <si>
    <t>Atum em lascas, ovo cozido, alface roxa, mostarda dijon com maionese de leite, pepino</t>
  </si>
  <si>
    <t>Abacaxi Grelhado chantilli doce leito e farofa speculous</t>
  </si>
  <si>
    <t>Mexidos</t>
  </si>
  <si>
    <t>Ovo frito</t>
  </si>
  <si>
    <t>Mini Crepioca (frigiderinha de ovo)</t>
  </si>
  <si>
    <t xml:space="preserve">Omelete </t>
  </si>
  <si>
    <t>Couve, hortelã pepino, agua de coco, abacaxi, limão, gengibre, salsinha</t>
  </si>
  <si>
    <t>Espinafre, aipo, salsinha, basilico, perâ, uva verde sem semente, couve, agua de coco e gengibre.</t>
  </si>
  <si>
    <t>Chá de cidreira, abacaxi, uvas verdes, limão siciliano, laranja, cenoura, cúrcuma</t>
  </si>
  <si>
    <t>Cranberry, chá de hibisco com canela, maracujá, inhame, carvão ativado</t>
  </si>
  <si>
    <t>Brownie Fit</t>
  </si>
  <si>
    <t>Creme de Manga Fit</t>
  </si>
  <si>
    <t>Cogumelos grandes, parmesão, castanha, abobrinha, chimichurri</t>
  </si>
  <si>
    <t>Peito de peru, cottage, legumes grelhados, tomate desidratado e espinafre</t>
  </si>
  <si>
    <t>Salada Fatouche</t>
  </si>
  <si>
    <t>Mescla de folhas com parma, mel, parmesão e figo</t>
  </si>
  <si>
    <t>Risoto Parmegiano</t>
  </si>
  <si>
    <t>Farofa Clássica</t>
  </si>
  <si>
    <t>Steak ao gorgonzola</t>
  </si>
  <si>
    <t>Quiabo no vapor com flor de sal</t>
  </si>
  <si>
    <t>Arroz cremoso de cogumelos</t>
  </si>
  <si>
    <t>Escolopini ao limone</t>
  </si>
  <si>
    <t>Picadinho de carne clássico</t>
  </si>
  <si>
    <t>Linguiça de frango</t>
  </si>
  <si>
    <t>Paillard com cogumelos frescos</t>
  </si>
  <si>
    <t>Frango com Quiabo</t>
  </si>
  <si>
    <t>Lombo assado com abacaxi dourado</t>
  </si>
  <si>
    <t>Burguer de Carne com quinoa e queijo</t>
  </si>
  <si>
    <t>Lombinho de porco com salvia e laranja</t>
  </si>
  <si>
    <t>Estrogonoff de carne clássico</t>
  </si>
  <si>
    <t>Rúcula com nibs de cacau, parmesão. Mel de coco e aceto</t>
  </si>
  <si>
    <t>Salada tropical (frutas e castanhas)</t>
  </si>
  <si>
    <t>Mescla de folhas, melão, Orange, parma, amendoin</t>
  </si>
  <si>
    <t>Rúcula, Roast beef, parmesão, tomate desidratado, nozes</t>
  </si>
  <si>
    <t>Fetuccine de pupunha, pesto, parmesão</t>
  </si>
  <si>
    <t>Mescla de folhas, pupunha, pesto, tomate</t>
  </si>
  <si>
    <t>Salada de melancia, cabra, coentro, limão, hortelã</t>
  </si>
  <si>
    <t>Tomate Recheado com ricota, páprica e brasílico</t>
  </si>
  <si>
    <t>Escalivada (pimentão Assado, Berinjela, alho)</t>
  </si>
  <si>
    <t>Romana, Falafel, feta, croutons com zattar, cabra, pepino, tomate</t>
  </si>
  <si>
    <t>Salada Caipira</t>
  </si>
  <si>
    <t>Feijão fradinho com pimentão assado</t>
  </si>
  <si>
    <t>Rúcula com lascas de parmesão, mel, limão e gengibre</t>
  </si>
  <si>
    <t>Salada de Quinoa, Cabra e tomate confit</t>
  </si>
  <si>
    <t>Triguinho com Ratatoulle</t>
  </si>
  <si>
    <t xml:space="preserve">Arroz com grãos e abobrinha </t>
  </si>
  <si>
    <t>Arroz Integral com frutos secos</t>
  </si>
  <si>
    <t>Leite de aveia e castanha do para, nibs cacau, baunilha em fava, sal, ameixa e agua</t>
  </si>
  <si>
    <t>Gengibre, agua, sal, leite de amêndoas, carne de coco, açúcar de coco, baunilha em fava, Marsala</t>
  </si>
  <si>
    <t>Cacau polpa, chá de branco, leite de amêndoas e arroz, óleo de girassol e sal.</t>
  </si>
  <si>
    <t>Baunilha em fava, agua, leite de amêndoas e arroz, tâmaras, café, óleo de coco, pitada de sal</t>
  </si>
  <si>
    <t>Goiaba, beterraba, mel, morango, água de coco, linhaça dourada, vitamina b*</t>
  </si>
  <si>
    <t>Melancia, agua de coco, hortelã, goji berry, frutas vermelhas, própolis</t>
  </si>
  <si>
    <t>Lima, laranja, limão siciliano, grapefruit, funcho, chia, cardamomo</t>
  </si>
  <si>
    <t>Bracciola clássica (Itália)</t>
  </si>
  <si>
    <t>Farfalle Alfredo (Presunto, creme, ervilha, parmesão)</t>
  </si>
  <si>
    <t>Sagu com suco de uva, creme base de baunilha</t>
  </si>
  <si>
    <t>Chibê</t>
  </si>
  <si>
    <t>Maionese de batata, atum, ervilha, mostarda</t>
  </si>
  <si>
    <t>Couve, biquinho, vinagre, salsa, salsão</t>
  </si>
  <si>
    <t>Couve flor, couve de brucelas, farfalle</t>
  </si>
  <si>
    <t>Homus, zattar</t>
  </si>
  <si>
    <t>Salada fresca (repolho roxo, cenoura, limao e dill)</t>
  </si>
  <si>
    <t>Fusili integral noçoise</t>
  </si>
  <si>
    <t>Farofa de Banana</t>
  </si>
  <si>
    <t>Creme de cara</t>
  </si>
  <si>
    <t>Lentilha Cozida com bacon e legumes</t>
  </si>
  <si>
    <t>Arroz chinês chop suey</t>
  </si>
  <si>
    <t>Cheesecake do Paul</t>
  </si>
  <si>
    <t>Camarao oriental e legumes</t>
  </si>
  <si>
    <t>Repolho assado na manteiga com panko</t>
  </si>
  <si>
    <t>Polpeta classica</t>
  </si>
  <si>
    <t>Arroz negro cremoso</t>
  </si>
  <si>
    <t>Risoto de graos e espinafre</t>
  </si>
  <si>
    <t>Risoto de curry, coco, hortela</t>
  </si>
  <si>
    <t>Arroz integral com queijo coalho</t>
  </si>
  <si>
    <t>Acelga refogada no alho mostarda folha</t>
  </si>
  <si>
    <t>Tomate, basilico e mostarda</t>
  </si>
  <si>
    <t>Mescla de folhas, couve flor, furikake, oleo de gergelim, chilli fresco</t>
  </si>
  <si>
    <t>Rucula, grape fruit, parmesao, pimenta</t>
  </si>
  <si>
    <t>Inhame, cenoura mini crua, basilico roxo</t>
  </si>
  <si>
    <t>Mescla de folhas, soja, semente de girassol, pepipo, camarao picante e citrico</t>
  </si>
  <si>
    <t>Batata com ovo e ciboulette</t>
  </si>
  <si>
    <t>Rucula, espenafre, pepino, tomate, abacate, nori</t>
  </si>
  <si>
    <t>Mescla de folhas, maca verde, nozes, gorgonzola, mel</t>
  </si>
  <si>
    <t>Grao de bico, vinagrete e atum</t>
  </si>
  <si>
    <t>Penne, arroz crocante, salvia, alho, damasco</t>
  </si>
  <si>
    <t>Agrião, Pesto, cabra, américa, crocante de arroz</t>
  </si>
  <si>
    <t>Cenoura glaceada no mel e laranja</t>
  </si>
  <si>
    <t>Abóbora assada</t>
  </si>
  <si>
    <t>Batata doce rústica</t>
  </si>
  <si>
    <t>Batata ao murro</t>
  </si>
  <si>
    <t>risoto de abóbora com queijo</t>
  </si>
  <si>
    <t>Purê de milho verde e panko</t>
  </si>
  <si>
    <t>Folhas, banana chips, búfala, páprica</t>
  </si>
  <si>
    <t>Beterraba cozida, aipo em folhas, raspa de limao, castanha do para</t>
  </si>
  <si>
    <t>Mescla de folhas, kani, gergelim, manga, pepino, crocante de arroz</t>
  </si>
  <si>
    <t>Farofa de azeitona, cebola roxa, passas e cenoura</t>
  </si>
  <si>
    <t>Sobre coxa e coxa oriental (gengibre, shoyo, sake, açúcar)</t>
  </si>
  <si>
    <t>Frango crocante</t>
  </si>
  <si>
    <t>Almondega, molho de tomate e pesto</t>
  </si>
  <si>
    <t>Mescla de folhas com tomate, palmito e cebola</t>
  </si>
  <si>
    <t>Penne bernaise e brócolis</t>
  </si>
  <si>
    <t>baguete, carpaccio, parmesão, alcaparras, nozes, rúcula, mostarde dijon</t>
  </si>
  <si>
    <t>baguete, parma, rúcula, tomate seco, queijo curado,</t>
  </si>
  <si>
    <t>baguete, raddichio, queijo azul, maça verde, nozes, mel</t>
  </si>
  <si>
    <t>baguete, tomate maça, queijo minas, pesto, sal e pimenta</t>
  </si>
  <si>
    <t>BLT</t>
  </si>
  <si>
    <t>Caldo Verde</t>
  </si>
  <si>
    <t>Caldo</t>
  </si>
  <si>
    <t>Capim Santo, Cardamomo, Kiwi</t>
  </si>
  <si>
    <t>Capim Santo, gengibre, abacaxi, clorofila</t>
  </si>
  <si>
    <t>Cebola, cogumelo</t>
  </si>
  <si>
    <t>Cenoura e gengibre</t>
  </si>
  <si>
    <t>Chá verde, abacaxi, Spirulina, melaço de romã</t>
  </si>
  <si>
    <t>CLUB</t>
  </si>
  <si>
    <t>creme brulee de doce de leite com whey</t>
  </si>
  <si>
    <t>Creme de baroa aceto e castanhas</t>
  </si>
  <si>
    <t>frango grelhado, abacate, coentro, salsa mexicana, limão, hortelã, barbecue e sour cream</t>
  </si>
  <si>
    <t>Wrap</t>
  </si>
  <si>
    <t>Hibisco, açaí, pimenta dedo de moça</t>
  </si>
  <si>
    <t>Hibisco, melancia, hortelã, gengibre</t>
  </si>
  <si>
    <t>Hibisco, morango, cúrcuma, laranja</t>
  </si>
  <si>
    <t>Hibisco, suco de uva integral, melaço de roma</t>
  </si>
  <si>
    <t>Lentilha com ragu</t>
  </si>
  <si>
    <t>Mandioca</t>
  </si>
  <si>
    <t>pão preto com cogumelo</t>
  </si>
  <si>
    <t>Polenta</t>
  </si>
  <si>
    <t>salmão defumado, creme azedo, dill, tomate maça</t>
  </si>
  <si>
    <t>tofu, cogumelo, folha de mostarda, óleo de gergelim, gengibre gari, alga, maionese de wasabi</t>
  </si>
  <si>
    <t>Tomate</t>
  </si>
  <si>
    <t>tomate, seco, boursin, rucula, hortela, pesto, pimenta dedo de moça</t>
  </si>
  <si>
    <t>Vegetais crus, legumes grelhados, castanha, queijo prato</t>
  </si>
  <si>
    <t>Vegan boost burger (lentilha, quinoa, tofu, edamame, chia, orapronobis)</t>
  </si>
  <si>
    <t>Massa Brocoli, Amendoas, Gorgonzola</t>
  </si>
  <si>
    <t xml:space="preserve">Massa com Cogumelos </t>
  </si>
  <si>
    <t>Repolho assado na manteiga com cardamomo e sumac</t>
  </si>
  <si>
    <t>Risotta de Graos</t>
  </si>
  <si>
    <t>Penne de Nozes e Ricota</t>
  </si>
  <si>
    <t>Peixe na Manteiga de Avela</t>
  </si>
  <si>
    <t>Peixe na Crosta de panko</t>
  </si>
  <si>
    <t xml:space="preserve">Fusilli Integral Escalivada (pimentão assado, berinjela assada, alho) </t>
  </si>
  <si>
    <t>Peixe na erva</t>
  </si>
  <si>
    <t>Panqueca Alho Poro e Ricota</t>
  </si>
  <si>
    <t>Penne Legumes Verde</t>
  </si>
  <si>
    <t>Paqueca integral com provolone e abobora assada</t>
  </si>
  <si>
    <t>Peixe ao Beurre blanc com pétalas de cebola baby</t>
  </si>
  <si>
    <t>Peixe com Molho Campagna</t>
  </si>
  <si>
    <t>Penne Arrabiata</t>
  </si>
  <si>
    <t>Strogonoff de Frango</t>
  </si>
  <si>
    <t>Ossobucco Pomodoro</t>
  </si>
  <si>
    <t>Picadinho Angus ao Gorgonzola</t>
  </si>
  <si>
    <t>Omelete - Cogumelo e Espinafre</t>
  </si>
  <si>
    <t>Espagetti Integral de Mamao Verde e Amendoim</t>
  </si>
  <si>
    <t>Ragu de costela e molho de tomate e pesto</t>
  </si>
  <si>
    <t>Pasta a la norma</t>
  </si>
  <si>
    <t>Acelga, alga, limao, gengibre, furikaki, gergelim e óleo de gergelim</t>
  </si>
  <si>
    <t>Panqueca de parmesão, abobrinha, passa, pesto e castanhas</t>
  </si>
  <si>
    <t xml:space="preserve">Massa de Panqueca de milho e catupiry </t>
  </si>
  <si>
    <t>Panqueca de milho e catupiry</t>
  </si>
  <si>
    <t>Peixe al limone</t>
  </si>
  <si>
    <t>Peixe ao pesto com creme fresco</t>
  </si>
  <si>
    <t>Peixe com gomo de limão, alcaparra, crouton de pão preto e hortelã</t>
  </si>
  <si>
    <t>Peixe com molho tártaro</t>
  </si>
  <si>
    <t>Peixe capixaba</t>
  </si>
  <si>
    <t>Salada mexicana</t>
  </si>
  <si>
    <t>Juliene de legumes</t>
  </si>
  <si>
    <t>taboule clássico</t>
  </si>
  <si>
    <t>Fusilli, Abacate, pico de gallo e frango desfiado</t>
  </si>
  <si>
    <t>Farfalle, Cogumelo, ricota, ervas frescas</t>
  </si>
  <si>
    <t>Penne, tomate, azeitona preta, cebola roxa, pepino, hortelã, coalhada, salsinha</t>
  </si>
  <si>
    <t>Fusili integral com amendoin, ervilha torta, shoyu, vinagre balsamico, óleo de gergelim e tofu</t>
  </si>
  <si>
    <t>Espagueti integral, pesto, tomate assado, ricota, páprica e basilico</t>
  </si>
  <si>
    <t>Burguer a cavalo</t>
  </si>
  <si>
    <t>Picadinho de carne a cavalo</t>
  </si>
  <si>
    <t>Omelete de queijo com orapronobis</t>
  </si>
  <si>
    <t>Batata Rosti</t>
  </si>
  <si>
    <t>Mescla de folhas, pepino, rabanete, semente de abobora</t>
  </si>
  <si>
    <t>Peixe oriental</t>
  </si>
  <si>
    <t>Alface americana - Kg</t>
  </si>
  <si>
    <t>Alface roxa - Kg</t>
  </si>
  <si>
    <t>Alface romana - Kg</t>
  </si>
  <si>
    <t>Alface rubi - Kg</t>
  </si>
  <si>
    <t>Rucula - Kg</t>
  </si>
  <si>
    <t>Agriao - Kg</t>
  </si>
  <si>
    <t>Cenoura ralada - kg</t>
  </si>
  <si>
    <t>Cenoura assada com gengibre e mel - kg</t>
  </si>
  <si>
    <t>Tomate sweet grape - kg</t>
  </si>
  <si>
    <t>Beterraba assada - kg</t>
  </si>
  <si>
    <t>Beterraba crua ralada - kg</t>
  </si>
  <si>
    <t xml:space="preserve">Humus de Beterraba </t>
  </si>
  <si>
    <t>Abobora assada com ervas - kg</t>
  </si>
  <si>
    <t>Broto de feijão - kg</t>
  </si>
  <si>
    <t>Pepino japonês - kg</t>
  </si>
  <si>
    <t>Cebola roxa caramelizada - kg</t>
  </si>
  <si>
    <t>Caponata - kg</t>
  </si>
  <si>
    <t>Humus grao de bico - kg</t>
  </si>
  <si>
    <t>Ervilha torta picada- kg</t>
  </si>
  <si>
    <t>Guacamole - kg</t>
  </si>
  <si>
    <t>Uva fatiada - kg</t>
  </si>
  <si>
    <t>Manga cubos - kg</t>
  </si>
  <si>
    <t>Abacaxi - kg</t>
  </si>
  <si>
    <t>Banana com castanha de caju</t>
  </si>
  <si>
    <t>Batata doce assada</t>
  </si>
  <si>
    <t>Milho</t>
  </si>
  <si>
    <t>Couve flor</t>
  </si>
  <si>
    <t>Brocolis</t>
  </si>
  <si>
    <t>Abobrinha</t>
  </si>
  <si>
    <t>Palmito</t>
  </si>
  <si>
    <t>Kibe Vegano - unid.</t>
  </si>
  <si>
    <t>Tofu marinado - kg</t>
  </si>
  <si>
    <t>Cogumelos  - kg</t>
  </si>
  <si>
    <t>Ovo cozido - unid.</t>
  </si>
  <si>
    <t>Ovo codorna - unid.</t>
  </si>
  <si>
    <t>Queijo minas frescal - Kg</t>
  </si>
  <si>
    <t>Queijo canastra - Kg</t>
  </si>
  <si>
    <t>Parmesão - kg</t>
  </si>
  <si>
    <t>Quinoa com acafrao - kg</t>
  </si>
  <si>
    <t>Arroz multigraos - kg</t>
  </si>
  <si>
    <t>Edamame - kg</t>
  </si>
  <si>
    <t>Grão de Bico - kg</t>
  </si>
  <si>
    <t>Arroz negro - kg</t>
  </si>
  <si>
    <t>Lentilha  - kg</t>
  </si>
  <si>
    <t>Cevadinha</t>
  </si>
  <si>
    <t>Legumes Frutas</t>
  </si>
  <si>
    <t>Top Proteico</t>
  </si>
  <si>
    <t>Pesto</t>
  </si>
  <si>
    <t>Balsamico e mel</t>
  </si>
  <si>
    <t>Mostarda e mel</t>
  </si>
  <si>
    <t>Misso e gengibre</t>
  </si>
  <si>
    <t>Caesar e iogurte</t>
  </si>
  <si>
    <t>Veggie Burguer</t>
  </si>
  <si>
    <t>tipo</t>
  </si>
  <si>
    <t>Outros
(ex. Caldos)</t>
  </si>
  <si>
    <t>Outros</t>
  </si>
  <si>
    <t>Falafel</t>
  </si>
  <si>
    <t>Salada de fruta simples</t>
  </si>
  <si>
    <t>Salada de fruta yogo crunch</t>
  </si>
  <si>
    <t>Salada de fruta</t>
  </si>
  <si>
    <t>pure de banana da terra</t>
  </si>
  <si>
    <t>arroz couve flor coco e limao</t>
  </si>
  <si>
    <t>quinoa com beringela abobrinha e poro</t>
  </si>
  <si>
    <t>Kibe vegano</t>
  </si>
  <si>
    <t xml:space="preserve">Kibe de carne e quinoa </t>
  </si>
  <si>
    <t>Picadinho de frango thay</t>
  </si>
  <si>
    <t>Peixe a provençal (tomate, cebola azeitona portuguesa)</t>
  </si>
  <si>
    <t>Peixe grelhada ghee, alcaparra, ervas</t>
  </si>
  <si>
    <t>Frango com quiabo</t>
  </si>
  <si>
    <t>Peixe ao curry</t>
  </si>
  <si>
    <t>Molhos salada</t>
  </si>
  <si>
    <t>Laranja</t>
  </si>
  <si>
    <t>L</t>
  </si>
  <si>
    <t>Hortela</t>
  </si>
  <si>
    <t>Kg</t>
  </si>
  <si>
    <t>Cenoura</t>
  </si>
  <si>
    <t>Abacaxi</t>
  </si>
  <si>
    <t>Gengibre</t>
  </si>
  <si>
    <t>Polpa de acerola</t>
  </si>
  <si>
    <t>Cúrcuma</t>
  </si>
  <si>
    <t>Maçã</t>
  </si>
  <si>
    <t>Dourado</t>
  </si>
  <si>
    <t>kg</t>
  </si>
  <si>
    <t>Manteiga</t>
  </si>
  <si>
    <t>Alcaparras</t>
  </si>
  <si>
    <t>Limão</t>
  </si>
  <si>
    <t>Penne</t>
  </si>
  <si>
    <t>Arroz Selvagem frito</t>
  </si>
  <si>
    <t>Salvia</t>
  </si>
  <si>
    <t>Damasco</t>
  </si>
  <si>
    <t>Alho</t>
  </si>
  <si>
    <t>Azeite</t>
  </si>
  <si>
    <t>Pimenta calabresa</t>
  </si>
  <si>
    <t>óleo</t>
  </si>
  <si>
    <t>sal</t>
  </si>
  <si>
    <t>Agrião</t>
  </si>
  <si>
    <t>Alface Americana</t>
  </si>
  <si>
    <t>queijo de Cabra</t>
  </si>
  <si>
    <t>Arroz Integral</t>
  </si>
  <si>
    <t>rabanete</t>
  </si>
  <si>
    <t>Semente de abóbora</t>
  </si>
  <si>
    <t>Basilico Verde</t>
  </si>
  <si>
    <t>azeite</t>
  </si>
  <si>
    <t>Castanha do pará</t>
  </si>
  <si>
    <t>alho</t>
  </si>
  <si>
    <t>Chia</t>
  </si>
  <si>
    <t>Gergelim</t>
  </si>
  <si>
    <t>Vinagre</t>
  </si>
  <si>
    <t>laranja</t>
  </si>
  <si>
    <t>mel</t>
  </si>
  <si>
    <t>Paleta de cordeiro </t>
  </si>
  <si>
    <t>Pimenta do reino</t>
  </si>
  <si>
    <t>Sal</t>
  </si>
  <si>
    <t>Cebola Roxa</t>
  </si>
  <si>
    <t>Boursin</t>
  </si>
  <si>
    <t>Abóbora</t>
  </si>
  <si>
    <t>Batata Doce Roxo</t>
  </si>
  <si>
    <t>alecrim</t>
  </si>
  <si>
    <t>Batata Monalisa</t>
  </si>
  <si>
    <t>louro</t>
  </si>
  <si>
    <t>Arroz carnaroli</t>
  </si>
  <si>
    <t>vinho branco</t>
  </si>
  <si>
    <t>Cebola</t>
  </si>
  <si>
    <t>abóbora</t>
  </si>
  <si>
    <t>Parmesao</t>
  </si>
  <si>
    <t>queijo coalho</t>
  </si>
  <si>
    <t>Ceboulette</t>
  </si>
  <si>
    <t>Basilico</t>
  </si>
  <si>
    <t>manteiga</t>
  </si>
  <si>
    <t>milho verde</t>
  </si>
  <si>
    <t>Creme de leite fresco</t>
  </si>
  <si>
    <t>leite</t>
  </si>
  <si>
    <t>Fuba</t>
  </si>
  <si>
    <t>cebola</t>
  </si>
  <si>
    <t>Alface Lisa</t>
  </si>
  <si>
    <t>Alface Crespa</t>
  </si>
  <si>
    <t>Alface Roxo</t>
  </si>
  <si>
    <t>Banana chips</t>
  </si>
  <si>
    <t>Búfala</t>
  </si>
  <si>
    <t>Paprica</t>
  </si>
  <si>
    <t>pimenta do reino</t>
  </si>
  <si>
    <t>Beterraba</t>
  </si>
  <si>
    <t>Folhas de aipo</t>
  </si>
  <si>
    <t>Limão siciliano</t>
  </si>
  <si>
    <t>Aceto</t>
  </si>
  <si>
    <t>Kani</t>
  </si>
  <si>
    <t>Manga</t>
  </si>
  <si>
    <t>Pepino</t>
  </si>
  <si>
    <t>Farinha de mandioca (morro alto)</t>
  </si>
  <si>
    <t>cebola roxa</t>
  </si>
  <si>
    <t>passas</t>
  </si>
  <si>
    <t>cenoura</t>
  </si>
  <si>
    <t>Sobrecoxa e coxa</t>
  </si>
  <si>
    <t>nabo</t>
  </si>
  <si>
    <t>sake licoroso</t>
  </si>
  <si>
    <t>sake seco</t>
  </si>
  <si>
    <t>Açucar</t>
  </si>
  <si>
    <t>gengibre</t>
  </si>
  <si>
    <t>tomilho</t>
  </si>
  <si>
    <t>shoyu</t>
  </si>
  <si>
    <t>Sobrecoxa desossada e sem pele</t>
  </si>
  <si>
    <t>Amido de milho</t>
  </si>
  <si>
    <t>farinha de trigo</t>
  </si>
  <si>
    <t>sake</t>
  </si>
  <si>
    <t>siracha</t>
  </si>
  <si>
    <t>Fraldinha moída</t>
  </si>
  <si>
    <t>bacon</t>
  </si>
  <si>
    <t>Maça de peito moida</t>
  </si>
  <si>
    <t>Tomate sweet grape</t>
  </si>
  <si>
    <t>Tomate pelati</t>
  </si>
  <si>
    <t>Salsão</t>
  </si>
  <si>
    <t>manjericão</t>
  </si>
  <si>
    <t>castanha do pará</t>
  </si>
  <si>
    <t>peixe</t>
  </si>
  <si>
    <t>pimentão vermelho</t>
  </si>
  <si>
    <t>tomate em rama</t>
  </si>
  <si>
    <t>coentro</t>
  </si>
  <si>
    <t>palito de churrasco</t>
  </si>
  <si>
    <t>tomate</t>
  </si>
  <si>
    <t>palmito em conserva grosso</t>
  </si>
  <si>
    <t>Basilico Roxo</t>
  </si>
  <si>
    <t>limão</t>
  </si>
  <si>
    <t>vinagre</t>
  </si>
  <si>
    <t>ovo</t>
  </si>
  <si>
    <t>Batata Doce</t>
  </si>
  <si>
    <t>Baroa</t>
  </si>
  <si>
    <t>Brocolis Ninja</t>
  </si>
  <si>
    <t>Trigo</t>
  </si>
  <si>
    <t>Rabanete</t>
  </si>
  <si>
    <t>Nabo</t>
  </si>
  <si>
    <t>Agua</t>
  </si>
  <si>
    <t>Alho poro</t>
  </si>
  <si>
    <t>Radicchio</t>
  </si>
  <si>
    <t>Nozes</t>
  </si>
  <si>
    <t>Gorgonzola</t>
  </si>
  <si>
    <t>Maça verde</t>
  </si>
  <si>
    <t>Mel</t>
  </si>
  <si>
    <t>Dill</t>
  </si>
  <si>
    <t>Couscus</t>
  </si>
  <si>
    <t>Amendoas</t>
  </si>
  <si>
    <t>Cominho</t>
  </si>
  <si>
    <t>Pimenta síria</t>
  </si>
  <si>
    <t>Vinagre de Jerez</t>
  </si>
  <si>
    <t>Gota</t>
  </si>
  <si>
    <t>Mussarela de Búfala</t>
  </si>
  <si>
    <t>Alface Mimosa</t>
  </si>
  <si>
    <t>Pêssego</t>
  </si>
  <si>
    <t>Castanha de cajú</t>
  </si>
  <si>
    <t>Cebola roxa</t>
  </si>
  <si>
    <t>Queijo de cabra</t>
  </si>
  <si>
    <t>Pimenta caiena</t>
  </si>
  <si>
    <t>Semente de girassol</t>
  </si>
  <si>
    <t>dill</t>
  </si>
  <si>
    <t>Berinjela</t>
  </si>
  <si>
    <t>Pimentão vermelho</t>
  </si>
  <si>
    <t>Farinha de trigo</t>
  </si>
  <si>
    <t>semola de grano duro</t>
  </si>
  <si>
    <t>Rúcula</t>
  </si>
  <si>
    <t>Folha</t>
  </si>
  <si>
    <t>figo seco</t>
  </si>
  <si>
    <t>damasco seco</t>
  </si>
  <si>
    <t>Mostarda</t>
  </si>
  <si>
    <t>Posta de peixe</t>
  </si>
  <si>
    <t>linhaça</t>
  </si>
  <si>
    <t>Gergelim negro</t>
  </si>
  <si>
    <t>Baby Beef</t>
  </si>
  <si>
    <t>Parma</t>
  </si>
  <si>
    <t>palito de dente</t>
  </si>
  <si>
    <t>Tilápia</t>
  </si>
  <si>
    <t>limão siciliano</t>
  </si>
  <si>
    <t>patinho moido</t>
  </si>
  <si>
    <t>Canela em pó</t>
  </si>
  <si>
    <t>Pimenta Síria</t>
  </si>
  <si>
    <t>Limão (raspa)</t>
  </si>
  <si>
    <t>boursin</t>
  </si>
  <si>
    <t>Bacalhau desfiado</t>
  </si>
  <si>
    <t>Creme de Leite</t>
  </si>
  <si>
    <t>Pimenta Caipira</t>
  </si>
  <si>
    <t>Coentro</t>
  </si>
  <si>
    <t>Maçã de peito</t>
  </si>
  <si>
    <t>Batata Baby</t>
  </si>
  <si>
    <t>Cebola baby</t>
  </si>
  <si>
    <t>Pe de Porco</t>
  </si>
  <si>
    <t>Pe de Frango</t>
  </si>
  <si>
    <t>Dorso de Frango</t>
  </si>
  <si>
    <t>Alecrim</t>
  </si>
  <si>
    <t>Molho de Tomate</t>
  </si>
  <si>
    <t>Ramo</t>
  </si>
  <si>
    <t>Tomilho</t>
  </si>
  <si>
    <t>Ovo</t>
  </si>
  <si>
    <t>Vinho Branco</t>
  </si>
  <si>
    <t>Louro</t>
  </si>
  <si>
    <t>Azeitona Portuguesa</t>
  </si>
  <si>
    <t>Dedo de Moca</t>
  </si>
  <si>
    <t>Cebola Baby</t>
  </si>
  <si>
    <t>Bacon</t>
  </si>
  <si>
    <t>Queijo prato</t>
  </si>
  <si>
    <t>Grão de bico</t>
  </si>
  <si>
    <t>Lentilha</t>
  </si>
  <si>
    <t>farinha de pão</t>
  </si>
  <si>
    <t>Pimenta do Reino</t>
  </si>
  <si>
    <t>Tahine</t>
  </si>
  <si>
    <t>Agua Quente</t>
  </si>
  <si>
    <t>Cebolinha</t>
  </si>
  <si>
    <t>Feijão</t>
  </si>
  <si>
    <t>Arroz Branco</t>
  </si>
  <si>
    <t>Dente de Alho</t>
  </si>
  <si>
    <t>Brocolis Caipira</t>
  </si>
  <si>
    <t>Leite</t>
  </si>
  <si>
    <t>Noz Moscada</t>
  </si>
  <si>
    <t>Arroz Agulinha</t>
  </si>
  <si>
    <t>Ervilha congelada</t>
  </si>
  <si>
    <t>Cogumelo</t>
  </si>
  <si>
    <t>Cominho em po</t>
  </si>
  <si>
    <t>Macarrão cabelo de anjo</t>
  </si>
  <si>
    <t>Zattar</t>
  </si>
  <si>
    <t>Óleo</t>
  </si>
  <si>
    <t>l</t>
  </si>
  <si>
    <t>Conchiglioni</t>
  </si>
  <si>
    <t>cravo</t>
  </si>
  <si>
    <t>Espinafre</t>
  </si>
  <si>
    <t>Ricota</t>
  </si>
  <si>
    <t>Uva passa</t>
  </si>
  <si>
    <t>salsão</t>
  </si>
  <si>
    <t>Melão</t>
  </si>
  <si>
    <t>Casca de abacaxi</t>
  </si>
  <si>
    <t>Suco de caju</t>
  </si>
  <si>
    <t>Maracujá</t>
  </si>
  <si>
    <t>Melancia</t>
  </si>
  <si>
    <t>Suco de limão</t>
  </si>
  <si>
    <t>Capim limão</t>
  </si>
  <si>
    <t>Chá de capim limão</t>
  </si>
  <si>
    <t>Clorofila</t>
  </si>
  <si>
    <t>Romã</t>
  </si>
  <si>
    <t>morango</t>
  </si>
  <si>
    <t>cúrcuma</t>
  </si>
  <si>
    <t>Lagarto</t>
  </si>
  <si>
    <t>Mostarda dijon</t>
  </si>
  <si>
    <t>Pipoca de arroz</t>
  </si>
  <si>
    <t>Penne crú</t>
  </si>
  <si>
    <t>Ora pro nobis</t>
  </si>
  <si>
    <t>Couve</t>
  </si>
  <si>
    <t>Melaço</t>
  </si>
  <si>
    <t>Mini milho</t>
  </si>
  <si>
    <t>Queijo Minas</t>
  </si>
  <si>
    <t>Fusili</t>
  </si>
  <si>
    <t>Panko</t>
  </si>
  <si>
    <t>Lombo</t>
  </si>
  <si>
    <t>queijo canastra</t>
  </si>
  <si>
    <t>Croutons</t>
  </si>
  <si>
    <t>Rigatoni</t>
  </si>
  <si>
    <t>salsinha</t>
  </si>
  <si>
    <t>pimenta calabresa</t>
  </si>
  <si>
    <t>Óleo de gergelim</t>
  </si>
  <si>
    <t>uva passa</t>
  </si>
  <si>
    <t>Farfalle</t>
  </si>
  <si>
    <t>grão de bico</t>
  </si>
  <si>
    <t>pimentão amarelo</t>
  </si>
  <si>
    <t>Salsinha</t>
  </si>
  <si>
    <t>Bacalhau</t>
  </si>
  <si>
    <t>Espaguetti Integral</t>
  </si>
  <si>
    <t>pepino</t>
  </si>
  <si>
    <t>Folhas de mostarda</t>
  </si>
  <si>
    <t>Melaço de romã</t>
  </si>
  <si>
    <t>Morango</t>
  </si>
  <si>
    <t>Quinoa</t>
  </si>
  <si>
    <t>Batata</t>
  </si>
  <si>
    <t>Atum</t>
  </si>
  <si>
    <t>Ervilha</t>
  </si>
  <si>
    <t>Aliche</t>
  </si>
  <si>
    <t>0.003</t>
  </si>
  <si>
    <t>Sanitizante clorado</t>
  </si>
  <si>
    <t>Baguete(crouton)</t>
  </si>
  <si>
    <t>Parmesão(lascas)</t>
  </si>
  <si>
    <t>Agua de coco</t>
  </si>
  <si>
    <t>Aipo</t>
  </si>
  <si>
    <t>Pêra</t>
  </si>
  <si>
    <t>Uva verde</t>
  </si>
  <si>
    <t>Chá de cidreira</t>
  </si>
  <si>
    <t>Lúcuma</t>
  </si>
  <si>
    <t>Tanjal</t>
  </si>
  <si>
    <t>Cranberry</t>
  </si>
  <si>
    <t>Chá de hibisco com canela</t>
  </si>
  <si>
    <t>Inhame</t>
  </si>
  <si>
    <t>Carvão ativado</t>
  </si>
  <si>
    <t>Pao Bagel</t>
  </si>
  <si>
    <t>Pao Integral</t>
  </si>
  <si>
    <t>tirar</t>
  </si>
  <si>
    <t>maionese de leite</t>
  </si>
  <si>
    <t>Manta de búfala</t>
  </si>
  <si>
    <t>Castanha do Pará</t>
  </si>
  <si>
    <t>Pão fitness</t>
  </si>
  <si>
    <t>pasta protein</t>
  </si>
  <si>
    <t>Fruta</t>
  </si>
  <si>
    <t>Semente protein</t>
  </si>
  <si>
    <t>Café</t>
  </si>
  <si>
    <t>Pão na chapa</t>
  </si>
  <si>
    <t>Queijo curado</t>
  </si>
  <si>
    <t>Peito de peru</t>
  </si>
  <si>
    <t>Pão de queijo</t>
  </si>
  <si>
    <t>Banana</t>
  </si>
  <si>
    <t>Suco de laranja</t>
  </si>
  <si>
    <t>Granola</t>
  </si>
  <si>
    <t>Manjericão roxo</t>
  </si>
  <si>
    <t>Suco green</t>
  </si>
  <si>
    <t>Tapioca</t>
  </si>
  <si>
    <t>Queijo minas</t>
  </si>
  <si>
    <t>Queijo cottage</t>
  </si>
  <si>
    <t>Queijo Prato</t>
  </si>
  <si>
    <t>Manjericão</t>
  </si>
  <si>
    <t>Manga Verde</t>
  </si>
  <si>
    <t>Leite de Amendoas</t>
  </si>
  <si>
    <t>Linhaça</t>
  </si>
  <si>
    <t>Unidade</t>
  </si>
  <si>
    <t>Açucar de Coco</t>
  </si>
  <si>
    <t>Manteiga(Sem Sal)</t>
  </si>
  <si>
    <t>Açucar Organico</t>
  </si>
  <si>
    <t>Farinha de Arroz</t>
  </si>
  <si>
    <t>Chocolate amargo</t>
  </si>
  <si>
    <t>Nibs de Cacau</t>
  </si>
  <si>
    <t>cha branco</t>
  </si>
  <si>
    <t>Vinagre tinto</t>
  </si>
  <si>
    <t>Açúcar mascavo</t>
  </si>
  <si>
    <t>Chimichurri</t>
  </si>
  <si>
    <t>Queijo Cottage</t>
  </si>
  <si>
    <t>Tomate desidratado</t>
  </si>
  <si>
    <t>Azeitona Preta</t>
  </si>
  <si>
    <t>Pão sírio</t>
  </si>
  <si>
    <t>parma</t>
  </si>
  <si>
    <t>Figo</t>
  </si>
  <si>
    <t>Arroz Carnaroli</t>
  </si>
  <si>
    <t>carcaça de peixe</t>
  </si>
  <si>
    <t>casca de camarão fresco</t>
  </si>
  <si>
    <t>Peixe</t>
  </si>
  <si>
    <t>Pimentão</t>
  </si>
  <si>
    <t>Talo de salsinha</t>
  </si>
  <si>
    <t>Dendê</t>
  </si>
  <si>
    <t>noz moscada</t>
  </si>
  <si>
    <t>Quiabo</t>
  </si>
  <si>
    <t>Flor de Sal</t>
  </si>
  <si>
    <t>Pimenta caipira</t>
  </si>
  <si>
    <t>Farinha de Trigo</t>
  </si>
  <si>
    <t>creme de Leite</t>
  </si>
  <si>
    <t>pimentão verde</t>
  </si>
  <si>
    <t>leite de coco</t>
  </si>
  <si>
    <t>Camarão</t>
  </si>
  <si>
    <t>Bisteca de porco</t>
  </si>
  <si>
    <t>Coxao Mole</t>
  </si>
  <si>
    <t>rabada</t>
  </si>
  <si>
    <t>abobrinha</t>
  </si>
  <si>
    <t>Carne</t>
  </si>
  <si>
    <t>Linguiça de Frango</t>
  </si>
  <si>
    <t>Açúcar Mascavo</t>
  </si>
  <si>
    <t>Peito de Boi</t>
  </si>
  <si>
    <t>Cerveja Preta</t>
  </si>
  <si>
    <t>Mostarda Dijon</t>
  </si>
  <si>
    <t>Chilli em pó</t>
  </si>
  <si>
    <t>Colorau</t>
  </si>
  <si>
    <t>Lombo suíno</t>
  </si>
  <si>
    <t>Conhaque</t>
  </si>
  <si>
    <t>Ketchup</t>
  </si>
  <si>
    <t>Cogumelo Paris</t>
  </si>
  <si>
    <t>Contra filet</t>
  </si>
  <si>
    <t>Uva Verde</t>
  </si>
  <si>
    <t>Queijo branco</t>
  </si>
  <si>
    <t>kiwi</t>
  </si>
  <si>
    <t>Amendoim</t>
  </si>
  <si>
    <t>Filet mignon</t>
  </si>
  <si>
    <t>Pupunha</t>
  </si>
  <si>
    <t xml:space="preserve">      ------</t>
  </si>
  <si>
    <t>Alface Romana</t>
  </si>
  <si>
    <t>Tomate cereja amarelo</t>
  </si>
  <si>
    <t>Espiga de Milho</t>
  </si>
  <si>
    <t>Azeitona sem caroço</t>
  </si>
  <si>
    <t>vagem</t>
  </si>
  <si>
    <t>Q/b</t>
  </si>
  <si>
    <t>Funcho</t>
  </si>
  <si>
    <t>Coco desidratado</t>
  </si>
  <si>
    <t>Ervilhatorta</t>
  </si>
  <si>
    <t>Tomate cereja</t>
  </si>
  <si>
    <t>Jalapeno</t>
  </si>
  <si>
    <t>Feijão fradinho</t>
  </si>
  <si>
    <t>cebolinha</t>
  </si>
  <si>
    <t>Azeitona portuguesa</t>
  </si>
  <si>
    <t>tomate cereja</t>
  </si>
  <si>
    <t>queijo fetta</t>
  </si>
  <si>
    <t>Grão de Bico</t>
  </si>
  <si>
    <t>Pimenta Calabresa</t>
  </si>
  <si>
    <t>Taioba</t>
  </si>
  <si>
    <t>Semente de Girassol</t>
  </si>
  <si>
    <t>linhaça dourada</t>
  </si>
  <si>
    <t>nozes</t>
  </si>
  <si>
    <t>Uva passa negras</t>
  </si>
  <si>
    <t>Uva passa Brancas</t>
  </si>
  <si>
    <t>Leite de aveia</t>
  </si>
  <si>
    <t>Leite de castanha do pará</t>
  </si>
  <si>
    <t>q/b</t>
  </si>
  <si>
    <t>Ameixa</t>
  </si>
  <si>
    <t>Baunilha em fava</t>
  </si>
  <si>
    <t>Carne de coco</t>
  </si>
  <si>
    <t>Marsala</t>
  </si>
  <si>
    <t>Polpa de cacau</t>
  </si>
  <si>
    <t>Cha Branco</t>
  </si>
  <si>
    <t>Leite de arroz</t>
  </si>
  <si>
    <t>Óleo de girassol</t>
  </si>
  <si>
    <t>baunilha em fava</t>
  </si>
  <si>
    <t>Tâmaras</t>
  </si>
  <si>
    <t>Pó de café</t>
  </si>
  <si>
    <t>Óleo de coco</t>
  </si>
  <si>
    <t>Goiaba</t>
  </si>
  <si>
    <t>Goji berry</t>
  </si>
  <si>
    <t>Polpa de frutas vermelhas</t>
  </si>
  <si>
    <t xml:space="preserve">limão </t>
  </si>
  <si>
    <t>Própolis</t>
  </si>
  <si>
    <t>Amendoim torrado</t>
  </si>
  <si>
    <t>Peito de Peru</t>
  </si>
  <si>
    <t>Presunto pedaço</t>
  </si>
  <si>
    <t>Leite condensado</t>
  </si>
  <si>
    <t>Sagu</t>
  </si>
  <si>
    <t>Suco de uva integral</t>
  </si>
  <si>
    <t>Iogurte grego</t>
  </si>
  <si>
    <t>Extrato de baunilha</t>
  </si>
  <si>
    <t>Cream Cheese</t>
  </si>
  <si>
    <t>Farinha Fuba (flocada fina)</t>
  </si>
  <si>
    <t>atum</t>
  </si>
  <si>
    <t>aliche</t>
  </si>
  <si>
    <t>Avela</t>
  </si>
  <si>
    <t>vinagre de arroz</t>
  </si>
  <si>
    <t>Alface Frizee</t>
  </si>
  <si>
    <t>melaco de cana</t>
  </si>
  <si>
    <t>couve manteiga</t>
  </si>
  <si>
    <t>pimenta biquinho</t>
  </si>
  <si>
    <t>Couve de bruxelas</t>
  </si>
  <si>
    <t>tahine</t>
  </si>
  <si>
    <t>cominho</t>
  </si>
  <si>
    <t>zattar</t>
  </si>
  <si>
    <t>repolho roxo</t>
  </si>
  <si>
    <t>fusilli integral</t>
  </si>
  <si>
    <t>iogurte natural</t>
  </si>
  <si>
    <t>curry</t>
  </si>
  <si>
    <t>Pimentão amarelo</t>
  </si>
  <si>
    <t>banana da terra</t>
  </si>
  <si>
    <t>cara</t>
  </si>
  <si>
    <t>cupim</t>
  </si>
  <si>
    <t>conhaque</t>
  </si>
  <si>
    <t>pimenta verde</t>
  </si>
  <si>
    <t>pimentão</t>
  </si>
  <si>
    <t>Framboesa (congelada)</t>
  </si>
  <si>
    <t>Morango (congelada)</t>
  </si>
  <si>
    <t>Amora</t>
  </si>
  <si>
    <t>Chocolate Amargo</t>
  </si>
  <si>
    <t>cardamomo</t>
  </si>
  <si>
    <t>Pao Italiano</t>
  </si>
  <si>
    <t>Vinagre de vinho branco</t>
  </si>
  <si>
    <t>peito de frango</t>
  </si>
  <si>
    <t>mostarda dijon</t>
  </si>
  <si>
    <t>toranja</t>
  </si>
  <si>
    <t>limao capeta</t>
  </si>
  <si>
    <t>quinoa cozida</t>
  </si>
  <si>
    <t>funcho</t>
  </si>
  <si>
    <t>rucula</t>
  </si>
  <si>
    <t>semente girassol</t>
  </si>
  <si>
    <t>óleo de gergelim</t>
  </si>
  <si>
    <t>panko</t>
  </si>
  <si>
    <t>queijo prato</t>
  </si>
  <si>
    <t>repolho</t>
  </si>
  <si>
    <t>fraldinha</t>
  </si>
  <si>
    <t>farinha de rosca</t>
  </si>
  <si>
    <t>sobrecoxa</t>
  </si>
  <si>
    <t>cerveja caracu</t>
  </si>
  <si>
    <t>cebola baby</t>
  </si>
  <si>
    <t>dourado</t>
  </si>
  <si>
    <t>baroa</t>
  </si>
  <si>
    <t>Abacate</t>
  </si>
  <si>
    <t>nachos</t>
  </si>
  <si>
    <t>Arroz Negro</t>
  </si>
  <si>
    <t>catupiry</t>
  </si>
  <si>
    <t>maça</t>
  </si>
  <si>
    <t>Coco em Lascas</t>
  </si>
  <si>
    <t>quinoa</t>
  </si>
  <si>
    <t>Acelga</t>
  </si>
  <si>
    <t>mostarda</t>
  </si>
  <si>
    <t>fumet</t>
  </si>
  <si>
    <t>Azeite de Dende</t>
  </si>
  <si>
    <t>semola</t>
  </si>
  <si>
    <t>ChuChu</t>
  </si>
  <si>
    <t>mizuna</t>
  </si>
  <si>
    <t>tofu</t>
  </si>
  <si>
    <t>beterraba</t>
  </si>
  <si>
    <t>farfalle</t>
  </si>
  <si>
    <t>peperoncino</t>
  </si>
  <si>
    <t>presunto</t>
  </si>
  <si>
    <t>kanikama</t>
  </si>
  <si>
    <t>Lima</t>
  </si>
  <si>
    <t>Limão Siciliano</t>
  </si>
  <si>
    <t>Grape Fruit</t>
  </si>
  <si>
    <t>Semente de Cardamomo</t>
  </si>
  <si>
    <t>Tomate italiano</t>
  </si>
  <si>
    <t>vinagre de framboesa</t>
  </si>
  <si>
    <t>couve flor</t>
  </si>
  <si>
    <t>furikake</t>
  </si>
  <si>
    <t>chilli</t>
  </si>
  <si>
    <t>Grape fruit</t>
  </si>
  <si>
    <t>Mini cenoura</t>
  </si>
  <si>
    <t>maracujá</t>
  </si>
  <si>
    <t>soja</t>
  </si>
  <si>
    <t>maionese</t>
  </si>
  <si>
    <t>espinafre</t>
  </si>
  <si>
    <t>nori</t>
  </si>
  <si>
    <t>gorgonzola</t>
  </si>
  <si>
    <t>molho de ostra</t>
  </si>
  <si>
    <t>farinha de arroz</t>
  </si>
  <si>
    <t>abacaxi</t>
  </si>
  <si>
    <t>Contreau</t>
  </si>
  <si>
    <t>doce de leite vicosa</t>
  </si>
  <si>
    <t>Canjiquinha</t>
  </si>
  <si>
    <t>lentilha</t>
  </si>
  <si>
    <t>Costela/Cupim</t>
  </si>
  <si>
    <t>leite lac free</t>
  </si>
  <si>
    <t>gema de ovo</t>
  </si>
  <si>
    <t>Baguete</t>
  </si>
  <si>
    <t>queijo curado</t>
  </si>
  <si>
    <t>tomate seco</t>
  </si>
  <si>
    <t>queijo minas</t>
  </si>
  <si>
    <t>tomate maça</t>
  </si>
  <si>
    <t>carpaccio de contra file</t>
  </si>
  <si>
    <t>rúcula</t>
  </si>
  <si>
    <t>berinjela</t>
  </si>
  <si>
    <t>abóbora pescoço</t>
  </si>
  <si>
    <t>frango</t>
  </si>
  <si>
    <t>barbecue</t>
  </si>
  <si>
    <t>Folhas de Mostarda</t>
  </si>
  <si>
    <t>gari</t>
  </si>
  <si>
    <t>Alga</t>
  </si>
  <si>
    <t>wasabi em pó</t>
  </si>
  <si>
    <t>cogumelo</t>
  </si>
  <si>
    <t>Pão preto</t>
  </si>
  <si>
    <t>dijon</t>
  </si>
  <si>
    <t>2und</t>
  </si>
  <si>
    <t>salmão defumado</t>
  </si>
  <si>
    <t>pão preto</t>
  </si>
  <si>
    <t>aceto</t>
  </si>
  <si>
    <t>Capim Santo</t>
  </si>
  <si>
    <t>Cardamomo</t>
  </si>
  <si>
    <t>Kiwi</t>
  </si>
  <si>
    <t>Chá verde</t>
  </si>
  <si>
    <t>Suco de maça</t>
  </si>
  <si>
    <t>Maca peruana</t>
  </si>
  <si>
    <t>Hibisco</t>
  </si>
  <si>
    <t>Açaí zero</t>
  </si>
  <si>
    <t>Ghee</t>
  </si>
  <si>
    <t>Farinha de Linhaca</t>
  </si>
  <si>
    <t>Quinoa Cozida</t>
  </si>
  <si>
    <t>Tofu</t>
  </si>
  <si>
    <t>Ora pro Nobis</t>
  </si>
  <si>
    <t>folhas</t>
  </si>
  <si>
    <t>dente</t>
  </si>
  <si>
    <t>Uva Passa</t>
  </si>
  <si>
    <t>Po de fungi</t>
  </si>
  <si>
    <t>Repolho</t>
  </si>
  <si>
    <t>Sumac</t>
  </si>
  <si>
    <t>Trigo em Grao</t>
  </si>
  <si>
    <t>Arroz Selvagem</t>
  </si>
  <si>
    <t>Couve Flor</t>
  </si>
  <si>
    <t>Queijo coalho</t>
  </si>
  <si>
    <t>Furikake</t>
  </si>
  <si>
    <t>Raspa de Limão</t>
  </si>
  <si>
    <t>Suco de Limão</t>
  </si>
  <si>
    <t xml:space="preserve"> Kg</t>
  </si>
  <si>
    <t>Panqueca</t>
  </si>
  <si>
    <t>Alho Poro</t>
  </si>
  <si>
    <t>Oleo de Milho</t>
  </si>
  <si>
    <t>Gema de Ovo</t>
  </si>
  <si>
    <t xml:space="preserve">Limão </t>
  </si>
  <si>
    <t>ml</t>
  </si>
  <si>
    <t>Raspa de Laranja</t>
  </si>
  <si>
    <t>Pickles de Pepino</t>
  </si>
  <si>
    <t>Queijo Provolone</t>
  </si>
  <si>
    <t>Creme de leite</t>
  </si>
  <si>
    <t>Tomatinho</t>
  </si>
  <si>
    <t>Molho de tomate</t>
  </si>
  <si>
    <t>Molho ingles</t>
  </si>
  <si>
    <t>milho</t>
  </si>
  <si>
    <t>batata inglesa</t>
  </si>
  <si>
    <t>Caldo de Frango</t>
  </si>
  <si>
    <t>Ossobucco Bovino</t>
  </si>
  <si>
    <t>Tomate Sweet Grape</t>
  </si>
  <si>
    <t>Vinho Tinto</t>
  </si>
  <si>
    <t>Contra Filet</t>
  </si>
  <si>
    <t>Gergelim Branco</t>
  </si>
  <si>
    <t>Gergelim Negro</t>
  </si>
  <si>
    <t>Espaguetti integral</t>
  </si>
  <si>
    <t>Mamao Verde</t>
  </si>
  <si>
    <t>Limao Tahiti</t>
  </si>
  <si>
    <t>Vinagre de Arroz</t>
  </si>
  <si>
    <t>Molho de Ostra</t>
  </si>
  <si>
    <t>Shoyu</t>
  </si>
  <si>
    <t>molho de tomate</t>
  </si>
  <si>
    <t>basílico</t>
  </si>
  <si>
    <t>pesto</t>
  </si>
  <si>
    <t>beringela</t>
  </si>
  <si>
    <t>ricota defumada</t>
  </si>
  <si>
    <t>acelga</t>
  </si>
  <si>
    <t>alga hijiki</t>
  </si>
  <si>
    <t>limao taiti</t>
  </si>
  <si>
    <t>furikaki</t>
  </si>
  <si>
    <t>gergelim</t>
  </si>
  <si>
    <t>marsala</t>
  </si>
  <si>
    <t>mussarela de búfala</t>
  </si>
  <si>
    <t>tomate sweet grape</t>
  </si>
  <si>
    <t>panqueca</t>
  </si>
  <si>
    <t>ricota</t>
  </si>
  <si>
    <t>mini milho</t>
  </si>
  <si>
    <t>alcaparras</t>
  </si>
  <si>
    <t>Creme de Leite Fresco</t>
  </si>
  <si>
    <t>suco de limão</t>
  </si>
  <si>
    <t>sumac</t>
  </si>
  <si>
    <t>talo de cidreira</t>
  </si>
  <si>
    <t>pão dinamarquês</t>
  </si>
  <si>
    <t>pó de wassabi</t>
  </si>
  <si>
    <t>banana prata</t>
  </si>
  <si>
    <t>Lula</t>
  </si>
  <si>
    <t>picles de pepino</t>
  </si>
  <si>
    <t xml:space="preserve">Penne </t>
  </si>
  <si>
    <t>raspa de limao</t>
  </si>
  <si>
    <t>raspa de laranja</t>
  </si>
  <si>
    <t>Alface romana</t>
  </si>
  <si>
    <t>pimenta jalapeno</t>
  </si>
  <si>
    <t>Pimenta dedo de moça</t>
  </si>
  <si>
    <t>Manteiga ghee</t>
  </si>
  <si>
    <t>Alface crespa</t>
  </si>
  <si>
    <t>alface rubi</t>
  </si>
  <si>
    <t>alface romana</t>
  </si>
  <si>
    <t xml:space="preserve">sal </t>
  </si>
  <si>
    <t>iogurte iorgus</t>
  </si>
  <si>
    <t>hortelã</t>
  </si>
  <si>
    <t>semente de mostarda</t>
  </si>
  <si>
    <t>passas brancas</t>
  </si>
  <si>
    <t>trigo branco</t>
  </si>
  <si>
    <t>triguilho</t>
  </si>
  <si>
    <t>pimenta síria</t>
  </si>
  <si>
    <t>fusili</t>
  </si>
  <si>
    <t>funghi</t>
  </si>
  <si>
    <t>shitake</t>
  </si>
  <si>
    <t>shimaje</t>
  </si>
  <si>
    <t>paris</t>
  </si>
  <si>
    <t>azeeitona</t>
  </si>
  <si>
    <t>vinagre de maça</t>
  </si>
  <si>
    <t>fusili integral</t>
  </si>
  <si>
    <t>amendoin</t>
  </si>
  <si>
    <t>ervilha torta</t>
  </si>
  <si>
    <t>vinagre balsamico</t>
  </si>
  <si>
    <t>cebolinha grelhada</t>
  </si>
  <si>
    <t>páprica</t>
  </si>
  <si>
    <t>espagheti</t>
  </si>
  <si>
    <t>queijo qualho</t>
  </si>
  <si>
    <t>orapronobis</t>
  </si>
  <si>
    <t>batata asterix</t>
  </si>
  <si>
    <t>oleo de gergelim</t>
  </si>
  <si>
    <t>pimenta</t>
  </si>
  <si>
    <t>chuchu</t>
  </si>
  <si>
    <t>semente de coentro</t>
  </si>
  <si>
    <t>agua</t>
  </si>
  <si>
    <t>tomate maca</t>
  </si>
  <si>
    <t>palmito</t>
  </si>
  <si>
    <t>ameixa umeboshi</t>
  </si>
  <si>
    <t>vinagre de maca</t>
  </si>
  <si>
    <t>amendoim</t>
  </si>
  <si>
    <t>alface frisee</t>
  </si>
  <si>
    <t>feijao fradinho</t>
  </si>
  <si>
    <t>pimentao vermelho</t>
  </si>
  <si>
    <t>pimentao amarelo</t>
  </si>
  <si>
    <t>hortela</t>
  </si>
  <si>
    <t>limao</t>
  </si>
  <si>
    <t>0.002</t>
  </si>
  <si>
    <t>ID</t>
  </si>
  <si>
    <t>Prato</t>
  </si>
  <si>
    <t>Ingrediente</t>
  </si>
  <si>
    <t>Quantidade</t>
  </si>
  <si>
    <t>UM</t>
  </si>
  <si>
    <t>Qtdade</t>
  </si>
  <si>
    <t>Drop Down Menu</t>
  </si>
  <si>
    <t>Abóbora pescoço</t>
  </si>
  <si>
    <t>Secos</t>
  </si>
  <si>
    <t>Bebidas</t>
  </si>
  <si>
    <t>Laticinios</t>
  </si>
  <si>
    <t>secos</t>
  </si>
  <si>
    <t>Banana da terra</t>
  </si>
  <si>
    <t>Banana Prata</t>
  </si>
  <si>
    <t>Batata inglesa</t>
  </si>
  <si>
    <t>Bouquet garni</t>
  </si>
  <si>
    <t>Cara</t>
  </si>
  <si>
    <t>Carne de Coco</t>
  </si>
  <si>
    <t>Carpaccio de Contra File</t>
  </si>
  <si>
    <t>Catupiry</t>
  </si>
  <si>
    <t>Cerveja Caracu</t>
  </si>
  <si>
    <t>Chilli</t>
  </si>
  <si>
    <t>Couve Manteiga</t>
  </si>
  <si>
    <t>Cravo</t>
  </si>
  <si>
    <t>Cupim</t>
  </si>
  <si>
    <t>Curry</t>
  </si>
  <si>
    <t>Damasco Seco</t>
  </si>
  <si>
    <t>Dijon</t>
  </si>
  <si>
    <t>Doce de leite vicosa</t>
  </si>
  <si>
    <t>Endívia</t>
  </si>
  <si>
    <t>Farinha de pão</t>
  </si>
  <si>
    <t>Figo seco</t>
  </si>
  <si>
    <t>Framboesa</t>
  </si>
  <si>
    <t>Fumet</t>
  </si>
  <si>
    <t>Fusilli integral</t>
  </si>
  <si>
    <t>Gari</t>
  </si>
  <si>
    <t>Gema de ovo</t>
  </si>
  <si>
    <t>Gergelim branco</t>
  </si>
  <si>
    <t>Gnochi</t>
  </si>
  <si>
    <t>Iogurte natural</t>
  </si>
  <si>
    <t>Jerez</t>
  </si>
  <si>
    <t>Kanikama</t>
  </si>
  <si>
    <t>Leite de Coco</t>
  </si>
  <si>
    <t>Limao capeta</t>
  </si>
  <si>
    <t>Linhaça dourada</t>
  </si>
  <si>
    <t>Maionese</t>
  </si>
  <si>
    <t>Mamao verde</t>
  </si>
  <si>
    <t>Melaco de cana</t>
  </si>
  <si>
    <t>Mescla de folhas</t>
  </si>
  <si>
    <t>Milho verde</t>
  </si>
  <si>
    <t>Mirepoix</t>
  </si>
  <si>
    <t>Mizuna</t>
  </si>
  <si>
    <t>Molho bechamel</t>
  </si>
  <si>
    <t>Molho oriental</t>
  </si>
  <si>
    <t>Nachos</t>
  </si>
  <si>
    <t>Nori</t>
  </si>
  <si>
    <t>oléo de canola</t>
  </si>
  <si>
    <t>Oleo de milho</t>
  </si>
  <si>
    <t>Palito de churrasco</t>
  </si>
  <si>
    <t>Palito de dente</t>
  </si>
  <si>
    <t>Palmito em conserva grosso</t>
  </si>
  <si>
    <t>Passas</t>
  </si>
  <si>
    <t>Patinho moido</t>
  </si>
  <si>
    <t>Peito de Frango</t>
  </si>
  <si>
    <t>Peperoncino</t>
  </si>
  <si>
    <t>Pickles de pepino</t>
  </si>
  <si>
    <t>Pimenta Biquinho</t>
  </si>
  <si>
    <t>Pimenta Caiena</t>
  </si>
  <si>
    <t>Pimenta Verde</t>
  </si>
  <si>
    <t>Pimentão assado</t>
  </si>
  <si>
    <t>Pimentão verde</t>
  </si>
  <si>
    <t>Presunto</t>
  </si>
  <si>
    <t>Presunto fatiado</t>
  </si>
  <si>
    <t>Queijo canastra</t>
  </si>
  <si>
    <t>Queijo fetta</t>
  </si>
  <si>
    <t>Redução de Aceto</t>
  </si>
  <si>
    <t>Repolho roxo</t>
  </si>
  <si>
    <t>Risoto</t>
  </si>
  <si>
    <t>Sake</t>
  </si>
  <si>
    <t>Sake licoroso</t>
  </si>
  <si>
    <t>Sake seco</t>
  </si>
  <si>
    <t>Salmão defumado</t>
  </si>
  <si>
    <t>Semente girassol</t>
  </si>
  <si>
    <t>Semola</t>
  </si>
  <si>
    <t>Semola de grano duro</t>
  </si>
  <si>
    <t>Sobrecoxa</t>
  </si>
  <si>
    <t>Soja</t>
  </si>
  <si>
    <t>Siracha</t>
  </si>
  <si>
    <t>Telha de Baroa</t>
  </si>
  <si>
    <t>Tomate em rama</t>
  </si>
  <si>
    <t>Tomate maça</t>
  </si>
  <si>
    <t>Tomate Seco</t>
  </si>
  <si>
    <t>Toranja</t>
  </si>
  <si>
    <t>Trigo em grao</t>
  </si>
  <si>
    <t>Vagem</t>
  </si>
  <si>
    <t>Vinagre de arroz</t>
  </si>
  <si>
    <t>Vinagre de framboesa</t>
  </si>
  <si>
    <t>Vinagre de maca</t>
  </si>
  <si>
    <t>Wasabi em pó</t>
  </si>
  <si>
    <t>Tipo</t>
  </si>
  <si>
    <t>Fator de Perda</t>
  </si>
  <si>
    <t>Balsamico</t>
  </si>
  <si>
    <t>Batata Doce Roxa</t>
  </si>
  <si>
    <t>Costela</t>
  </si>
  <si>
    <t>Hortifruti</t>
  </si>
  <si>
    <t xml:space="preserve">Cardapio </t>
  </si>
  <si>
    <t>Lista de Compras</t>
  </si>
  <si>
    <t>hotifruti</t>
  </si>
  <si>
    <t>Estoque</t>
  </si>
  <si>
    <t>Final</t>
  </si>
  <si>
    <t>caixas amarelas sao selecao do usuario</t>
  </si>
  <si>
    <t>SUM</t>
  </si>
  <si>
    <t>selecao de multiplos itens</t>
  </si>
  <si>
    <t>Yogo</t>
  </si>
  <si>
    <t>Lista de producao</t>
  </si>
  <si>
    <t>legumes</t>
  </si>
  <si>
    <t>etc</t>
  </si>
  <si>
    <t>CAPRESE - baguete, parma, rúcula, tomate seco, queijo curado,</t>
  </si>
  <si>
    <t>TUNA - Atum em lascas, ovo cozido, alface roxa, mostarda dijon com maionese de leite, pepino</t>
  </si>
  <si>
    <t>facil?</t>
  </si>
  <si>
    <t>VILA OLIMPIA</t>
  </si>
  <si>
    <t>#</t>
  </si>
  <si>
    <t>Onde</t>
  </si>
  <si>
    <t>Produto</t>
  </si>
  <si>
    <t>leadtime 
(dias)</t>
  </si>
  <si>
    <t>Consumo diario med</t>
  </si>
  <si>
    <t>Ponto
Resupply</t>
  </si>
  <si>
    <t>Pedido</t>
  </si>
  <si>
    <t>Resupply?</t>
  </si>
  <si>
    <t>Lote Compra</t>
  </si>
  <si>
    <t>Up&amp;go</t>
  </si>
  <si>
    <t>SUCOS GREEN UP</t>
  </si>
  <si>
    <t>         DETOX FIBRA</t>
  </si>
  <si>
    <t>         ENERGY VITA-C</t>
  </si>
  <si>
    <t>         IMMUNITY BLACK</t>
  </si>
  <si>
    <t>COLD BREW</t>
  </si>
  <si>
    <t>COCONUT</t>
  </si>
  <si>
    <t>SUCO NATURAL 300ML</t>
  </si>
  <si>
    <t>ABACAXI COM HORTELA</t>
  </si>
  <si>
    <t>MARACUJA COM MANGA</t>
  </si>
  <si>
    <t>UVA</t>
  </si>
  <si>
    <t>AGUA DE COCO 300ML</t>
  </si>
  <si>
    <t>SUCHA</t>
  </si>
  <si>
    <t>SUCHA SPIROGIRO ou THERMO</t>
  </si>
  <si>
    <t>KOMBUCHA GARRAFA</t>
  </si>
  <si>
    <t>KOMBUCHA LOVE</t>
  </si>
  <si>
    <t>KOMBUCHA ENERGY</t>
  </si>
  <si>
    <t>KOMBUCHA HARMONY</t>
  </si>
  <si>
    <t>KOMBUCHA LIGHTNESS</t>
  </si>
  <si>
    <t>KOMBUCHA ORIGINAL</t>
  </si>
  <si>
    <t>SUCO DE ACAI ZERO 300 ML</t>
  </si>
  <si>
    <t>SUCO DE ACAI 300 ML</t>
  </si>
  <si>
    <t>SANDUICHE NATURAL</t>
  </si>
  <si>
    <t>INTEGRAL TUNA</t>
  </si>
  <si>
    <t>CLUB SANDWICH</t>
  </si>
  <si>
    <t>BAGUETE CAPRESE</t>
  </si>
  <si>
    <t>VEGGIE</t>
  </si>
  <si>
    <t>SALADA DE FRUTA GREEN UP</t>
  </si>
  <si>
    <t>consolidado</t>
  </si>
  <si>
    <t>SALADA DE FRUTA SIMPLES</t>
  </si>
  <si>
    <t>LENTILHA COM SALMAO</t>
  </si>
  <si>
    <t>ARROZ NEGRO</t>
  </si>
  <si>
    <t>VEGANO</t>
  </si>
  <si>
    <t>Congelados</t>
  </si>
  <si>
    <t>ACAI</t>
  </si>
  <si>
    <t>ACAI (CAIXAS)</t>
  </si>
  <si>
    <t>QUICHE ARTESANAL</t>
  </si>
  <si>
    <t>ALHO PORO COM RICOTA</t>
  </si>
  <si>
    <t>FRANGO COM ABACAXI</t>
  </si>
  <si>
    <t>PAO DE QUEIJO</t>
  </si>
  <si>
    <t>CALDO</t>
  </si>
  <si>
    <t>ABOBORA (ACT)</t>
  </si>
  <si>
    <t>SOPA DE LEGUMES</t>
  </si>
  <si>
    <t>CANJA (ACT)</t>
  </si>
  <si>
    <t>DOCES</t>
  </si>
  <si>
    <t>BRIGADEIRO GOURMET</t>
  </si>
  <si>
    <t>TRUFA VEGANA</t>
  </si>
  <si>
    <t>CHEESECAKE</t>
  </si>
  <si>
    <t>BEM CASADO</t>
  </si>
  <si>
    <t>MINI NAKED</t>
  </si>
  <si>
    <t>MINI BRULE</t>
  </si>
  <si>
    <t>BOLO BANANA (fatia)</t>
  </si>
  <si>
    <t>BOLO CHOCO (fatia)</t>
  </si>
  <si>
    <t>Metalfrio+Est</t>
  </si>
  <si>
    <t>AGUA MINERAL SEM GAS</t>
  </si>
  <si>
    <t>AGUA MINERAL COM GAS</t>
  </si>
  <si>
    <t>GATORADE</t>
  </si>
  <si>
    <t>LARANJA</t>
  </si>
  <si>
    <t>LIMAO</t>
  </si>
  <si>
    <t>MORANGO</t>
  </si>
  <si>
    <t>COCA COLA NORMAL</t>
  </si>
  <si>
    <t>COCA COLA ZERO</t>
  </si>
  <si>
    <t>GUARANA ZERO</t>
  </si>
  <si>
    <t>GUARANA NORMAL</t>
  </si>
  <si>
    <t>SWEEPPES CITRUS</t>
  </si>
  <si>
    <t>SUPORTE</t>
  </si>
  <si>
    <t>LEITE INTEGRAL</t>
  </si>
  <si>
    <t>LEITE SEM LACTOSE</t>
  </si>
  <si>
    <t>LEITE VEGETAL</t>
  </si>
  <si>
    <t>ACUCAR</t>
  </si>
  <si>
    <t>ADOCANTE</t>
  </si>
  <si>
    <t>PIMENTA</t>
  </si>
  <si>
    <t>SAL</t>
  </si>
  <si>
    <t>WHEY</t>
  </si>
  <si>
    <t>ISOPURE</t>
  </si>
  <si>
    <t>GOLD</t>
  </si>
  <si>
    <t>Mercadinho</t>
  </si>
  <si>
    <t>GO NUTS</t>
  </si>
  <si>
    <t>GO NUTS POWER</t>
  </si>
  <si>
    <t>GO NUTS JOY</t>
  </si>
  <si>
    <t>GO NUTS SOUL</t>
  </si>
  <si>
    <t>CAFE GOURMET</t>
  </si>
  <si>
    <t>CAFE GOURMET (CLASSICO - 1KG)</t>
  </si>
  <si>
    <t>CAFE ORFEU CAPSULAS</t>
  </si>
  <si>
    <t>AZEITE</t>
  </si>
  <si>
    <t>CRIACOES</t>
  </si>
  <si>
    <t>COOKIE</t>
  </si>
  <si>
    <t>CASTANHA</t>
  </si>
  <si>
    <t>CACAU</t>
  </si>
  <si>
    <t>GRANOLA</t>
  </si>
  <si>
    <t>REMIX</t>
  </si>
  <si>
    <t>PINEAPPLE</t>
  </si>
  <si>
    <t>SALTY</t>
  </si>
  <si>
    <t>CHA</t>
  </si>
  <si>
    <t>GOOD NIGHT</t>
  </si>
  <si>
    <t>SUMMER SPLASH</t>
  </si>
  <si>
    <t>GOOD MORNING</t>
  </si>
  <si>
    <t>PASTA DE PROTEINA</t>
  </si>
  <si>
    <t>PROTEINA</t>
  </si>
  <si>
    <t>NUTS</t>
  </si>
  <si>
    <t>CHOCO</t>
  </si>
  <si>
    <t>CHOCOLATE AMMA</t>
  </si>
  <si>
    <t>CHOCOLATE AMMA GRANDE</t>
  </si>
  <si>
    <t>CHOCOLATE AMMA MEDIO</t>
  </si>
  <si>
    <t>CHOCOLATE AMMA BABY</t>
  </si>
  <si>
    <t>BARRINHAS</t>
  </si>
  <si>
    <t>COCO</t>
  </si>
  <si>
    <t>ABACAXI</t>
  </si>
  <si>
    <t>AMEIXA</t>
  </si>
  <si>
    <t>TRIDENT</t>
  </si>
  <si>
    <t>EMBALAGEM</t>
  </si>
  <si>
    <t>Sacola grande</t>
  </si>
  <si>
    <t>Sacola pequena</t>
  </si>
  <si>
    <t>Guardanapo</t>
  </si>
  <si>
    <t>Copo café pequeno</t>
  </si>
  <si>
    <t>Copo café grande</t>
  </si>
  <si>
    <t xml:space="preserve">Tampa de copo café </t>
  </si>
  <si>
    <t>Copo plastico descartavel</t>
  </si>
  <si>
    <t>Garfo plastico</t>
  </si>
  <si>
    <t>Colher plastica</t>
  </si>
  <si>
    <t>Faca plastica</t>
  </si>
  <si>
    <t>Porta talher</t>
  </si>
  <si>
    <t>Saco pao de queijo</t>
  </si>
  <si>
    <t>TUNA</t>
  </si>
  <si>
    <t>COGUMELO</t>
  </si>
  <si>
    <t>SALADA DE FRUTA</t>
  </si>
  <si>
    <t>COPO 360</t>
  </si>
  <si>
    <t>BOLHA 360</t>
  </si>
  <si>
    <t>RECIPIENTE GRANOLA</t>
  </si>
  <si>
    <t>TAMPA COPO 360</t>
  </si>
  <si>
    <t>COPO 270</t>
  </si>
  <si>
    <t>TAMPA COPO 270</t>
  </si>
  <si>
    <t>DELIVERY</t>
  </si>
  <si>
    <t>SALADA</t>
  </si>
  <si>
    <t>PRETA G COM DIVISORIA</t>
  </si>
  <si>
    <t>PRETA G SEM DIVISORIA</t>
  </si>
  <si>
    <t>PRETA PEQUENA</t>
  </si>
  <si>
    <t>TAMPAS PRETA G</t>
  </si>
  <si>
    <t>COZINHA</t>
  </si>
  <si>
    <t>Suporte</t>
  </si>
  <si>
    <t>OVO</t>
  </si>
  <si>
    <t>tapioca 1kg</t>
  </si>
  <si>
    <t>polvilho 500 gr</t>
  </si>
  <si>
    <t>beterraba para tapioca</t>
  </si>
  <si>
    <t>sal 1kg</t>
  </si>
  <si>
    <t>vinagre 900ml</t>
  </si>
  <si>
    <t>sal do himalaia grosso 400gr</t>
  </si>
  <si>
    <t>pimenta do reino moída 500gr</t>
  </si>
  <si>
    <t>pimenta do reino graos 500gr</t>
  </si>
  <si>
    <t>canela em pó 1kg</t>
  </si>
  <si>
    <t>Suporte - topppings secos</t>
  </si>
  <si>
    <t>gergelim - pacote</t>
  </si>
  <si>
    <t>goji berries 70gr</t>
  </si>
  <si>
    <t>cramberries 70gr</t>
  </si>
  <si>
    <t>semente de abóbora 500gr</t>
  </si>
  <si>
    <t>semente de girassol 500gr</t>
  </si>
  <si>
    <t>chia 500gr</t>
  </si>
  <si>
    <t>granola salgada 1kg</t>
  </si>
  <si>
    <t>linhaça dourada 150 gr</t>
  </si>
  <si>
    <t>Toppings</t>
  </si>
  <si>
    <t>granola abacaxi 1kg</t>
  </si>
  <si>
    <t>granola coco 1kg</t>
  </si>
  <si>
    <t>salsinha - kg</t>
  </si>
  <si>
    <t>Espinafre - kg</t>
  </si>
  <si>
    <t>tomate fresco - kg</t>
  </si>
  <si>
    <t>manjericao - kg</t>
  </si>
  <si>
    <t>cogumelo - kg</t>
  </si>
  <si>
    <t>Atum - lata</t>
  </si>
  <si>
    <t>Peito de peru - kg</t>
  </si>
  <si>
    <t>Cottage - pacote</t>
  </si>
  <si>
    <t>Queijo minas - kg</t>
  </si>
  <si>
    <t>Frango desfiado - kg</t>
  </si>
  <si>
    <t>apenas itaim</t>
  </si>
  <si>
    <t>mostarda dijon 200gr </t>
  </si>
  <si>
    <t>folhas de louro</t>
  </si>
  <si>
    <t>arroz 1kg</t>
  </si>
  <si>
    <t>arroz integral 1kg</t>
  </si>
  <si>
    <t>feijão 1kg</t>
  </si>
  <si>
    <t>farinha de aveia 500 gr</t>
  </si>
  <si>
    <t>óleo 900ml</t>
  </si>
  <si>
    <t>mel 1lt</t>
  </si>
  <si>
    <t>mostarda 3.300kg</t>
  </si>
  <si>
    <t>somar itens PEDIR da planilha de estoque</t>
  </si>
  <si>
    <t>Batata doce</t>
  </si>
  <si>
    <t>farinha de linhaca</t>
  </si>
  <si>
    <t>hamburguer de salmão</t>
  </si>
  <si>
    <t>salmao</t>
  </si>
  <si>
    <t>unidade</t>
  </si>
  <si>
    <t>manjericao</t>
  </si>
  <si>
    <t>manjerona seca</t>
  </si>
  <si>
    <t>cebola em po</t>
  </si>
  <si>
    <t>limao siciliano</t>
  </si>
  <si>
    <t>hamburguer de frango</t>
  </si>
  <si>
    <t>crème fraiche de tofu</t>
  </si>
  <si>
    <t>leite vegetal</t>
  </si>
  <si>
    <t>Lasanha de abobrinha e berinjela</t>
  </si>
  <si>
    <t>carne moida</t>
  </si>
  <si>
    <t>mussarela</t>
  </si>
  <si>
    <t>manejricao</t>
  </si>
  <si>
    <t>parmesao</t>
  </si>
  <si>
    <t>Purê de milho verde</t>
  </si>
  <si>
    <t>sem panko</t>
  </si>
  <si>
    <t>Italian</t>
  </si>
  <si>
    <t>Peito de frango com molho de espinafre</t>
  </si>
  <si>
    <t>pure de mandioquinha com gengibre</t>
  </si>
  <si>
    <t>Lasanha bolonhesa de abobrinha</t>
  </si>
  <si>
    <t>Hamburguer de salmao</t>
  </si>
  <si>
    <t>Couve e espinafre refogados (gergelin e sementes)</t>
  </si>
  <si>
    <t>Pure de batata doce com crème de ricota</t>
  </si>
  <si>
    <t>Salmao grelhado com molho de maracuja</t>
  </si>
  <si>
    <t>Vagem rasteira com oleo gergelin e shoyo</t>
  </si>
  <si>
    <t>Peito de frango com molho de alho poro e crème ricota</t>
  </si>
  <si>
    <t>Moqueca veggie (cogumelos e pupunha)</t>
  </si>
  <si>
    <t>Hamburguer trufado</t>
  </si>
  <si>
    <t>Legumes assados rodela com molho tomate</t>
  </si>
  <si>
    <t>Pure de couve-flor com cebola caramelisada</t>
  </si>
  <si>
    <t>Coc au vin</t>
  </si>
  <si>
    <t>Espaguetti abobrinha e cenoura refogado</t>
  </si>
  <si>
    <t>Batata hasselback</t>
  </si>
  <si>
    <t>Curry Veggie (Brocolis, Pupunha e tomate)</t>
  </si>
  <si>
    <t>mix de legumes salteados</t>
  </si>
  <si>
    <t>Frango ao curry</t>
  </si>
  <si>
    <t>Cogumelos ao curry</t>
  </si>
  <si>
    <t>Ficha</t>
  </si>
  <si>
    <t>modo</t>
  </si>
  <si>
    <t>ok</t>
  </si>
  <si>
    <t>Beringela assada com alecrim</t>
  </si>
  <si>
    <t>Babaganoush</t>
  </si>
  <si>
    <t>atualizar</t>
  </si>
  <si>
    <t>Peito de frango com molho de cenoura e gengibre</t>
  </si>
  <si>
    <t>Mix de repolho asiatico</t>
  </si>
  <si>
    <t>Pure de abobora assada</t>
  </si>
  <si>
    <t>Penne arrabiata</t>
  </si>
  <si>
    <t>Batata Baroa</t>
  </si>
  <si>
    <t>Queijo Canastra</t>
  </si>
  <si>
    <t>Queijo Boursin</t>
  </si>
  <si>
    <t>Creme de Leite sem lactose</t>
  </si>
  <si>
    <t>Pimenta Dedo de Moca</t>
  </si>
  <si>
    <t>Azeite de Dendê</t>
  </si>
  <si>
    <t>Ervilha torta</t>
  </si>
  <si>
    <t>Farinha Fuba</t>
  </si>
  <si>
    <t>Fraldinha</t>
  </si>
  <si>
    <t>Leite sem lactose</t>
  </si>
  <si>
    <t>Leite de Castanha</t>
  </si>
  <si>
    <t>Linhaça Marrom</t>
  </si>
  <si>
    <t>Molho de ostra</t>
  </si>
  <si>
    <t>Ossobuco</t>
  </si>
  <si>
    <t>Chuchu</t>
  </si>
  <si>
    <t>Cogumelo Portobelo</t>
  </si>
  <si>
    <t>Cogumelo Shitake</t>
  </si>
  <si>
    <t>Cogumelo Shimeji</t>
  </si>
  <si>
    <t>Paleta bovina</t>
  </si>
  <si>
    <t>Muçarela de búfala - kg</t>
  </si>
  <si>
    <t>Peixe grelhado, manteiga queimada, alcaparra, limão</t>
  </si>
  <si>
    <t>Peixe grelhado ghee, alcaparra, ervas</t>
  </si>
  <si>
    <t>Peixe a provençal (tomate, cebola, azeitona portuguesa)</t>
  </si>
  <si>
    <t>Rosbife de maminha com molho de gengibre</t>
  </si>
  <si>
    <t>Peito de frango com molho de alho poro Lacfree</t>
  </si>
  <si>
    <t>Frango xadrez funcional</t>
  </si>
  <si>
    <t>Hamburguer de frango fit com quinoa</t>
  </si>
  <si>
    <t>Lombo de peixe branco na crosta de coco</t>
  </si>
  <si>
    <t>Parmegiana healthy de frango</t>
  </si>
  <si>
    <t>peito de frango indiano</t>
  </si>
  <si>
    <t>Strogonoff de frango com creme de ricota light</t>
  </si>
  <si>
    <t>Lombo de Salmão com molho de alho poró Lacfree</t>
  </si>
  <si>
    <t>Arroz</t>
  </si>
  <si>
    <t>Caponata Caramelizada</t>
  </si>
  <si>
    <t>Cenoura e cebola roxa com mel e gengibre</t>
  </si>
  <si>
    <t>Couscous de quinoa com especiarias</t>
  </si>
  <si>
    <t>Couve e cebola caramelizada com cominho</t>
  </si>
  <si>
    <t>couve gratinada com cream cheese</t>
  </si>
  <si>
    <t>Couve-flor assada com molho Tahine Limão</t>
  </si>
  <si>
    <t>Creme de tomate thai com frango</t>
  </si>
  <si>
    <t>Escondidinho de escarola veggie</t>
  </si>
  <si>
    <t>Farofa de farinha panko</t>
  </si>
  <si>
    <t>Hummus de Batata Doce</t>
  </si>
  <si>
    <t>Legumes Salteados  e Assados</t>
  </si>
  <si>
    <t>Lentilha mediterranea</t>
  </si>
  <si>
    <t>Lentilha no brodo de coco thai e cogumelos paris veggie</t>
  </si>
  <si>
    <t>Mousseline de Batata Doce trufado</t>
  </si>
  <si>
    <t>Purê de Mandioquinha com gengibre</t>
  </si>
  <si>
    <t>Risotto de Cevadinha com cogumelos e alho poró</t>
  </si>
  <si>
    <t>Risotto de couve flor com cogumelos</t>
  </si>
  <si>
    <t>Tomate assado caramelizado</t>
  </si>
  <si>
    <t>Vagem e Cogumelos ao Balsâmico com alho</t>
  </si>
  <si>
    <t>maminha</t>
  </si>
  <si>
    <t>Peito de frango grelhado al limone</t>
  </si>
  <si>
    <t>Frango grelhado al limone</t>
  </si>
  <si>
    <t>Lasanha de berinjela e abobrinha</t>
  </si>
  <si>
    <t>Alface Roxa</t>
  </si>
  <si>
    <t>Alface Rubi</t>
  </si>
  <si>
    <t>Rucula</t>
  </si>
  <si>
    <t>Agriao</t>
  </si>
  <si>
    <t>Cevadinha - kg</t>
  </si>
  <si>
    <t>Ceviche - kg</t>
  </si>
  <si>
    <t>cevadinha</t>
  </si>
  <si>
    <t>arroz negro</t>
  </si>
  <si>
    <t>grao de bico</t>
  </si>
  <si>
    <t>edamame</t>
  </si>
  <si>
    <t>acafrao</t>
  </si>
  <si>
    <t>arroz multigraos</t>
  </si>
  <si>
    <t>abobora</t>
  </si>
  <si>
    <t>manga</t>
  </si>
  <si>
    <t>broto de feijao</t>
  </si>
  <si>
    <t>uva thompson</t>
  </si>
  <si>
    <t>batata doce</t>
  </si>
  <si>
    <t>abacate</t>
  </si>
  <si>
    <t>cogumelo paris</t>
  </si>
  <si>
    <t>ovo cozido</t>
  </si>
  <si>
    <t>ovo codorna</t>
  </si>
  <si>
    <t>mucarela de bufala</t>
  </si>
  <si>
    <t>queijo minas frescal</t>
  </si>
  <si>
    <t>Não encontrado no Pratos Master</t>
  </si>
  <si>
    <t>Column1</t>
  </si>
  <si>
    <t xml:space="preserve"> </t>
  </si>
  <si>
    <t>Panqueca integral com provolone e abobora assada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</si>
</sst>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[$-F800]dddd\,\ mmmm\ dd\,\ yyyy"/>
    <numFmt numFmtId="165" formatCode="0.000"/>
    <numFmt numFmtId="166" formatCode="0.0000"/>
    <numFmt numFmtId="167" formatCode="0.00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7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C00000"/>
      <name val="Calibri"/>
      <family val="2"/>
      <scheme val="minor"/>
    </font>
    <font>
      <b/>
      <sz val="14"/>
      <name val="Calibri"/>
      <family val="2"/>
    </font>
    <font>
      <sz val="10"/>
      <name val="Arial"/>
      <family val="2"/>
    </font>
    <font>
      <sz val="10.5"/>
      <name val="Arial"/>
      <family val="2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Wingdings"/>
      <charset val="2"/>
    </font>
    <font>
      <sz val="10"/>
      <color theme="1"/>
      <name val="Symbol"/>
      <family val="1"/>
      <charset val="2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rgb="FFD9D9D9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</cellStyleXfs>
  <cellXfs count="240">
    <xf numFmtId="0" fontId="0" fillId="0" borderId="0" xfId="0"/>
    <xf numFmtId="164" fontId="0" fillId="2" borderId="1" xfId="0" applyNumberFormat="1" applyFill="1" applyBorder="1" applyAlignment="1">
      <alignment horizontal="center"/>
    </xf>
    <xf numFmtId="0" fontId="5" fillId="3" borderId="0" xfId="0" applyFont="1" applyFill="1"/>
    <xf numFmtId="0" fontId="0" fillId="3" borderId="0" xfId="0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6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wrapText="1"/>
    </xf>
    <xf numFmtId="0" fontId="7" fillId="7" borderId="1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center" wrapText="1"/>
    </xf>
    <xf numFmtId="0" fontId="7" fillId="8" borderId="1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wrapText="1"/>
    </xf>
    <xf numFmtId="0" fontId="8" fillId="3" borderId="0" xfId="0" applyFont="1" applyFill="1" applyBorder="1" applyAlignment="1">
      <alignment horizontal="center"/>
    </xf>
    <xf numFmtId="0" fontId="0" fillId="3" borderId="0" xfId="0" applyFill="1" applyBorder="1"/>
    <xf numFmtId="0" fontId="8" fillId="3" borderId="0" xfId="0" applyFont="1" applyFill="1" applyAlignment="1">
      <alignment horizontal="center"/>
    </xf>
    <xf numFmtId="0" fontId="6" fillId="10" borderId="1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left"/>
    </xf>
    <xf numFmtId="0" fontId="6" fillId="10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3" fillId="11" borderId="1" xfId="0" applyFont="1" applyFill="1" applyBorder="1" applyAlignment="1"/>
    <xf numFmtId="0" fontId="3" fillId="11" borderId="1" xfId="0" applyFont="1" applyFill="1" applyBorder="1" applyAlignment="1">
      <alignment horizontal="center"/>
    </xf>
    <xf numFmtId="0" fontId="0" fillId="0" borderId="1" xfId="0" applyBorder="1" applyAlignme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12" borderId="1" xfId="0" applyFill="1" applyBorder="1"/>
    <xf numFmtId="0" fontId="0" fillId="5" borderId="1" xfId="0" applyFill="1" applyBorder="1"/>
    <xf numFmtId="0" fontId="0" fillId="0" borderId="1" xfId="0" applyFill="1" applyBorder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1" xfId="0" applyBorder="1" applyAlignment="1">
      <alignment horizontal="left"/>
    </xf>
    <xf numFmtId="0" fontId="12" fillId="3" borderId="1" xfId="0" applyFont="1" applyFill="1" applyBorder="1" applyAlignment="1"/>
    <xf numFmtId="0" fontId="13" fillId="3" borderId="1" xfId="0" applyFont="1" applyFill="1" applyBorder="1"/>
    <xf numFmtId="0" fontId="14" fillId="0" borderId="0" xfId="0" applyFont="1"/>
    <xf numFmtId="0" fontId="0" fillId="0" borderId="4" xfId="0" applyFill="1" applyBorder="1" applyAlignment="1">
      <alignment horizontal="center"/>
    </xf>
    <xf numFmtId="0" fontId="0" fillId="0" borderId="0" xfId="0" applyAlignment="1"/>
    <xf numFmtId="0" fontId="0" fillId="0" borderId="0" xfId="0" applyBorder="1"/>
    <xf numFmtId="0" fontId="0" fillId="0" borderId="0" xfId="0" applyFill="1" applyBorder="1"/>
    <xf numFmtId="0" fontId="12" fillId="3" borderId="1" xfId="0" applyFont="1" applyFill="1" applyBorder="1"/>
    <xf numFmtId="0" fontId="12" fillId="3" borderId="1" xfId="0" applyFont="1" applyFill="1" applyBorder="1" applyAlignment="1">
      <alignment horizontal="center"/>
    </xf>
    <xf numFmtId="0" fontId="12" fillId="3" borderId="0" xfId="0" applyFont="1" applyFill="1"/>
    <xf numFmtId="0" fontId="12" fillId="3" borderId="8" xfId="0" applyFont="1" applyFill="1" applyBorder="1"/>
    <xf numFmtId="0" fontId="12" fillId="3" borderId="8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2" fillId="9" borderId="8" xfId="0" applyFont="1" applyFill="1" applyBorder="1"/>
    <xf numFmtId="0" fontId="12" fillId="0" borderId="2" xfId="0" applyFont="1" applyFill="1" applyBorder="1"/>
    <xf numFmtId="0" fontId="12" fillId="3" borderId="6" xfId="0" applyFont="1" applyFill="1" applyBorder="1"/>
    <xf numFmtId="0" fontId="13" fillId="3" borderId="1" xfId="0" applyNumberFormat="1" applyFont="1" applyFill="1" applyBorder="1" applyAlignment="1" applyProtection="1">
      <alignment horizontal="center"/>
    </xf>
    <xf numFmtId="0" fontId="13" fillId="3" borderId="0" xfId="0" applyFont="1" applyFill="1"/>
    <xf numFmtId="0" fontId="12" fillId="3" borderId="0" xfId="0" applyFont="1" applyFill="1" applyAlignment="1">
      <alignment horizontal="center"/>
    </xf>
    <xf numFmtId="0" fontId="15" fillId="13" borderId="7" xfId="0" applyFont="1" applyFill="1" applyBorder="1" applyAlignment="1">
      <alignment horizontal="center" vertical="center"/>
    </xf>
    <xf numFmtId="0" fontId="15" fillId="13" borderId="5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5" xfId="0" applyFont="1" applyFill="1" applyBorder="1"/>
    <xf numFmtId="0" fontId="3" fillId="0" borderId="1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0" borderId="0" xfId="0" applyFont="1"/>
    <xf numFmtId="0" fontId="0" fillId="2" borderId="9" xfId="0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23" fillId="3" borderId="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4" fillId="0" borderId="0" xfId="0" applyFont="1"/>
    <xf numFmtId="0" fontId="0" fillId="8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25" fillId="0" borderId="0" xfId="0" applyFont="1"/>
    <xf numFmtId="9" fontId="9" fillId="0" borderId="0" xfId="0" applyNumberFormat="1" applyFont="1" applyBorder="1"/>
    <xf numFmtId="0" fontId="3" fillId="13" borderId="1" xfId="0" applyFont="1" applyFill="1" applyBorder="1" applyAlignment="1">
      <alignment horizontal="center" vertical="center"/>
    </xf>
    <xf numFmtId="3" fontId="26" fillId="11" borderId="8" xfId="0" applyNumberFormat="1" applyFont="1" applyFill="1" applyBorder="1" applyAlignment="1">
      <alignment horizontal="center" vertical="center" wrapText="1"/>
    </xf>
    <xf numFmtId="3" fontId="26" fillId="11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/>
    </xf>
    <xf numFmtId="0" fontId="0" fillId="0" borderId="0" xfId="0" applyAlignment="1">
      <alignment horizontal="center"/>
    </xf>
    <xf numFmtId="1" fontId="0" fillId="3" borderId="1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5" borderId="1" xfId="0" applyFill="1" applyBorder="1"/>
    <xf numFmtId="0" fontId="0" fillId="0" borderId="1" xfId="0" applyBorder="1" applyAlignment="1">
      <alignment vertical="center" wrapText="1"/>
    </xf>
    <xf numFmtId="0" fontId="12" fillId="9" borderId="1" xfId="0" applyFont="1" applyFill="1" applyBorder="1"/>
    <xf numFmtId="0" fontId="13" fillId="9" borderId="1" xfId="3" applyFont="1" applyFill="1" applyBorder="1"/>
    <xf numFmtId="0" fontId="15" fillId="13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 indent="4"/>
    </xf>
    <xf numFmtId="0" fontId="28" fillId="0" borderId="0" xfId="0" applyFont="1" applyAlignment="1">
      <alignment vertical="center"/>
    </xf>
    <xf numFmtId="0" fontId="14" fillId="0" borderId="0" xfId="0" applyFont="1" applyFill="1" applyBorder="1"/>
    <xf numFmtId="0" fontId="0" fillId="0" borderId="0" xfId="0" applyFill="1" applyBorder="1" applyAlignment="1"/>
    <xf numFmtId="0" fontId="12" fillId="3" borderId="3" xfId="0" applyFont="1" applyFill="1" applyBorder="1" applyAlignment="1"/>
    <xf numFmtId="0" fontId="0" fillId="0" borderId="4" xfId="0" applyFill="1" applyBorder="1"/>
    <xf numFmtId="0" fontId="0" fillId="9" borderId="1" xfId="0" applyFill="1" applyBorder="1"/>
    <xf numFmtId="0" fontId="12" fillId="3" borderId="9" xfId="0" applyFont="1" applyFill="1" applyBorder="1" applyAlignment="1"/>
    <xf numFmtId="0" fontId="12" fillId="3" borderId="0" xfId="0" applyFont="1" applyFill="1" applyBorder="1" applyAlignment="1"/>
    <xf numFmtId="0" fontId="3" fillId="11" borderId="2" xfId="0" applyFont="1" applyFill="1" applyBorder="1" applyAlignment="1">
      <alignment horizontal="center"/>
    </xf>
    <xf numFmtId="0" fontId="0" fillId="5" borderId="9" xfId="0" applyFill="1" applyBorder="1" applyAlignment="1"/>
    <xf numFmtId="0" fontId="0" fillId="5" borderId="0" xfId="0" applyFill="1" applyBorder="1" applyAlignment="1">
      <alignment horizontal="left"/>
    </xf>
    <xf numFmtId="0" fontId="0" fillId="5" borderId="8" xfId="0" applyFill="1" applyBorder="1" applyAlignment="1">
      <alignment horizontal="center"/>
    </xf>
    <xf numFmtId="0" fontId="12" fillId="5" borderId="9" xfId="0" applyFont="1" applyFill="1" applyBorder="1" applyAlignment="1"/>
    <xf numFmtId="0" fontId="13" fillId="5" borderId="0" xfId="0" applyFont="1" applyFill="1" applyBorder="1"/>
    <xf numFmtId="0" fontId="0" fillId="5" borderId="0" xfId="0" applyFill="1" applyBorder="1"/>
    <xf numFmtId="0" fontId="0" fillId="5" borderId="0" xfId="0" applyFill="1" applyAlignment="1"/>
    <xf numFmtId="0" fontId="14" fillId="5" borderId="0" xfId="0" applyFont="1" applyFill="1" applyBorder="1"/>
    <xf numFmtId="0" fontId="0" fillId="5" borderId="3" xfId="0" applyFill="1" applyBorder="1" applyAlignment="1">
      <alignment horizontal="center"/>
    </xf>
    <xf numFmtId="0" fontId="0" fillId="5" borderId="8" xfId="0" applyFill="1" applyBorder="1"/>
    <xf numFmtId="0" fontId="12" fillId="5" borderId="1" xfId="0" applyFont="1" applyFill="1" applyBorder="1"/>
    <xf numFmtId="49" fontId="0" fillId="5" borderId="1" xfId="0" applyNumberFormat="1" applyFill="1" applyBorder="1"/>
    <xf numFmtId="9" fontId="0" fillId="5" borderId="1" xfId="0" applyNumberFormat="1" applyFill="1" applyBorder="1"/>
    <xf numFmtId="0" fontId="13" fillId="5" borderId="1" xfId="0" applyFont="1" applyFill="1" applyBorder="1"/>
    <xf numFmtId="49" fontId="13" fillId="5" borderId="1" xfId="0" applyNumberFormat="1" applyFont="1" applyFill="1" applyBorder="1"/>
    <xf numFmtId="0" fontId="13" fillId="5" borderId="1" xfId="3" applyFont="1" applyFill="1" applyBorder="1"/>
    <xf numFmtId="49" fontId="13" fillId="5" borderId="1" xfId="2" applyNumberFormat="1" applyFont="1" applyFill="1" applyBorder="1"/>
    <xf numFmtId="0" fontId="13" fillId="5" borderId="1" xfId="3" applyFont="1" applyFill="1" applyBorder="1" applyAlignment="1">
      <alignment horizontal="left" vertical="center"/>
    </xf>
    <xf numFmtId="0" fontId="13" fillId="5" borderId="1" xfId="2" applyFont="1" applyFill="1" applyBorder="1"/>
    <xf numFmtId="49" fontId="13" fillId="5" borderId="1" xfId="3" applyNumberFormat="1" applyFont="1" applyFill="1" applyBorder="1"/>
    <xf numFmtId="0" fontId="13" fillId="5" borderId="1" xfId="0" applyFont="1" applyFill="1" applyBorder="1" applyAlignment="1">
      <alignment vertical="center"/>
    </xf>
    <xf numFmtId="0" fontId="0" fillId="5" borderId="2" xfId="0" applyFill="1" applyBorder="1"/>
    <xf numFmtId="49" fontId="0" fillId="5" borderId="2" xfId="0" applyNumberFormat="1" applyFill="1" applyBorder="1"/>
    <xf numFmtId="0" fontId="12" fillId="5" borderId="2" xfId="0" applyFont="1" applyFill="1" applyBorder="1"/>
    <xf numFmtId="49" fontId="13" fillId="5" borderId="2" xfId="0" applyNumberFormat="1" applyFont="1" applyFill="1" applyBorder="1"/>
    <xf numFmtId="0" fontId="13" fillId="5" borderId="2" xfId="0" applyFont="1" applyFill="1" applyBorder="1"/>
    <xf numFmtId="49" fontId="13" fillId="5" borderId="2" xfId="2" applyNumberFormat="1" applyFont="1" applyFill="1" applyBorder="1"/>
    <xf numFmtId="0" fontId="13" fillId="5" borderId="2" xfId="2" applyFont="1" applyFill="1" applyBorder="1"/>
    <xf numFmtId="49" fontId="13" fillId="5" borderId="2" xfId="3" applyNumberFormat="1" applyFont="1" applyFill="1" applyBorder="1"/>
    <xf numFmtId="0" fontId="13" fillId="5" borderId="2" xfId="0" applyFont="1" applyFill="1" applyBorder="1" applyAlignment="1">
      <alignment vertical="center"/>
    </xf>
    <xf numFmtId="0" fontId="17" fillId="5" borderId="1" xfId="0" applyFont="1" applyFill="1" applyBorder="1" applyAlignment="1">
      <alignment vertical="center"/>
    </xf>
    <xf numFmtId="0" fontId="13" fillId="5" borderId="2" xfId="3" applyFont="1" applyFill="1" applyBorder="1"/>
    <xf numFmtId="0" fontId="0" fillId="5" borderId="0" xfId="0" applyFill="1" applyBorder="1" applyAlignment="1">
      <alignment horizontal="center"/>
    </xf>
    <xf numFmtId="0" fontId="0" fillId="5" borderId="0" xfId="0" applyFill="1" applyBorder="1" applyAlignment="1">
      <alignment vertical="center" wrapText="1"/>
    </xf>
    <xf numFmtId="0" fontId="0" fillId="5" borderId="5" xfId="0" applyFill="1" applyBorder="1"/>
    <xf numFmtId="0" fontId="0" fillId="5" borderId="4" xfId="0" applyFill="1" applyBorder="1" applyAlignment="1">
      <alignment horizontal="center"/>
    </xf>
    <xf numFmtId="0" fontId="0" fillId="0" borderId="13" xfId="0" applyBorder="1"/>
    <xf numFmtId="0" fontId="0" fillId="9" borderId="1" xfId="0" applyFont="1" applyFill="1" applyBorder="1"/>
    <xf numFmtId="14" fontId="12" fillId="13" borderId="5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13" fillId="9" borderId="1" xfId="0" applyFont="1" applyFill="1" applyBorder="1"/>
    <xf numFmtId="165" fontId="13" fillId="9" borderId="1" xfId="0" applyNumberFormat="1" applyFont="1" applyFill="1" applyBorder="1" applyAlignment="1">
      <alignment horizontal="center"/>
    </xf>
    <xf numFmtId="0" fontId="13" fillId="9" borderId="1" xfId="2" applyFont="1" applyFill="1" applyBorder="1" applyAlignment="1">
      <alignment horizontal="center"/>
    </xf>
    <xf numFmtId="0" fontId="13" fillId="9" borderId="1" xfId="2" applyFont="1" applyFill="1" applyBorder="1"/>
    <xf numFmtId="0" fontId="13" fillId="16" borderId="1" xfId="0" applyFont="1" applyFill="1" applyBorder="1"/>
    <xf numFmtId="165" fontId="13" fillId="9" borderId="1" xfId="2" applyNumberFormat="1" applyFont="1" applyFill="1" applyBorder="1" applyAlignment="1">
      <alignment horizontal="center"/>
    </xf>
    <xf numFmtId="166" fontId="13" fillId="9" borderId="1" xfId="2" applyNumberFormat="1" applyFont="1" applyFill="1" applyBorder="1" applyAlignment="1">
      <alignment horizontal="center"/>
    </xf>
    <xf numFmtId="49" fontId="0" fillId="9" borderId="1" xfId="0" applyNumberFormat="1" applyFill="1" applyBorder="1"/>
    <xf numFmtId="1" fontId="13" fillId="9" borderId="1" xfId="2" applyNumberFormat="1" applyFont="1" applyFill="1" applyBorder="1" applyAlignment="1">
      <alignment horizontal="center"/>
    </xf>
    <xf numFmtId="0" fontId="13" fillId="9" borderId="1" xfId="0" applyFont="1" applyFill="1" applyBorder="1" applyAlignment="1">
      <alignment vertical="center"/>
    </xf>
    <xf numFmtId="166" fontId="13" fillId="9" borderId="1" xfId="2" applyNumberFormat="1" applyFont="1" applyFill="1" applyBorder="1" applyAlignment="1">
      <alignment horizontal="center" vertical="center"/>
    </xf>
    <xf numFmtId="165" fontId="13" fillId="9" borderId="1" xfId="3" applyNumberFormat="1" applyFont="1" applyFill="1" applyBorder="1" applyAlignment="1">
      <alignment horizontal="center"/>
    </xf>
    <xf numFmtId="0" fontId="13" fillId="9" borderId="1" xfId="3" applyFont="1" applyFill="1" applyBorder="1" applyAlignment="1">
      <alignment horizontal="center"/>
    </xf>
    <xf numFmtId="0" fontId="0" fillId="16" borderId="1" xfId="0" applyFont="1" applyFill="1" applyBorder="1"/>
    <xf numFmtId="165" fontId="13" fillId="9" borderId="1" xfId="2" applyNumberFormat="1" applyFont="1" applyFill="1" applyBorder="1" applyAlignment="1">
      <alignment horizontal="center" vertical="center"/>
    </xf>
    <xf numFmtId="2" fontId="12" fillId="9" borderId="1" xfId="0" applyNumberFormat="1" applyFont="1" applyFill="1" applyBorder="1" applyAlignment="1">
      <alignment horizontal="center"/>
    </xf>
    <xf numFmtId="1" fontId="13" fillId="9" borderId="1" xfId="2" applyNumberFormat="1" applyFont="1" applyFill="1" applyBorder="1" applyAlignment="1">
      <alignment horizontal="center" vertical="center"/>
    </xf>
    <xf numFmtId="0" fontId="12" fillId="17" borderId="1" xfId="0" applyFont="1" applyFill="1" applyBorder="1"/>
    <xf numFmtId="0" fontId="13" fillId="9" borderId="1" xfId="2" applyNumberFormat="1" applyFont="1" applyFill="1" applyBorder="1" applyAlignment="1"/>
    <xf numFmtId="12" fontId="12" fillId="9" borderId="1" xfId="0" applyNumberFormat="1" applyFont="1" applyFill="1" applyBorder="1" applyAlignment="1">
      <alignment horizontal="center"/>
    </xf>
    <xf numFmtId="0" fontId="12" fillId="9" borderId="1" xfId="0" applyNumberFormat="1" applyFont="1" applyFill="1" applyBorder="1" applyAlignment="1">
      <alignment horizontal="center"/>
    </xf>
    <xf numFmtId="0" fontId="19" fillId="18" borderId="1" xfId="0" applyFont="1" applyFill="1" applyBorder="1"/>
    <xf numFmtId="0" fontId="12" fillId="9" borderId="1" xfId="2" applyFont="1" applyFill="1" applyBorder="1"/>
    <xf numFmtId="2" fontId="13" fillId="9" borderId="1" xfId="2" applyNumberFormat="1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vertical="center"/>
    </xf>
    <xf numFmtId="0" fontId="12" fillId="9" borderId="1" xfId="0" applyFont="1" applyFill="1" applyBorder="1" applyAlignment="1">
      <alignment horizontal="center" vertical="center"/>
    </xf>
    <xf numFmtId="0" fontId="13" fillId="9" borderId="1" xfId="2" applyFont="1" applyFill="1" applyBorder="1" applyAlignment="1">
      <alignment horizontal="center" vertical="center"/>
    </xf>
    <xf numFmtId="165" fontId="13" fillId="9" borderId="1" xfId="0" applyNumberFormat="1" applyFont="1" applyFill="1" applyBorder="1" applyAlignment="1">
      <alignment horizontal="center" vertical="center"/>
    </xf>
    <xf numFmtId="12" fontId="13" fillId="9" borderId="1" xfId="0" applyNumberFormat="1" applyFont="1" applyFill="1" applyBorder="1" applyAlignment="1">
      <alignment horizontal="center"/>
    </xf>
    <xf numFmtId="0" fontId="13" fillId="9" borderId="2" xfId="0" applyFont="1" applyFill="1" applyBorder="1"/>
    <xf numFmtId="165" fontId="12" fillId="9" borderId="1" xfId="1" applyNumberFormat="1" applyFont="1" applyFill="1" applyBorder="1" applyAlignment="1">
      <alignment horizontal="center"/>
    </xf>
    <xf numFmtId="165" fontId="12" fillId="9" borderId="1" xfId="0" applyNumberFormat="1" applyFont="1" applyFill="1" applyBorder="1" applyAlignment="1">
      <alignment horizontal="center"/>
    </xf>
    <xf numFmtId="0" fontId="14" fillId="9" borderId="1" xfId="0" applyFont="1" applyFill="1" applyBorder="1"/>
    <xf numFmtId="0" fontId="20" fillId="9" borderId="1" xfId="0" applyFont="1" applyFill="1" applyBorder="1"/>
    <xf numFmtId="0" fontId="0" fillId="9" borderId="1" xfId="0" applyNumberFormat="1" applyFill="1" applyBorder="1" applyAlignment="1">
      <alignment horizontal="center" vertical="center"/>
    </xf>
    <xf numFmtId="0" fontId="13" fillId="9" borderId="1" xfId="4" applyFont="1" applyFill="1" applyBorder="1"/>
    <xf numFmtId="165" fontId="13" fillId="9" borderId="1" xfId="4" applyNumberFormat="1" applyFont="1" applyFill="1" applyBorder="1" applyAlignment="1">
      <alignment horizontal="center"/>
    </xf>
    <xf numFmtId="0" fontId="13" fillId="9" borderId="1" xfId="4" applyFont="1" applyFill="1" applyBorder="1" applyAlignment="1">
      <alignment horizontal="center"/>
    </xf>
    <xf numFmtId="2" fontId="13" fillId="9" borderId="1" xfId="2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12" fontId="0" fillId="9" borderId="1" xfId="0" applyNumberFormat="1" applyFill="1" applyBorder="1" applyAlignment="1">
      <alignment horizontal="center" vertical="center"/>
    </xf>
    <xf numFmtId="0" fontId="13" fillId="9" borderId="1" xfId="3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/>
    </xf>
    <xf numFmtId="164" fontId="0" fillId="2" borderId="10" xfId="0" applyNumberFormat="1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13" fillId="9" borderId="1" xfId="4" applyFont="1" applyFill="1" applyBorder="1" applyAlignment="1">
      <alignment horizontal="center" vertical="center"/>
    </xf>
    <xf numFmtId="0" fontId="13" fillId="16" borderId="1" xfId="2" applyNumberFormat="1" applyFont="1" applyFill="1" applyBorder="1" applyAlignment="1"/>
    <xf numFmtId="167" fontId="13" fillId="9" borderId="1" xfId="2" applyNumberFormat="1" applyFont="1" applyFill="1" applyBorder="1" applyAlignment="1">
      <alignment horizontal="center"/>
    </xf>
    <xf numFmtId="0" fontId="13" fillId="9" borderId="1" xfId="2" applyFont="1" applyFill="1" applyBorder="1" applyAlignment="1">
      <alignment horizontal="left" vertical="center"/>
    </xf>
    <xf numFmtId="0" fontId="18" fillId="9" borderId="1" xfId="2" applyFont="1" applyFill="1" applyBorder="1" applyAlignment="1">
      <alignment horizontal="center" vertical="center"/>
    </xf>
    <xf numFmtId="0" fontId="0" fillId="9" borderId="1" xfId="0" applyNumberFormat="1" applyFill="1" applyBorder="1" applyAlignment="1">
      <alignment horizontal="center"/>
    </xf>
    <xf numFmtId="0" fontId="13" fillId="16" borderId="1" xfId="3" applyNumberFormat="1" applyFont="1" applyFill="1" applyBorder="1" applyAlignment="1"/>
    <xf numFmtId="0" fontId="13" fillId="9" borderId="2" xfId="2" applyFont="1" applyFill="1" applyBorder="1"/>
    <xf numFmtId="0" fontId="13" fillId="16" borderId="1" xfId="0" applyFont="1" applyFill="1" applyBorder="1" applyAlignment="1">
      <alignment vertical="center"/>
    </xf>
    <xf numFmtId="0" fontId="13" fillId="9" borderId="1" xfId="2" applyNumberFormat="1" applyFont="1" applyFill="1" applyBorder="1" applyAlignment="1">
      <alignment horizontal="center"/>
    </xf>
    <xf numFmtId="0" fontId="13" fillId="9" borderId="1" xfId="0" applyNumberFormat="1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/>
    </xf>
    <xf numFmtId="0" fontId="12" fillId="9" borderId="2" xfId="0" applyFont="1" applyFill="1" applyBorder="1"/>
    <xf numFmtId="0" fontId="13" fillId="9" borderId="2" xfId="0" applyFont="1" applyFill="1" applyBorder="1" applyAlignment="1">
      <alignment vertical="center"/>
    </xf>
    <xf numFmtId="0" fontId="13" fillId="9" borderId="2" xfId="3" applyFont="1" applyFill="1" applyBorder="1"/>
    <xf numFmtId="0" fontId="12" fillId="9" borderId="2" xfId="0" applyFont="1" applyFill="1" applyBorder="1" applyAlignment="1">
      <alignment horizontal="center"/>
    </xf>
    <xf numFmtId="0" fontId="13" fillId="9" borderId="0" xfId="0" applyFont="1" applyFill="1" applyBorder="1"/>
    <xf numFmtId="165" fontId="13" fillId="9" borderId="0" xfId="2" applyNumberFormat="1" applyFont="1" applyFill="1" applyBorder="1" applyAlignment="1">
      <alignment horizontal="center"/>
    </xf>
    <xf numFmtId="0" fontId="13" fillId="9" borderId="0" xfId="2" applyFont="1" applyFill="1" applyBorder="1" applyAlignment="1">
      <alignment horizontal="center"/>
    </xf>
    <xf numFmtId="0" fontId="13" fillId="9" borderId="0" xfId="3" applyFont="1" applyFill="1" applyBorder="1"/>
    <xf numFmtId="0" fontId="12" fillId="9" borderId="0" xfId="0" applyFont="1" applyFill="1" applyBorder="1"/>
    <xf numFmtId="0" fontId="13" fillId="9" borderId="0" xfId="2" applyFont="1" applyFill="1" applyBorder="1"/>
    <xf numFmtId="165" fontId="13" fillId="9" borderId="0" xfId="2" applyNumberFormat="1" applyFont="1" applyFill="1" applyBorder="1" applyAlignment="1">
      <alignment horizontal="center" vertical="center"/>
    </xf>
    <xf numFmtId="0" fontId="12" fillId="9" borderId="0" xfId="0" applyFont="1" applyFill="1" applyBorder="1" applyAlignment="1">
      <alignment horizontal="center"/>
    </xf>
    <xf numFmtId="0" fontId="13" fillId="16" borderId="0" xfId="0" applyFont="1" applyFill="1" applyBorder="1"/>
    <xf numFmtId="2" fontId="13" fillId="9" borderId="0" xfId="2" applyNumberFormat="1" applyFont="1" applyFill="1" applyBorder="1" applyAlignment="1">
      <alignment horizontal="center"/>
    </xf>
    <xf numFmtId="0" fontId="13" fillId="9" borderId="0" xfId="0" applyFont="1" applyFill="1" applyBorder="1" applyAlignment="1">
      <alignment vertical="center"/>
    </xf>
    <xf numFmtId="166" fontId="13" fillId="9" borderId="0" xfId="2" applyNumberFormat="1" applyFont="1" applyFill="1" applyBorder="1" applyAlignment="1">
      <alignment horizontal="center"/>
    </xf>
    <xf numFmtId="0" fontId="14" fillId="9" borderId="0" xfId="0" applyFont="1" applyFill="1"/>
    <xf numFmtId="0" fontId="13" fillId="9" borderId="2" xfId="2" applyFont="1" applyFill="1" applyBorder="1" applyAlignment="1">
      <alignment horizontal="center"/>
    </xf>
    <xf numFmtId="0" fontId="13" fillId="9" borderId="2" xfId="0" applyFont="1" applyFill="1" applyBorder="1" applyAlignment="1">
      <alignment horizontal="center"/>
    </xf>
    <xf numFmtId="0" fontId="0" fillId="9" borderId="2" xfId="0" applyFill="1" applyBorder="1"/>
    <xf numFmtId="0" fontId="13" fillId="9" borderId="11" xfId="2" applyFont="1" applyFill="1" applyBorder="1"/>
    <xf numFmtId="0" fontId="13" fillId="9" borderId="4" xfId="0" applyFont="1" applyFill="1" applyBorder="1"/>
  </cellXfs>
  <cellStyles count="5">
    <cellStyle name="Comma" xfId="1" builtinId="3"/>
    <cellStyle name="Normal" xfId="0" builtinId="0"/>
    <cellStyle name="Normal 2" xfId="2"/>
    <cellStyle name="Normal 2 2" xfId="3"/>
    <cellStyle name="Normal 2 2 2" xfId="4"/>
  </cellStyles>
  <dxfs count="28">
    <dxf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16188</xdr:colOff>
      <xdr:row>9</xdr:row>
      <xdr:rowOff>127000</xdr:rowOff>
    </xdr:from>
    <xdr:to>
      <xdr:col>17</xdr:col>
      <xdr:colOff>406399</xdr:colOff>
      <xdr:row>27</xdr:row>
      <xdr:rowOff>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8534A2-CD2B-4C7F-BC78-F6BF74B32B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980" t="18510" r="24816"/>
        <a:stretch/>
      </xdr:blipFill>
      <xdr:spPr>
        <a:xfrm>
          <a:off x="6721788" y="1784350"/>
          <a:ext cx="4047811" cy="32435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iz%20Calfa\Desktop\Programacao%20Cardapios\Plano%20Cardapio%20GreenUp%20-%20Revisado%2010_M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ros"/>
      <sheetName val="Proteinas"/>
      <sheetName val="Massa"/>
      <sheetName val="Laticinios"/>
      <sheetName val="Secos"/>
      <sheetName val="Bebidas"/>
      <sheetName val="Hortifruit"/>
      <sheetName val="Ingrediente Master Lista"/>
      <sheetName val="Consumption by Ingredient"/>
      <sheetName val="Pratos Master Lista"/>
      <sheetName val="Estimativa de Consumo"/>
      <sheetName val="Programacao do Cardapio"/>
      <sheetName val="Saladas"/>
      <sheetName val="Guarnicao"/>
      <sheetName val="Priorizacao Cec&amp;U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ables/table1.xml><?xml version="1.0" encoding="utf-8"?>
<table xmlns="http://schemas.openxmlformats.org/spreadsheetml/2006/main" id="1" name="Table5" displayName="Table5" ref="A3:F2935" totalsRowCount="1" headerRowDxfId="27" dataDxfId="25" headerRowBorderDxfId="26" tableBorderDxfId="24" totalsRowBorderDxfId="23">
  <sortState ref="A4:E2934">
    <sortCondition ref="B4"/>
  </sortState>
  <tableColumns count="6">
    <tableColumn id="1" name="ID" dataDxfId="22" totalsRowDxfId="5"/>
    <tableColumn id="3" name="Prato" dataDxfId="21" totalsRowDxfId="4"/>
    <tableColumn id="5" name="Ingrediente" dataDxfId="20" totalsRowDxfId="3"/>
    <tableColumn id="6" name="Qtdade" dataDxfId="19" totalsRowDxfId="2"/>
    <tableColumn id="7" name="UM" dataDxfId="18" totalsRowDxfId="1" dataCellStyle="Normal 2"/>
    <tableColumn id="2" name="Column1" dataDxfId="17" totalsRowDxfId="0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1:D453" totalsRowShown="0" headerRowDxfId="16" dataDxfId="14" headerRowBorderDxfId="15" tableBorderDxfId="13" totalsRowBorderDxfId="12">
  <autoFilter ref="A1:D453"/>
  <sortState ref="A2:D587">
    <sortCondition ref="B2:B587"/>
  </sortState>
  <tableColumns count="4">
    <tableColumn id="1" name="Item" dataDxfId="11"/>
    <tableColumn id="3" name="Ingrediente" dataDxfId="10"/>
    <tableColumn id="4" name="Tipo" dataDxfId="9"/>
    <tableColumn id="11" name="Fator de Perda" dataDxfId="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F0"/>
    <pageSetUpPr fitToPage="1"/>
  </sheetPr>
  <dimension ref="B2:R54"/>
  <sheetViews>
    <sheetView zoomScale="80" zoomScaleNormal="80" zoomScalePageLayoutView="120" workbookViewId="0">
      <pane xSplit="4" ySplit="4" topLeftCell="E5" activePane="bottomRight" state="frozen"/>
      <selection activeCell="B28" sqref="B28"/>
      <selection pane="topRight" activeCell="B28" sqref="B28"/>
      <selection pane="bottomLeft" activeCell="B28" sqref="B28"/>
      <selection pane="bottomRight" activeCell="E5" sqref="E5"/>
    </sheetView>
  </sheetViews>
  <sheetFormatPr defaultColWidth="8.85546875" defaultRowHeight="15" x14ac:dyDescent="0.25"/>
  <cols>
    <col min="1" max="1" width="4.140625" style="3" customWidth="1"/>
    <col min="2" max="2" width="14.5703125" style="3" bestFit="1" customWidth="1"/>
    <col min="3" max="3" width="17.140625" style="3" bestFit="1" customWidth="1"/>
    <col min="4" max="4" width="12.140625" style="3" customWidth="1"/>
    <col min="5" max="5" width="35.140625" style="3" bestFit="1" customWidth="1"/>
    <col min="6" max="6" width="39.42578125" style="3" bestFit="1" customWidth="1"/>
    <col min="7" max="7" width="44.85546875" style="3" bestFit="1" customWidth="1"/>
    <col min="8" max="8" width="39.85546875" style="3" bestFit="1" customWidth="1"/>
    <col min="9" max="9" width="50" style="3" bestFit="1" customWidth="1"/>
    <col min="10" max="14" width="42" style="3" bestFit="1" customWidth="1"/>
    <col min="15" max="16384" width="8.85546875" style="3"/>
  </cols>
  <sheetData>
    <row r="2" spans="2:18" s="2" customFormat="1" x14ac:dyDescent="0.25">
      <c r="B2" s="1" t="s">
        <v>136</v>
      </c>
      <c r="E2" s="1" t="s">
        <v>0</v>
      </c>
      <c r="F2" s="1" t="s">
        <v>0</v>
      </c>
      <c r="G2" s="1" t="s">
        <v>1</v>
      </c>
      <c r="H2" s="1" t="s">
        <v>1</v>
      </c>
      <c r="I2" s="1" t="s">
        <v>2</v>
      </c>
      <c r="J2" s="1" t="s">
        <v>2</v>
      </c>
      <c r="K2" s="1" t="s">
        <v>3</v>
      </c>
      <c r="L2" s="1" t="s">
        <v>3</v>
      </c>
      <c r="M2" s="1" t="s">
        <v>4</v>
      </c>
      <c r="N2" s="1" t="s">
        <v>4</v>
      </c>
      <c r="O2" s="3"/>
      <c r="P2" s="3"/>
      <c r="Q2" s="3"/>
      <c r="R2" s="3"/>
    </row>
    <row r="3" spans="2:18" x14ac:dyDescent="0.25"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</row>
    <row r="4" spans="2:18" x14ac:dyDescent="0.25">
      <c r="E4" s="4"/>
      <c r="F4" s="4"/>
      <c r="G4" s="4"/>
      <c r="H4" s="4"/>
      <c r="I4" s="4"/>
      <c r="J4" s="4"/>
      <c r="K4" s="4"/>
      <c r="L4" s="4"/>
      <c r="M4" s="5"/>
      <c r="N4" s="5"/>
    </row>
    <row r="5" spans="2:18" x14ac:dyDescent="0.25">
      <c r="B5" s="196" t="s">
        <v>107</v>
      </c>
      <c r="C5" s="198" t="s">
        <v>16</v>
      </c>
      <c r="D5" s="6" t="s">
        <v>108</v>
      </c>
      <c r="E5" s="7"/>
      <c r="F5" s="7"/>
      <c r="G5" s="7"/>
      <c r="H5" s="7"/>
      <c r="I5" s="7"/>
      <c r="J5" s="7"/>
      <c r="K5" s="7"/>
      <c r="L5" s="7"/>
      <c r="M5" s="7"/>
      <c r="N5" s="7"/>
    </row>
    <row r="6" spans="2:18" x14ac:dyDescent="0.25">
      <c r="B6" s="197"/>
      <c r="C6" s="198"/>
      <c r="D6" s="6" t="s">
        <v>109</v>
      </c>
      <c r="E6" s="7"/>
      <c r="F6" s="7"/>
      <c r="G6" s="7"/>
      <c r="H6" s="7"/>
      <c r="I6" s="7"/>
      <c r="J6" s="7"/>
      <c r="K6" s="7"/>
      <c r="L6" s="7"/>
      <c r="M6" s="7"/>
      <c r="N6" s="7"/>
    </row>
    <row r="7" spans="2:18" x14ac:dyDescent="0.25">
      <c r="B7" s="197"/>
      <c r="C7" s="198"/>
      <c r="D7" s="6" t="s">
        <v>110</v>
      </c>
      <c r="E7" s="7"/>
      <c r="F7" s="7"/>
      <c r="G7" s="7"/>
      <c r="H7" s="7"/>
      <c r="I7" s="7"/>
      <c r="J7" s="7"/>
      <c r="K7" s="7"/>
      <c r="L7" s="7"/>
      <c r="M7" s="7"/>
      <c r="N7" s="7"/>
    </row>
    <row r="8" spans="2:18" x14ac:dyDescent="0.25">
      <c r="B8" s="197"/>
      <c r="C8" s="198"/>
      <c r="D8" s="6" t="s">
        <v>111</v>
      </c>
      <c r="E8" s="7"/>
      <c r="F8" s="7"/>
      <c r="G8" s="7"/>
      <c r="H8" s="7"/>
      <c r="I8" s="7"/>
      <c r="J8" s="7"/>
      <c r="K8" s="7"/>
      <c r="L8" s="7"/>
      <c r="M8" s="7"/>
      <c r="N8" s="7"/>
    </row>
    <row r="9" spans="2:18" x14ac:dyDescent="0.25">
      <c r="B9" s="197"/>
      <c r="C9" s="186" t="s">
        <v>112</v>
      </c>
      <c r="D9" s="8">
        <v>1</v>
      </c>
      <c r="E9" s="9"/>
      <c r="F9" s="9"/>
      <c r="G9" s="9"/>
      <c r="H9" s="9"/>
      <c r="I9" s="9"/>
      <c r="J9" s="9"/>
      <c r="K9" s="9"/>
      <c r="L9" s="9"/>
      <c r="M9" s="9"/>
      <c r="N9" s="9"/>
    </row>
    <row r="10" spans="2:18" x14ac:dyDescent="0.25">
      <c r="B10" s="197"/>
      <c r="C10" s="187"/>
      <c r="D10" s="10">
        <v>2</v>
      </c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2:18" x14ac:dyDescent="0.25">
      <c r="B11" s="197"/>
      <c r="C11" s="187"/>
      <c r="D11" s="10">
        <v>3</v>
      </c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2:18" x14ac:dyDescent="0.25">
      <c r="B12" s="197"/>
      <c r="C12" s="187"/>
      <c r="D12" s="10">
        <v>4</v>
      </c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2:18" x14ac:dyDescent="0.25">
      <c r="B13" s="197"/>
      <c r="C13" s="187"/>
      <c r="D13" s="10">
        <v>5</v>
      </c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2:18" x14ac:dyDescent="0.25">
      <c r="B14" s="197"/>
      <c r="C14" s="187"/>
      <c r="D14" s="8">
        <v>6</v>
      </c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2:18" x14ac:dyDescent="0.25">
      <c r="B15" s="197"/>
      <c r="C15" s="187"/>
      <c r="D15" s="10">
        <v>7</v>
      </c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2:18" x14ac:dyDescent="0.25">
      <c r="B16" s="197"/>
      <c r="C16" s="187"/>
      <c r="D16" s="10">
        <v>8</v>
      </c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2:14" x14ac:dyDescent="0.25">
      <c r="B17" s="197"/>
      <c r="C17" s="188"/>
      <c r="D17" s="10">
        <v>9</v>
      </c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2:14" x14ac:dyDescent="0.25">
      <c r="B18" s="197"/>
      <c r="C18" s="189" t="s">
        <v>113</v>
      </c>
      <c r="D18" s="13">
        <v>1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2:14" x14ac:dyDescent="0.25">
      <c r="B19" s="197"/>
      <c r="C19" s="189"/>
      <c r="D19" s="13">
        <v>2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2:14" x14ac:dyDescent="0.25">
      <c r="B20" s="197"/>
      <c r="C20" s="192" t="s">
        <v>114</v>
      </c>
      <c r="D20" s="11">
        <v>1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2:14" x14ac:dyDescent="0.25">
      <c r="B21" s="197"/>
      <c r="C21" s="192"/>
      <c r="D21" s="11">
        <v>2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2:14" x14ac:dyDescent="0.25">
      <c r="B22" s="197"/>
      <c r="C22" s="192"/>
      <c r="D22" s="11">
        <v>3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2:14" x14ac:dyDescent="0.25">
      <c r="B23" s="197"/>
      <c r="C23" s="185" t="s">
        <v>126</v>
      </c>
      <c r="D23" s="21">
        <v>1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</row>
    <row r="24" spans="2:14" x14ac:dyDescent="0.25">
      <c r="B24" s="197"/>
      <c r="C24" s="185"/>
      <c r="D24" s="21">
        <v>2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 spans="2:14" x14ac:dyDescent="0.25">
      <c r="B25" s="197"/>
      <c r="C25" s="185"/>
      <c r="D25" s="21">
        <v>3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2:14" x14ac:dyDescent="0.25">
      <c r="B26" s="197"/>
      <c r="C26" s="185"/>
      <c r="D26" s="21">
        <v>4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</row>
    <row r="27" spans="2:14" s="19" customFormat="1" ht="8.1" customHeight="1" x14ac:dyDescent="0.25">
      <c r="B27" s="15"/>
      <c r="C27" s="16"/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2:14" ht="14.1" customHeight="1" x14ac:dyDescent="0.25">
      <c r="B28" s="193" t="s">
        <v>127</v>
      </c>
      <c r="C28" s="192" t="s">
        <v>72</v>
      </c>
      <c r="D28" s="11" t="s">
        <v>128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2:14" ht="14.1" customHeight="1" x14ac:dyDescent="0.25">
      <c r="B29" s="193"/>
      <c r="C29" s="192"/>
      <c r="D29" s="11" t="s">
        <v>129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2:14" x14ac:dyDescent="0.25">
      <c r="B30" s="193"/>
      <c r="C30" s="192"/>
      <c r="D30" s="11" t="s">
        <v>130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2:14" x14ac:dyDescent="0.25">
      <c r="B31" s="193"/>
      <c r="C31" s="192"/>
      <c r="D31" s="11" t="s">
        <v>117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2:14" ht="14.1" customHeight="1" x14ac:dyDescent="0.25">
      <c r="B32" s="193"/>
      <c r="C32" s="195" t="s">
        <v>54</v>
      </c>
      <c r="D32" s="10" t="s">
        <v>131</v>
      </c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2:14" ht="14.1" customHeight="1" x14ac:dyDescent="0.25">
      <c r="B33" s="193"/>
      <c r="C33" s="195"/>
      <c r="D33" s="10" t="s">
        <v>132</v>
      </c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2:14" ht="14.1" customHeight="1" x14ac:dyDescent="0.25">
      <c r="B34" s="193"/>
      <c r="C34" s="195"/>
      <c r="D34" s="10" t="s">
        <v>133</v>
      </c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2:14" x14ac:dyDescent="0.25">
      <c r="B35" s="193"/>
      <c r="C35" s="195"/>
      <c r="D35" s="10" t="s">
        <v>134</v>
      </c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2:14" x14ac:dyDescent="0.25">
      <c r="B36" s="193"/>
      <c r="C36" s="195"/>
      <c r="D36" s="10" t="s">
        <v>135</v>
      </c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2:14" x14ac:dyDescent="0.25">
      <c r="B37" s="193"/>
      <c r="C37" s="195"/>
      <c r="D37" s="10" t="s">
        <v>117</v>
      </c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2:14" ht="14.1" customHeight="1" x14ac:dyDescent="0.25">
      <c r="B38" s="193"/>
      <c r="C38" s="185" t="s">
        <v>92</v>
      </c>
      <c r="D38" s="23" t="s">
        <v>93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</row>
    <row r="39" spans="2:14" ht="14.1" customHeight="1" x14ac:dyDescent="0.25">
      <c r="B39" s="193"/>
      <c r="C39" s="185"/>
      <c r="D39" s="23" t="s">
        <v>94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</row>
    <row r="40" spans="2:14" ht="14.1" customHeight="1" x14ac:dyDescent="0.25">
      <c r="B40" s="193"/>
      <c r="C40" s="185"/>
      <c r="D40" s="23" t="s">
        <v>95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spans="2:14" s="19" customFormat="1" ht="8.1" customHeight="1" x14ac:dyDescent="0.25">
      <c r="B41" s="15"/>
      <c r="C41" s="16"/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2:14" ht="14.1" customHeight="1" x14ac:dyDescent="0.25">
      <c r="B42" s="191" t="s">
        <v>125</v>
      </c>
      <c r="C42" s="192" t="s">
        <v>90</v>
      </c>
      <c r="D42" s="11" t="s">
        <v>115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spans="2:14" ht="14.1" customHeight="1" x14ac:dyDescent="0.25">
      <c r="B43" s="191"/>
      <c r="C43" s="192"/>
      <c r="D43" s="11" t="s">
        <v>116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spans="2:14" x14ac:dyDescent="0.25">
      <c r="B44" s="191"/>
      <c r="C44" s="192"/>
      <c r="D44" s="11" t="s">
        <v>91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spans="2:14" x14ac:dyDescent="0.25">
      <c r="B45" s="191"/>
      <c r="C45" s="192"/>
      <c r="D45" s="11" t="s">
        <v>117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2:14" ht="14.1" customHeight="1" x14ac:dyDescent="0.25">
      <c r="B46" s="191"/>
      <c r="C46" s="195" t="s">
        <v>118</v>
      </c>
      <c r="D46" s="10" t="s">
        <v>119</v>
      </c>
      <c r="E46" s="9"/>
      <c r="F46" s="9"/>
      <c r="G46" s="9"/>
      <c r="H46" s="9"/>
      <c r="I46" s="9"/>
      <c r="J46" s="9"/>
      <c r="K46" s="9"/>
      <c r="L46" s="9"/>
      <c r="M46" s="9"/>
      <c r="N46" s="9"/>
    </row>
    <row r="47" spans="2:14" x14ac:dyDescent="0.25">
      <c r="B47" s="191"/>
      <c r="C47" s="195"/>
      <c r="D47" s="10" t="s">
        <v>120</v>
      </c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2:14" x14ac:dyDescent="0.25">
      <c r="B48" s="191"/>
      <c r="C48" s="195"/>
      <c r="D48" s="10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spans="2:14" ht="14.1" customHeight="1" x14ac:dyDescent="0.25">
      <c r="B49" s="191"/>
      <c r="C49" s="190" t="s">
        <v>122</v>
      </c>
      <c r="D49" s="21" t="s">
        <v>123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</row>
    <row r="50" spans="2:14" x14ac:dyDescent="0.25">
      <c r="B50" s="191"/>
      <c r="C50" s="190"/>
      <c r="D50" s="21" t="s">
        <v>124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</row>
    <row r="51" spans="2:14" ht="14.1" customHeight="1" x14ac:dyDescent="0.25">
      <c r="B51" s="191"/>
      <c r="C51" s="194" t="s">
        <v>92</v>
      </c>
      <c r="D51" s="8" t="s">
        <v>93</v>
      </c>
      <c r="E51" s="9"/>
      <c r="F51" s="9"/>
      <c r="G51" s="9"/>
      <c r="H51" s="9"/>
      <c r="I51" s="9"/>
      <c r="J51" s="9"/>
      <c r="K51" s="9"/>
      <c r="L51" s="9"/>
      <c r="M51" s="9"/>
      <c r="N51" s="9"/>
    </row>
    <row r="52" spans="2:14" ht="14.1" customHeight="1" x14ac:dyDescent="0.25">
      <c r="B52" s="191"/>
      <c r="C52" s="194"/>
      <c r="D52" s="8" t="s">
        <v>94</v>
      </c>
      <c r="E52" s="9"/>
      <c r="F52" s="9"/>
      <c r="G52" s="9"/>
      <c r="H52" s="9"/>
      <c r="I52" s="9"/>
      <c r="J52" s="9"/>
      <c r="K52" s="9"/>
      <c r="L52" s="9"/>
      <c r="M52" s="9"/>
      <c r="N52" s="9"/>
    </row>
    <row r="53" spans="2:14" ht="14.1" customHeight="1" x14ac:dyDescent="0.25">
      <c r="B53" s="191"/>
      <c r="C53" s="194"/>
      <c r="D53" s="8" t="s">
        <v>95</v>
      </c>
      <c r="E53" s="9"/>
      <c r="F53" s="9"/>
      <c r="G53" s="9"/>
      <c r="H53" s="9"/>
      <c r="I53" s="9"/>
      <c r="J53" s="9"/>
      <c r="K53" s="9"/>
      <c r="L53" s="9"/>
      <c r="M53" s="9"/>
      <c r="N53" s="9"/>
    </row>
    <row r="54" spans="2:14" x14ac:dyDescent="0.25">
      <c r="E54" s="20"/>
      <c r="F54" s="20"/>
      <c r="G54" s="20"/>
      <c r="H54" s="20"/>
      <c r="I54" s="20"/>
      <c r="J54" s="20"/>
      <c r="K54" s="20"/>
    </row>
  </sheetData>
  <mergeCells count="15">
    <mergeCell ref="C38:C40"/>
    <mergeCell ref="C9:C17"/>
    <mergeCell ref="C18:C19"/>
    <mergeCell ref="C49:C50"/>
    <mergeCell ref="B42:B53"/>
    <mergeCell ref="C20:C22"/>
    <mergeCell ref="B28:B40"/>
    <mergeCell ref="C28:C31"/>
    <mergeCell ref="C51:C53"/>
    <mergeCell ref="C32:C37"/>
    <mergeCell ref="B5:B26"/>
    <mergeCell ref="C5:C8"/>
    <mergeCell ref="C23:C26"/>
    <mergeCell ref="C42:C45"/>
    <mergeCell ref="C46:C48"/>
  </mergeCells>
  <pageMargins left="0.7" right="0.7" top="0.75" bottom="0.75" header="0.3" footer="0.3"/>
  <pageSetup paperSize="9" scale="3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F0"/>
    <pageSetUpPr fitToPage="1"/>
  </sheetPr>
  <dimension ref="B2:BZ54"/>
  <sheetViews>
    <sheetView zoomScale="80" zoomScaleNormal="80" zoomScalePageLayoutView="120" workbookViewId="0">
      <pane xSplit="4" ySplit="4" topLeftCell="E33" activePane="bottomRight" state="frozen"/>
      <selection pane="topRight"/>
      <selection pane="bottomLeft"/>
      <selection pane="bottomRight"/>
    </sheetView>
  </sheetViews>
  <sheetFormatPr defaultColWidth="8.85546875" defaultRowHeight="15" x14ac:dyDescent="0.25"/>
  <cols>
    <col min="1" max="1" width="4.140625" style="3" customWidth="1"/>
    <col min="2" max="2" width="14.5703125" style="3" bestFit="1" customWidth="1"/>
    <col min="3" max="3" width="17.140625" style="3" bestFit="1" customWidth="1"/>
    <col min="4" max="4" width="12.140625" style="3" customWidth="1"/>
    <col min="5" max="5" width="35.140625" style="3" bestFit="1" customWidth="1"/>
    <col min="6" max="11" width="5.42578125" style="3" customWidth="1"/>
    <col min="12" max="12" width="39.42578125" style="3" bestFit="1" customWidth="1"/>
    <col min="13" max="18" width="5.42578125" style="3" customWidth="1"/>
    <col min="19" max="19" width="44.85546875" style="3" bestFit="1" customWidth="1"/>
    <col min="20" max="25" width="5.42578125" style="3" customWidth="1"/>
    <col min="26" max="26" width="39.85546875" style="3" bestFit="1" customWidth="1"/>
    <col min="27" max="32" width="5.42578125" style="3" customWidth="1"/>
    <col min="33" max="33" width="50" style="3" bestFit="1" customWidth="1"/>
    <col min="34" max="39" width="5.42578125" style="3" customWidth="1"/>
    <col min="40" max="40" width="42" style="3" bestFit="1" customWidth="1"/>
    <col min="41" max="46" width="5.42578125" style="3" customWidth="1"/>
    <col min="47" max="47" width="42" style="3" bestFit="1" customWidth="1"/>
    <col min="48" max="53" width="5.42578125" style="3" customWidth="1"/>
    <col min="54" max="54" width="42" style="3" bestFit="1" customWidth="1"/>
    <col min="55" max="60" width="5.42578125" style="3" customWidth="1"/>
    <col min="61" max="61" width="42" style="3" bestFit="1" customWidth="1"/>
    <col min="62" max="67" width="5.42578125" style="3" customWidth="1"/>
    <col min="68" max="68" width="42" style="3" bestFit="1" customWidth="1"/>
    <col min="69" max="74" width="5.42578125" style="3" customWidth="1"/>
    <col min="75" max="16384" width="8.85546875" style="3"/>
  </cols>
  <sheetData>
    <row r="2" spans="2:78" s="2" customFormat="1" x14ac:dyDescent="0.25">
      <c r="B2" s="1" t="s">
        <v>136</v>
      </c>
      <c r="E2" s="199" t="s">
        <v>0</v>
      </c>
      <c r="F2" s="200"/>
      <c r="G2" s="200"/>
      <c r="H2" s="200"/>
      <c r="I2" s="200"/>
      <c r="J2" s="200"/>
      <c r="K2" s="201"/>
      <c r="L2" s="199" t="s">
        <v>0</v>
      </c>
      <c r="M2" s="200"/>
      <c r="N2" s="200"/>
      <c r="O2" s="200"/>
      <c r="P2" s="200"/>
      <c r="Q2" s="200"/>
      <c r="R2" s="201"/>
      <c r="S2" s="199" t="s">
        <v>1</v>
      </c>
      <c r="T2" s="200"/>
      <c r="U2" s="200"/>
      <c r="V2" s="200"/>
      <c r="W2" s="200"/>
      <c r="X2" s="200"/>
      <c r="Y2" s="201"/>
      <c r="Z2" s="199" t="s">
        <v>1</v>
      </c>
      <c r="AA2" s="200"/>
      <c r="AB2" s="200"/>
      <c r="AC2" s="200"/>
      <c r="AD2" s="200"/>
      <c r="AE2" s="200"/>
      <c r="AF2" s="201"/>
      <c r="AG2" s="199" t="s">
        <v>2</v>
      </c>
      <c r="AH2" s="200"/>
      <c r="AI2" s="200"/>
      <c r="AJ2" s="200"/>
      <c r="AK2" s="200"/>
      <c r="AL2" s="200"/>
      <c r="AM2" s="201"/>
      <c r="AN2" s="199" t="s">
        <v>2</v>
      </c>
      <c r="AO2" s="200"/>
      <c r="AP2" s="200"/>
      <c r="AQ2" s="200"/>
      <c r="AR2" s="200"/>
      <c r="AS2" s="200"/>
      <c r="AT2" s="201"/>
      <c r="AU2" s="199" t="s">
        <v>3</v>
      </c>
      <c r="AV2" s="200"/>
      <c r="AW2" s="200"/>
      <c r="AX2" s="200"/>
      <c r="AY2" s="200"/>
      <c r="AZ2" s="200"/>
      <c r="BA2" s="201"/>
      <c r="BB2" s="199" t="s">
        <v>3</v>
      </c>
      <c r="BC2" s="200"/>
      <c r="BD2" s="200"/>
      <c r="BE2" s="200"/>
      <c r="BF2" s="200"/>
      <c r="BG2" s="200"/>
      <c r="BH2" s="201"/>
      <c r="BI2" s="199" t="s">
        <v>4</v>
      </c>
      <c r="BJ2" s="200"/>
      <c r="BK2" s="200"/>
      <c r="BL2" s="200"/>
      <c r="BM2" s="200"/>
      <c r="BN2" s="200"/>
      <c r="BO2" s="201"/>
      <c r="BP2" s="199" t="s">
        <v>4</v>
      </c>
      <c r="BQ2" s="200"/>
      <c r="BR2" s="200"/>
      <c r="BS2" s="200"/>
      <c r="BT2" s="200"/>
      <c r="BU2" s="200"/>
      <c r="BV2" s="201"/>
      <c r="BW2" s="3"/>
      <c r="BX2" s="3"/>
      <c r="BY2" s="3"/>
      <c r="BZ2" s="3"/>
    </row>
    <row r="3" spans="2:78" x14ac:dyDescent="0.25">
      <c r="E3" s="4" t="s">
        <v>5</v>
      </c>
      <c r="F3" s="202" t="s">
        <v>145</v>
      </c>
      <c r="G3" s="203"/>
      <c r="H3" s="203"/>
      <c r="I3" s="203"/>
      <c r="J3" s="203"/>
      <c r="K3" s="204"/>
      <c r="L3" s="4" t="s">
        <v>6</v>
      </c>
      <c r="M3" s="64"/>
      <c r="N3" s="202" t="s">
        <v>145</v>
      </c>
      <c r="O3" s="203"/>
      <c r="P3" s="203"/>
      <c r="Q3" s="203"/>
      <c r="R3" s="204"/>
      <c r="S3" s="4" t="s">
        <v>7</v>
      </c>
      <c r="T3" s="64"/>
      <c r="U3" s="202" t="s">
        <v>145</v>
      </c>
      <c r="V3" s="203"/>
      <c r="W3" s="203"/>
      <c r="X3" s="203"/>
      <c r="Y3" s="204"/>
      <c r="Z3" s="4" t="s">
        <v>8</v>
      </c>
      <c r="AA3" s="64"/>
      <c r="AB3" s="202" t="s">
        <v>145</v>
      </c>
      <c r="AC3" s="203"/>
      <c r="AD3" s="203"/>
      <c r="AE3" s="203"/>
      <c r="AF3" s="204"/>
      <c r="AG3" s="4" t="s">
        <v>9</v>
      </c>
      <c r="AH3" s="64"/>
      <c r="AI3" s="202" t="s">
        <v>145</v>
      </c>
      <c r="AJ3" s="203"/>
      <c r="AK3" s="203"/>
      <c r="AL3" s="203"/>
      <c r="AM3" s="204"/>
      <c r="AN3" s="4" t="s">
        <v>10</v>
      </c>
      <c r="AO3" s="64"/>
      <c r="AP3" s="202" t="s">
        <v>145</v>
      </c>
      <c r="AQ3" s="203"/>
      <c r="AR3" s="203"/>
      <c r="AS3" s="203"/>
      <c r="AT3" s="204"/>
      <c r="AU3" s="4" t="s">
        <v>11</v>
      </c>
      <c r="AV3" s="64"/>
      <c r="AW3" s="202" t="s">
        <v>145</v>
      </c>
      <c r="AX3" s="203"/>
      <c r="AY3" s="203"/>
      <c r="AZ3" s="203"/>
      <c r="BA3" s="204"/>
      <c r="BB3" s="4" t="s">
        <v>12</v>
      </c>
      <c r="BC3" s="64"/>
      <c r="BD3" s="202" t="s">
        <v>145</v>
      </c>
      <c r="BE3" s="203"/>
      <c r="BF3" s="203"/>
      <c r="BG3" s="203"/>
      <c r="BH3" s="204"/>
      <c r="BI3" s="4" t="s">
        <v>13</v>
      </c>
      <c r="BJ3" s="64"/>
      <c r="BK3" s="202" t="s">
        <v>145</v>
      </c>
      <c r="BL3" s="203"/>
      <c r="BM3" s="203"/>
      <c r="BN3" s="203"/>
      <c r="BO3" s="204"/>
      <c r="BP3" s="4" t="s">
        <v>14</v>
      </c>
      <c r="BQ3" s="64"/>
      <c r="BR3" s="202" t="s">
        <v>145</v>
      </c>
      <c r="BS3" s="203"/>
      <c r="BT3" s="203"/>
      <c r="BU3" s="203"/>
      <c r="BV3" s="204"/>
    </row>
    <row r="4" spans="2:78" x14ac:dyDescent="0.25">
      <c r="E4" s="4"/>
      <c r="F4" s="4" t="s">
        <v>1222</v>
      </c>
      <c r="G4" s="4" t="s">
        <v>137</v>
      </c>
      <c r="H4" s="4" t="s">
        <v>138</v>
      </c>
      <c r="I4" s="4" t="s">
        <v>139</v>
      </c>
      <c r="J4" s="4" t="s">
        <v>140</v>
      </c>
      <c r="K4" s="4" t="s">
        <v>141</v>
      </c>
      <c r="L4" s="4"/>
      <c r="M4" s="4" t="s">
        <v>1222</v>
      </c>
      <c r="N4" s="4" t="s">
        <v>137</v>
      </c>
      <c r="O4" s="4" t="s">
        <v>138</v>
      </c>
      <c r="P4" s="4" t="s">
        <v>139</v>
      </c>
      <c r="Q4" s="4" t="s">
        <v>140</v>
      </c>
      <c r="R4" s="4" t="s">
        <v>141</v>
      </c>
      <c r="S4" s="4"/>
      <c r="T4" s="4" t="s">
        <v>1222</v>
      </c>
      <c r="U4" s="4" t="s">
        <v>137</v>
      </c>
      <c r="V4" s="4" t="s">
        <v>138</v>
      </c>
      <c r="W4" s="4" t="s">
        <v>139</v>
      </c>
      <c r="X4" s="4" t="s">
        <v>140</v>
      </c>
      <c r="Y4" s="4" t="s">
        <v>141</v>
      </c>
      <c r="Z4" s="4"/>
      <c r="AA4" s="4" t="s">
        <v>1222</v>
      </c>
      <c r="AB4" s="4" t="s">
        <v>137</v>
      </c>
      <c r="AC4" s="4" t="s">
        <v>138</v>
      </c>
      <c r="AD4" s="4" t="s">
        <v>139</v>
      </c>
      <c r="AE4" s="4" t="s">
        <v>140</v>
      </c>
      <c r="AF4" s="4" t="s">
        <v>141</v>
      </c>
      <c r="AG4" s="4"/>
      <c r="AH4" s="70" t="s">
        <v>1222</v>
      </c>
      <c r="AI4" s="4" t="s">
        <v>137</v>
      </c>
      <c r="AJ4" s="4" t="s">
        <v>138</v>
      </c>
      <c r="AK4" s="4" t="s">
        <v>139</v>
      </c>
      <c r="AL4" s="4" t="s">
        <v>140</v>
      </c>
      <c r="AM4" s="4" t="s">
        <v>141</v>
      </c>
      <c r="AN4" s="4"/>
      <c r="AO4" s="70" t="s">
        <v>1222</v>
      </c>
      <c r="AP4" s="4" t="s">
        <v>137</v>
      </c>
      <c r="AQ4" s="4" t="s">
        <v>138</v>
      </c>
      <c r="AR4" s="4" t="s">
        <v>139</v>
      </c>
      <c r="AS4" s="4" t="s">
        <v>140</v>
      </c>
      <c r="AT4" s="4" t="s">
        <v>141</v>
      </c>
      <c r="AU4" s="4"/>
      <c r="AV4" s="70" t="s">
        <v>1222</v>
      </c>
      <c r="AW4" s="4" t="s">
        <v>137</v>
      </c>
      <c r="AX4" s="4" t="s">
        <v>138</v>
      </c>
      <c r="AY4" s="4" t="s">
        <v>139</v>
      </c>
      <c r="AZ4" s="4" t="s">
        <v>140</v>
      </c>
      <c r="BA4" s="4" t="s">
        <v>141</v>
      </c>
      <c r="BB4" s="4"/>
      <c r="BC4" s="70" t="s">
        <v>1222</v>
      </c>
      <c r="BD4" s="4" t="s">
        <v>137</v>
      </c>
      <c r="BE4" s="4" t="s">
        <v>138</v>
      </c>
      <c r="BF4" s="4" t="s">
        <v>139</v>
      </c>
      <c r="BG4" s="4" t="s">
        <v>140</v>
      </c>
      <c r="BH4" s="4" t="s">
        <v>141</v>
      </c>
      <c r="BI4" s="5"/>
      <c r="BJ4" s="70" t="s">
        <v>1222</v>
      </c>
      <c r="BK4" s="4" t="s">
        <v>137</v>
      </c>
      <c r="BL4" s="4" t="s">
        <v>138</v>
      </c>
      <c r="BM4" s="4" t="s">
        <v>139</v>
      </c>
      <c r="BN4" s="4" t="s">
        <v>140</v>
      </c>
      <c r="BO4" s="4" t="s">
        <v>141</v>
      </c>
      <c r="BP4" s="5"/>
      <c r="BQ4" s="70" t="s">
        <v>1222</v>
      </c>
      <c r="BR4" s="4" t="s">
        <v>137</v>
      </c>
      <c r="BS4" s="4" t="s">
        <v>138</v>
      </c>
      <c r="BT4" s="4" t="s">
        <v>139</v>
      </c>
      <c r="BU4" s="4" t="s">
        <v>140</v>
      </c>
      <c r="BV4" s="4" t="s">
        <v>141</v>
      </c>
    </row>
    <row r="5" spans="2:78" x14ac:dyDescent="0.25">
      <c r="B5" s="196" t="s">
        <v>142</v>
      </c>
      <c r="C5" s="198" t="s">
        <v>16</v>
      </c>
      <c r="D5" s="6" t="s">
        <v>108</v>
      </c>
      <c r="E5" s="7"/>
      <c r="F5" s="24">
        <f>SUM(G5:K5)</f>
        <v>0</v>
      </c>
      <c r="G5" s="24"/>
      <c r="H5" s="24"/>
      <c r="I5" s="24"/>
      <c r="J5" s="24"/>
      <c r="K5" s="24"/>
      <c r="L5" s="7"/>
      <c r="M5" s="24">
        <f>SUM(N5:R5)</f>
        <v>0</v>
      </c>
      <c r="N5" s="24"/>
      <c r="O5" s="24"/>
      <c r="P5" s="24"/>
      <c r="Q5" s="24"/>
      <c r="R5" s="24"/>
      <c r="S5" s="7"/>
      <c r="T5" s="24">
        <f>SUM(U5:Y5)</f>
        <v>20</v>
      </c>
      <c r="U5" s="24">
        <v>20</v>
      </c>
      <c r="V5" s="24"/>
      <c r="W5" s="24"/>
      <c r="X5" s="24"/>
      <c r="Y5" s="24"/>
      <c r="Z5" s="7"/>
      <c r="AA5" s="24">
        <f>SUM(AB5:AF5)</f>
        <v>20</v>
      </c>
      <c r="AB5" s="24">
        <v>20</v>
      </c>
      <c r="AC5" s="24"/>
      <c r="AD5" s="24"/>
      <c r="AE5" s="24"/>
      <c r="AF5" s="24"/>
      <c r="AG5" s="7"/>
      <c r="AH5" s="24">
        <f>SUM(AI5:AM5)</f>
        <v>20</v>
      </c>
      <c r="AI5" s="24">
        <v>20</v>
      </c>
      <c r="AJ5" s="24"/>
      <c r="AK5" s="24"/>
      <c r="AL5" s="24"/>
      <c r="AM5" s="24"/>
      <c r="AN5" s="7"/>
      <c r="AO5" s="24">
        <f>SUM(AP5:AT5)</f>
        <v>20</v>
      </c>
      <c r="AP5" s="24">
        <v>20</v>
      </c>
      <c r="AQ5" s="24"/>
      <c r="AR5" s="24"/>
      <c r="AS5" s="24"/>
      <c r="AT5" s="24"/>
      <c r="AU5" s="7"/>
      <c r="AV5" s="24">
        <f>SUM(AW5:BA5)</f>
        <v>20</v>
      </c>
      <c r="AW5" s="24">
        <v>20</v>
      </c>
      <c r="AX5" s="24"/>
      <c r="AY5" s="24"/>
      <c r="AZ5" s="24"/>
      <c r="BA5" s="24"/>
      <c r="BB5" s="7"/>
      <c r="BC5" s="24">
        <f>SUM(BD5:BH5)</f>
        <v>20</v>
      </c>
      <c r="BD5" s="24">
        <v>20</v>
      </c>
      <c r="BE5" s="24"/>
      <c r="BF5" s="24"/>
      <c r="BG5" s="24"/>
      <c r="BH5" s="24"/>
      <c r="BI5" s="7"/>
      <c r="BJ5" s="24">
        <f>SUM(BK5:BO5)</f>
        <v>20</v>
      </c>
      <c r="BK5" s="24">
        <v>20</v>
      </c>
      <c r="BL5" s="24"/>
      <c r="BM5" s="24"/>
      <c r="BN5" s="24"/>
      <c r="BO5" s="24"/>
      <c r="BP5" s="7"/>
      <c r="BQ5" s="24">
        <f>SUM(BR5:BV5)</f>
        <v>20</v>
      </c>
      <c r="BR5" s="24">
        <v>20</v>
      </c>
      <c r="BS5" s="24"/>
      <c r="BT5" s="24"/>
      <c r="BU5" s="24"/>
      <c r="BV5" s="24"/>
    </row>
    <row r="6" spans="2:78" x14ac:dyDescent="0.25">
      <c r="B6" s="197"/>
      <c r="C6" s="198"/>
      <c r="D6" s="6" t="s">
        <v>109</v>
      </c>
      <c r="E6" s="7"/>
      <c r="F6" s="24">
        <f t="shared" ref="F6:F53" si="0">SUM(G6:K6)</f>
        <v>0</v>
      </c>
      <c r="G6" s="24"/>
      <c r="H6" s="24"/>
      <c r="I6" s="24"/>
      <c r="J6" s="24"/>
      <c r="K6" s="24"/>
      <c r="L6" s="7"/>
      <c r="M6" s="24">
        <f t="shared" ref="M6:M53" si="1">SUM(N6:R6)</f>
        <v>0</v>
      </c>
      <c r="N6" s="24"/>
      <c r="O6" s="24"/>
      <c r="P6" s="24"/>
      <c r="Q6" s="24"/>
      <c r="R6" s="24"/>
      <c r="S6" s="7"/>
      <c r="T6" s="24">
        <f t="shared" ref="T6:T53" si="2">SUM(U6:Y6)</f>
        <v>0</v>
      </c>
      <c r="U6" s="24"/>
      <c r="V6" s="24"/>
      <c r="W6" s="24"/>
      <c r="X6" s="24"/>
      <c r="Y6" s="24"/>
      <c r="Z6" s="7"/>
      <c r="AA6" s="24">
        <f t="shared" ref="AA6:AA53" si="3">SUM(AB6:AF6)</f>
        <v>0</v>
      </c>
      <c r="AB6" s="24"/>
      <c r="AC6" s="24"/>
      <c r="AD6" s="24"/>
      <c r="AE6" s="24"/>
      <c r="AF6" s="24"/>
      <c r="AG6" s="7"/>
      <c r="AH6" s="24">
        <f t="shared" ref="AH6:AH53" si="4">SUM(AI6:AM6)</f>
        <v>0</v>
      </c>
      <c r="AI6" s="24"/>
      <c r="AJ6" s="24"/>
      <c r="AK6" s="24"/>
      <c r="AL6" s="24"/>
      <c r="AM6" s="24"/>
      <c r="AN6" s="7"/>
      <c r="AO6" s="24">
        <f t="shared" ref="AO6:AO53" si="5">SUM(AP6:AT6)</f>
        <v>0</v>
      </c>
      <c r="AP6" s="24"/>
      <c r="AQ6" s="24"/>
      <c r="AR6" s="24"/>
      <c r="AS6" s="24"/>
      <c r="AT6" s="24"/>
      <c r="AU6" s="7"/>
      <c r="AV6" s="24">
        <f t="shared" ref="AV6:AV53" si="6">SUM(AW6:BA6)</f>
        <v>0</v>
      </c>
      <c r="AW6" s="24"/>
      <c r="AX6" s="24"/>
      <c r="AY6" s="24"/>
      <c r="AZ6" s="24"/>
      <c r="BA6" s="24"/>
      <c r="BB6" s="7"/>
      <c r="BC6" s="24">
        <f t="shared" ref="BC6:BC53" si="7">SUM(BD6:BH6)</f>
        <v>0</v>
      </c>
      <c r="BD6" s="24"/>
      <c r="BE6" s="24"/>
      <c r="BF6" s="24"/>
      <c r="BG6" s="24"/>
      <c r="BH6" s="24"/>
      <c r="BI6" s="7"/>
      <c r="BJ6" s="24">
        <f t="shared" ref="BJ6:BJ53" si="8">SUM(BK6:BO6)</f>
        <v>0</v>
      </c>
      <c r="BK6" s="24"/>
      <c r="BL6" s="24"/>
      <c r="BM6" s="24"/>
      <c r="BN6" s="24"/>
      <c r="BO6" s="24"/>
      <c r="BP6" s="7"/>
      <c r="BQ6" s="24">
        <f t="shared" ref="BQ6:BQ53" si="9">SUM(BR6:BV6)</f>
        <v>0</v>
      </c>
      <c r="BR6" s="24"/>
      <c r="BS6" s="24"/>
      <c r="BT6" s="24"/>
      <c r="BU6" s="24"/>
      <c r="BV6" s="24"/>
    </row>
    <row r="7" spans="2:78" x14ac:dyDescent="0.25">
      <c r="B7" s="197"/>
      <c r="C7" s="198"/>
      <c r="D7" s="6" t="s">
        <v>110</v>
      </c>
      <c r="E7" s="7"/>
      <c r="F7" s="24">
        <f t="shared" si="0"/>
        <v>0</v>
      </c>
      <c r="G7" s="24"/>
      <c r="H7" s="24"/>
      <c r="I7" s="24"/>
      <c r="J7" s="24"/>
      <c r="K7" s="24"/>
      <c r="L7" s="7"/>
      <c r="M7" s="24">
        <f t="shared" si="1"/>
        <v>0</v>
      </c>
      <c r="N7" s="24"/>
      <c r="O7" s="24"/>
      <c r="P7" s="24"/>
      <c r="Q7" s="24"/>
      <c r="R7" s="24"/>
      <c r="S7" s="7"/>
      <c r="T7" s="24">
        <f t="shared" si="2"/>
        <v>0</v>
      </c>
      <c r="U7" s="24"/>
      <c r="V7" s="24"/>
      <c r="W7" s="24"/>
      <c r="X7" s="24"/>
      <c r="Y7" s="24"/>
      <c r="Z7" s="7"/>
      <c r="AA7" s="24">
        <f t="shared" si="3"/>
        <v>0</v>
      </c>
      <c r="AB7" s="24"/>
      <c r="AC7" s="24"/>
      <c r="AD7" s="24"/>
      <c r="AE7" s="24"/>
      <c r="AF7" s="24"/>
      <c r="AG7" s="7"/>
      <c r="AH7" s="24">
        <f t="shared" si="4"/>
        <v>0</v>
      </c>
      <c r="AI7" s="24"/>
      <c r="AJ7" s="24"/>
      <c r="AK7" s="24"/>
      <c r="AL7" s="24"/>
      <c r="AM7" s="24"/>
      <c r="AN7" s="7"/>
      <c r="AO7" s="24">
        <f t="shared" si="5"/>
        <v>0</v>
      </c>
      <c r="AP7" s="24"/>
      <c r="AQ7" s="24"/>
      <c r="AR7" s="24"/>
      <c r="AS7" s="24"/>
      <c r="AT7" s="24"/>
      <c r="AU7" s="7"/>
      <c r="AV7" s="24">
        <f t="shared" si="6"/>
        <v>0</v>
      </c>
      <c r="AW7" s="24"/>
      <c r="AX7" s="24"/>
      <c r="AY7" s="24"/>
      <c r="AZ7" s="24"/>
      <c r="BA7" s="24"/>
      <c r="BB7" s="7"/>
      <c r="BC7" s="24">
        <f t="shared" si="7"/>
        <v>0</v>
      </c>
      <c r="BD7" s="24"/>
      <c r="BE7" s="24"/>
      <c r="BF7" s="24"/>
      <c r="BG7" s="24"/>
      <c r="BH7" s="24"/>
      <c r="BI7" s="7"/>
      <c r="BJ7" s="24">
        <f t="shared" si="8"/>
        <v>0</v>
      </c>
      <c r="BK7" s="24"/>
      <c r="BL7" s="24"/>
      <c r="BM7" s="24"/>
      <c r="BN7" s="24"/>
      <c r="BO7" s="24"/>
      <c r="BP7" s="7"/>
      <c r="BQ7" s="24">
        <f t="shared" si="9"/>
        <v>0</v>
      </c>
      <c r="BR7" s="24"/>
      <c r="BS7" s="24"/>
      <c r="BT7" s="24"/>
      <c r="BU7" s="24"/>
      <c r="BV7" s="24"/>
    </row>
    <row r="8" spans="2:78" x14ac:dyDescent="0.25">
      <c r="B8" s="197"/>
      <c r="C8" s="198"/>
      <c r="D8" s="6" t="s">
        <v>111</v>
      </c>
      <c r="E8" s="7"/>
      <c r="F8" s="24">
        <f t="shared" si="0"/>
        <v>0</v>
      </c>
      <c r="G8" s="24"/>
      <c r="H8" s="24"/>
      <c r="I8" s="24"/>
      <c r="J8" s="24"/>
      <c r="K8" s="24"/>
      <c r="L8" s="7"/>
      <c r="M8" s="24">
        <f t="shared" si="1"/>
        <v>0</v>
      </c>
      <c r="N8" s="24"/>
      <c r="O8" s="24"/>
      <c r="P8" s="24"/>
      <c r="Q8" s="24"/>
      <c r="R8" s="24"/>
      <c r="S8" s="7"/>
      <c r="T8" s="24">
        <f t="shared" si="2"/>
        <v>0</v>
      </c>
      <c r="U8" s="24"/>
      <c r="V8" s="24"/>
      <c r="W8" s="24"/>
      <c r="X8" s="24"/>
      <c r="Y8" s="24"/>
      <c r="Z8" s="7"/>
      <c r="AA8" s="24">
        <f t="shared" si="3"/>
        <v>0</v>
      </c>
      <c r="AB8" s="24"/>
      <c r="AC8" s="24"/>
      <c r="AD8" s="24"/>
      <c r="AE8" s="24"/>
      <c r="AF8" s="24"/>
      <c r="AG8" s="7"/>
      <c r="AH8" s="24">
        <f t="shared" si="4"/>
        <v>0</v>
      </c>
      <c r="AI8" s="24"/>
      <c r="AJ8" s="24"/>
      <c r="AK8" s="24"/>
      <c r="AL8" s="24"/>
      <c r="AM8" s="24"/>
      <c r="AN8" s="7"/>
      <c r="AO8" s="24">
        <f t="shared" si="5"/>
        <v>0</v>
      </c>
      <c r="AP8" s="24"/>
      <c r="AQ8" s="24"/>
      <c r="AR8" s="24"/>
      <c r="AS8" s="24"/>
      <c r="AT8" s="24"/>
      <c r="AU8" s="7"/>
      <c r="AV8" s="24">
        <f t="shared" si="6"/>
        <v>0</v>
      </c>
      <c r="AW8" s="24"/>
      <c r="AX8" s="24"/>
      <c r="AY8" s="24"/>
      <c r="AZ8" s="24"/>
      <c r="BA8" s="24"/>
      <c r="BB8" s="7"/>
      <c r="BC8" s="24">
        <f t="shared" si="7"/>
        <v>0</v>
      </c>
      <c r="BD8" s="24"/>
      <c r="BE8" s="24"/>
      <c r="BF8" s="24"/>
      <c r="BG8" s="24"/>
      <c r="BH8" s="24"/>
      <c r="BI8" s="7"/>
      <c r="BJ8" s="24">
        <f t="shared" si="8"/>
        <v>0</v>
      </c>
      <c r="BK8" s="24"/>
      <c r="BL8" s="24"/>
      <c r="BM8" s="24"/>
      <c r="BN8" s="24"/>
      <c r="BO8" s="24"/>
      <c r="BP8" s="7"/>
      <c r="BQ8" s="24">
        <f t="shared" si="9"/>
        <v>0</v>
      </c>
      <c r="BR8" s="24"/>
      <c r="BS8" s="24"/>
      <c r="BT8" s="24"/>
      <c r="BU8" s="24"/>
      <c r="BV8" s="24"/>
    </row>
    <row r="9" spans="2:78" x14ac:dyDescent="0.25">
      <c r="B9" s="197"/>
      <c r="C9" s="186" t="s">
        <v>112</v>
      </c>
      <c r="D9" s="8">
        <v>1</v>
      </c>
      <c r="E9" s="9"/>
      <c r="F9" s="65">
        <f t="shared" si="0"/>
        <v>0</v>
      </c>
      <c r="G9" s="9"/>
      <c r="H9" s="9"/>
      <c r="I9" s="9"/>
      <c r="J9" s="9"/>
      <c r="K9" s="9"/>
      <c r="L9" s="9"/>
      <c r="M9" s="65">
        <f t="shared" si="1"/>
        <v>0</v>
      </c>
      <c r="N9" s="9"/>
      <c r="O9" s="9"/>
      <c r="P9" s="9"/>
      <c r="Q9" s="9"/>
      <c r="R9" s="9"/>
      <c r="S9" s="9"/>
      <c r="T9" s="65">
        <f t="shared" si="2"/>
        <v>0</v>
      </c>
      <c r="U9" s="9"/>
      <c r="V9" s="9"/>
      <c r="W9" s="9"/>
      <c r="X9" s="9"/>
      <c r="Y9" s="9"/>
      <c r="Z9" s="9"/>
      <c r="AA9" s="65">
        <f t="shared" si="3"/>
        <v>0</v>
      </c>
      <c r="AB9" s="9"/>
      <c r="AC9" s="9"/>
      <c r="AD9" s="9"/>
      <c r="AE9" s="9"/>
      <c r="AF9" s="9"/>
      <c r="AG9" s="9"/>
      <c r="AH9" s="65">
        <f t="shared" si="4"/>
        <v>0</v>
      </c>
      <c r="AI9" s="9"/>
      <c r="AJ9" s="9"/>
      <c r="AK9" s="9"/>
      <c r="AL9" s="9"/>
      <c r="AM9" s="9"/>
      <c r="AN9" s="9"/>
      <c r="AO9" s="65">
        <f t="shared" si="5"/>
        <v>0</v>
      </c>
      <c r="AP9" s="9"/>
      <c r="AQ9" s="9"/>
      <c r="AR9" s="9"/>
      <c r="AS9" s="9"/>
      <c r="AT9" s="9"/>
      <c r="AU9" s="9"/>
      <c r="AV9" s="65">
        <f t="shared" si="6"/>
        <v>0</v>
      </c>
      <c r="AW9" s="9"/>
      <c r="AX9" s="9"/>
      <c r="AY9" s="9"/>
      <c r="AZ9" s="9"/>
      <c r="BA9" s="9"/>
      <c r="BB9" s="9"/>
      <c r="BC9" s="65">
        <f t="shared" si="7"/>
        <v>0</v>
      </c>
      <c r="BD9" s="9"/>
      <c r="BE9" s="9"/>
      <c r="BF9" s="9"/>
      <c r="BG9" s="9"/>
      <c r="BH9" s="9"/>
      <c r="BI9" s="9"/>
      <c r="BJ9" s="65">
        <f t="shared" si="8"/>
        <v>0</v>
      </c>
      <c r="BK9" s="9"/>
      <c r="BL9" s="9"/>
      <c r="BM9" s="9"/>
      <c r="BN9" s="9"/>
      <c r="BO9" s="9"/>
      <c r="BP9" s="9"/>
      <c r="BQ9" s="65">
        <f t="shared" si="9"/>
        <v>0</v>
      </c>
      <c r="BR9" s="9"/>
      <c r="BS9" s="9"/>
      <c r="BT9" s="9"/>
      <c r="BU9" s="9"/>
      <c r="BV9" s="9"/>
    </row>
    <row r="10" spans="2:78" x14ac:dyDescent="0.25">
      <c r="B10" s="197"/>
      <c r="C10" s="187"/>
      <c r="D10" s="10">
        <v>2</v>
      </c>
      <c r="E10" s="9"/>
      <c r="F10" s="65">
        <f t="shared" si="0"/>
        <v>0</v>
      </c>
      <c r="G10" s="9"/>
      <c r="H10" s="9"/>
      <c r="I10" s="9"/>
      <c r="J10" s="9"/>
      <c r="K10" s="9"/>
      <c r="L10" s="9"/>
      <c r="M10" s="65">
        <f t="shared" si="1"/>
        <v>0</v>
      </c>
      <c r="N10" s="9"/>
      <c r="O10" s="9"/>
      <c r="P10" s="9"/>
      <c r="Q10" s="9"/>
      <c r="R10" s="9"/>
      <c r="S10" s="9"/>
      <c r="T10" s="65">
        <f t="shared" si="2"/>
        <v>0</v>
      </c>
      <c r="U10" s="9"/>
      <c r="V10" s="9"/>
      <c r="W10" s="9"/>
      <c r="X10" s="9"/>
      <c r="Y10" s="9"/>
      <c r="Z10" s="9"/>
      <c r="AA10" s="65">
        <f t="shared" si="3"/>
        <v>0</v>
      </c>
      <c r="AB10" s="9"/>
      <c r="AC10" s="9"/>
      <c r="AD10" s="9"/>
      <c r="AE10" s="9"/>
      <c r="AF10" s="9"/>
      <c r="AG10" s="9"/>
      <c r="AH10" s="65">
        <f t="shared" si="4"/>
        <v>0</v>
      </c>
      <c r="AI10" s="9"/>
      <c r="AJ10" s="9"/>
      <c r="AK10" s="9"/>
      <c r="AL10" s="9"/>
      <c r="AM10" s="9"/>
      <c r="AN10" s="9"/>
      <c r="AO10" s="65">
        <f t="shared" si="5"/>
        <v>0</v>
      </c>
      <c r="AP10" s="9"/>
      <c r="AQ10" s="9"/>
      <c r="AR10" s="9"/>
      <c r="AS10" s="9"/>
      <c r="AT10" s="9"/>
      <c r="AU10" s="9"/>
      <c r="AV10" s="65">
        <f t="shared" si="6"/>
        <v>0</v>
      </c>
      <c r="AW10" s="9"/>
      <c r="AX10" s="9"/>
      <c r="AY10" s="9"/>
      <c r="AZ10" s="9"/>
      <c r="BA10" s="9"/>
      <c r="BB10" s="9"/>
      <c r="BC10" s="65">
        <f t="shared" si="7"/>
        <v>0</v>
      </c>
      <c r="BD10" s="9"/>
      <c r="BE10" s="9"/>
      <c r="BF10" s="9"/>
      <c r="BG10" s="9"/>
      <c r="BH10" s="9"/>
      <c r="BI10" s="9"/>
      <c r="BJ10" s="65">
        <f t="shared" si="8"/>
        <v>0</v>
      </c>
      <c r="BK10" s="9"/>
      <c r="BL10" s="9"/>
      <c r="BM10" s="9"/>
      <c r="BN10" s="9"/>
      <c r="BO10" s="9"/>
      <c r="BP10" s="9"/>
      <c r="BQ10" s="65">
        <f t="shared" si="9"/>
        <v>0</v>
      </c>
      <c r="BR10" s="9"/>
      <c r="BS10" s="9"/>
      <c r="BT10" s="9"/>
      <c r="BU10" s="9"/>
      <c r="BV10" s="9"/>
    </row>
    <row r="11" spans="2:78" x14ac:dyDescent="0.25">
      <c r="B11" s="197"/>
      <c r="C11" s="187"/>
      <c r="D11" s="10">
        <v>3</v>
      </c>
      <c r="E11" s="9"/>
      <c r="F11" s="65">
        <f t="shared" si="0"/>
        <v>0</v>
      </c>
      <c r="G11" s="9"/>
      <c r="H11" s="9"/>
      <c r="I11" s="9"/>
      <c r="J11" s="9"/>
      <c r="K11" s="9"/>
      <c r="L11" s="9"/>
      <c r="M11" s="65">
        <f t="shared" si="1"/>
        <v>0</v>
      </c>
      <c r="N11" s="9"/>
      <c r="O11" s="9"/>
      <c r="P11" s="9"/>
      <c r="Q11" s="9"/>
      <c r="R11" s="9"/>
      <c r="S11" s="9"/>
      <c r="T11" s="65">
        <f t="shared" si="2"/>
        <v>0</v>
      </c>
      <c r="U11" s="9"/>
      <c r="V11" s="9"/>
      <c r="W11" s="9"/>
      <c r="X11" s="9"/>
      <c r="Y11" s="9"/>
      <c r="Z11" s="9"/>
      <c r="AA11" s="65">
        <f t="shared" si="3"/>
        <v>0</v>
      </c>
      <c r="AB11" s="9"/>
      <c r="AC11" s="9"/>
      <c r="AD11" s="9"/>
      <c r="AE11" s="9"/>
      <c r="AF11" s="9"/>
      <c r="AG11" s="9"/>
      <c r="AH11" s="65">
        <f t="shared" si="4"/>
        <v>0</v>
      </c>
      <c r="AI11" s="9"/>
      <c r="AJ11" s="9"/>
      <c r="AK11" s="9"/>
      <c r="AL11" s="9"/>
      <c r="AM11" s="9"/>
      <c r="AN11" s="9"/>
      <c r="AO11" s="65">
        <f t="shared" si="5"/>
        <v>0</v>
      </c>
      <c r="AP11" s="9"/>
      <c r="AQ11" s="9"/>
      <c r="AR11" s="9"/>
      <c r="AS11" s="9"/>
      <c r="AT11" s="9"/>
      <c r="AU11" s="9"/>
      <c r="AV11" s="65">
        <f t="shared" si="6"/>
        <v>0</v>
      </c>
      <c r="AW11" s="9"/>
      <c r="AX11" s="9"/>
      <c r="AY11" s="9"/>
      <c r="AZ11" s="9"/>
      <c r="BA11" s="9"/>
      <c r="BB11" s="9"/>
      <c r="BC11" s="65">
        <f t="shared" si="7"/>
        <v>0</v>
      </c>
      <c r="BD11" s="9"/>
      <c r="BE11" s="9"/>
      <c r="BF11" s="9"/>
      <c r="BG11" s="9"/>
      <c r="BH11" s="9"/>
      <c r="BI11" s="9"/>
      <c r="BJ11" s="65">
        <f t="shared" si="8"/>
        <v>0</v>
      </c>
      <c r="BK11" s="9"/>
      <c r="BL11" s="9"/>
      <c r="BM11" s="9"/>
      <c r="BN11" s="9"/>
      <c r="BO11" s="9"/>
      <c r="BP11" s="9"/>
      <c r="BQ11" s="65">
        <f t="shared" si="9"/>
        <v>0</v>
      </c>
      <c r="BR11" s="9"/>
      <c r="BS11" s="9"/>
      <c r="BT11" s="9"/>
      <c r="BU11" s="9"/>
      <c r="BV11" s="9"/>
    </row>
    <row r="12" spans="2:78" x14ac:dyDescent="0.25">
      <c r="B12" s="197"/>
      <c r="C12" s="187"/>
      <c r="D12" s="10">
        <v>4</v>
      </c>
      <c r="E12" s="9"/>
      <c r="F12" s="65">
        <f t="shared" si="0"/>
        <v>0</v>
      </c>
      <c r="G12" s="9"/>
      <c r="H12" s="9"/>
      <c r="I12" s="9"/>
      <c r="J12" s="9"/>
      <c r="K12" s="9"/>
      <c r="L12" s="9"/>
      <c r="M12" s="65">
        <f t="shared" si="1"/>
        <v>0</v>
      </c>
      <c r="N12" s="9"/>
      <c r="O12" s="9"/>
      <c r="P12" s="9"/>
      <c r="Q12" s="9"/>
      <c r="R12" s="9"/>
      <c r="S12" s="9"/>
      <c r="T12" s="65">
        <f t="shared" si="2"/>
        <v>0</v>
      </c>
      <c r="U12" s="9"/>
      <c r="V12" s="9"/>
      <c r="W12" s="9"/>
      <c r="X12" s="9"/>
      <c r="Y12" s="9"/>
      <c r="Z12" s="9"/>
      <c r="AA12" s="65">
        <f t="shared" si="3"/>
        <v>0</v>
      </c>
      <c r="AB12" s="9"/>
      <c r="AC12" s="9"/>
      <c r="AD12" s="9"/>
      <c r="AE12" s="9"/>
      <c r="AF12" s="9"/>
      <c r="AG12" s="9"/>
      <c r="AH12" s="65">
        <f t="shared" si="4"/>
        <v>0</v>
      </c>
      <c r="AI12" s="9"/>
      <c r="AJ12" s="9"/>
      <c r="AK12" s="9"/>
      <c r="AL12" s="9"/>
      <c r="AM12" s="9"/>
      <c r="AN12" s="9"/>
      <c r="AO12" s="65">
        <f t="shared" si="5"/>
        <v>0</v>
      </c>
      <c r="AP12" s="9"/>
      <c r="AQ12" s="9"/>
      <c r="AR12" s="9"/>
      <c r="AS12" s="9"/>
      <c r="AT12" s="9"/>
      <c r="AU12" s="9"/>
      <c r="AV12" s="65">
        <f t="shared" si="6"/>
        <v>0</v>
      </c>
      <c r="AW12" s="9"/>
      <c r="AX12" s="9"/>
      <c r="AY12" s="9"/>
      <c r="AZ12" s="9"/>
      <c r="BA12" s="9"/>
      <c r="BB12" s="9"/>
      <c r="BC12" s="65">
        <f t="shared" si="7"/>
        <v>0</v>
      </c>
      <c r="BD12" s="9"/>
      <c r="BE12" s="9"/>
      <c r="BF12" s="9"/>
      <c r="BG12" s="9"/>
      <c r="BH12" s="9"/>
      <c r="BI12" s="9"/>
      <c r="BJ12" s="65">
        <f t="shared" si="8"/>
        <v>0</v>
      </c>
      <c r="BK12" s="9"/>
      <c r="BL12" s="9"/>
      <c r="BM12" s="9"/>
      <c r="BN12" s="9"/>
      <c r="BO12" s="9"/>
      <c r="BP12" s="9"/>
      <c r="BQ12" s="65">
        <f t="shared" si="9"/>
        <v>0</v>
      </c>
      <c r="BR12" s="9"/>
      <c r="BS12" s="9"/>
      <c r="BT12" s="9"/>
      <c r="BU12" s="9"/>
      <c r="BV12" s="9"/>
    </row>
    <row r="13" spans="2:78" x14ac:dyDescent="0.25">
      <c r="B13" s="197"/>
      <c r="C13" s="187"/>
      <c r="D13" s="10">
        <v>5</v>
      </c>
      <c r="E13" s="9"/>
      <c r="F13" s="65">
        <f t="shared" si="0"/>
        <v>0</v>
      </c>
      <c r="G13" s="9"/>
      <c r="H13" s="9"/>
      <c r="I13" s="9"/>
      <c r="J13" s="9"/>
      <c r="K13" s="9"/>
      <c r="L13" s="9"/>
      <c r="M13" s="65">
        <f t="shared" si="1"/>
        <v>0</v>
      </c>
      <c r="N13" s="9"/>
      <c r="O13" s="9"/>
      <c r="P13" s="9"/>
      <c r="Q13" s="9"/>
      <c r="R13" s="9"/>
      <c r="S13" s="9"/>
      <c r="T13" s="65">
        <f t="shared" si="2"/>
        <v>0</v>
      </c>
      <c r="U13" s="9"/>
      <c r="V13" s="9"/>
      <c r="W13" s="9"/>
      <c r="X13" s="9"/>
      <c r="Y13" s="9"/>
      <c r="Z13" s="9"/>
      <c r="AA13" s="65">
        <f t="shared" si="3"/>
        <v>0</v>
      </c>
      <c r="AB13" s="9"/>
      <c r="AC13" s="9"/>
      <c r="AD13" s="9"/>
      <c r="AE13" s="9"/>
      <c r="AF13" s="9"/>
      <c r="AG13" s="9"/>
      <c r="AH13" s="65">
        <f t="shared" si="4"/>
        <v>0</v>
      </c>
      <c r="AI13" s="9"/>
      <c r="AJ13" s="9"/>
      <c r="AK13" s="9"/>
      <c r="AL13" s="9"/>
      <c r="AM13" s="9"/>
      <c r="AN13" s="9"/>
      <c r="AO13" s="65">
        <f t="shared" si="5"/>
        <v>0</v>
      </c>
      <c r="AP13" s="9"/>
      <c r="AQ13" s="9"/>
      <c r="AR13" s="9"/>
      <c r="AS13" s="9"/>
      <c r="AT13" s="9"/>
      <c r="AU13" s="9"/>
      <c r="AV13" s="65">
        <f t="shared" si="6"/>
        <v>0</v>
      </c>
      <c r="AW13" s="9"/>
      <c r="AX13" s="9"/>
      <c r="AY13" s="9"/>
      <c r="AZ13" s="9"/>
      <c r="BA13" s="9"/>
      <c r="BB13" s="9"/>
      <c r="BC13" s="65">
        <f t="shared" si="7"/>
        <v>0</v>
      </c>
      <c r="BD13" s="9"/>
      <c r="BE13" s="9"/>
      <c r="BF13" s="9"/>
      <c r="BG13" s="9"/>
      <c r="BH13" s="9"/>
      <c r="BI13" s="9"/>
      <c r="BJ13" s="65">
        <f t="shared" si="8"/>
        <v>0</v>
      </c>
      <c r="BK13" s="9"/>
      <c r="BL13" s="9"/>
      <c r="BM13" s="9"/>
      <c r="BN13" s="9"/>
      <c r="BO13" s="9"/>
      <c r="BP13" s="9"/>
      <c r="BQ13" s="65">
        <f t="shared" si="9"/>
        <v>0</v>
      </c>
      <c r="BR13" s="9"/>
      <c r="BS13" s="9"/>
      <c r="BT13" s="9"/>
      <c r="BU13" s="9"/>
      <c r="BV13" s="9"/>
    </row>
    <row r="14" spans="2:78" x14ac:dyDescent="0.25">
      <c r="B14" s="197"/>
      <c r="C14" s="187"/>
      <c r="D14" s="8">
        <v>6</v>
      </c>
      <c r="E14" s="9"/>
      <c r="F14" s="65">
        <f t="shared" si="0"/>
        <v>0</v>
      </c>
      <c r="G14" s="9"/>
      <c r="H14" s="9"/>
      <c r="I14" s="9"/>
      <c r="J14" s="9"/>
      <c r="K14" s="9"/>
      <c r="L14" s="9"/>
      <c r="M14" s="65">
        <f t="shared" si="1"/>
        <v>0</v>
      </c>
      <c r="N14" s="9"/>
      <c r="O14" s="9"/>
      <c r="P14" s="9"/>
      <c r="Q14" s="9"/>
      <c r="R14" s="9"/>
      <c r="S14" s="9"/>
      <c r="T14" s="65">
        <f t="shared" si="2"/>
        <v>0</v>
      </c>
      <c r="U14" s="9"/>
      <c r="V14" s="9"/>
      <c r="W14" s="9"/>
      <c r="X14" s="9"/>
      <c r="Y14" s="9"/>
      <c r="Z14" s="9"/>
      <c r="AA14" s="65">
        <f t="shared" si="3"/>
        <v>0</v>
      </c>
      <c r="AB14" s="9"/>
      <c r="AC14" s="9"/>
      <c r="AD14" s="9"/>
      <c r="AE14" s="9"/>
      <c r="AF14" s="9"/>
      <c r="AG14" s="9"/>
      <c r="AH14" s="65">
        <f t="shared" si="4"/>
        <v>0</v>
      </c>
      <c r="AI14" s="9"/>
      <c r="AJ14" s="9"/>
      <c r="AK14" s="9"/>
      <c r="AL14" s="9"/>
      <c r="AM14" s="9"/>
      <c r="AN14" s="9"/>
      <c r="AO14" s="65">
        <f t="shared" si="5"/>
        <v>0</v>
      </c>
      <c r="AP14" s="9"/>
      <c r="AQ14" s="9"/>
      <c r="AR14" s="9"/>
      <c r="AS14" s="9"/>
      <c r="AT14" s="9"/>
      <c r="AU14" s="9"/>
      <c r="AV14" s="65">
        <f t="shared" si="6"/>
        <v>0</v>
      </c>
      <c r="AW14" s="9"/>
      <c r="AX14" s="9"/>
      <c r="AY14" s="9"/>
      <c r="AZ14" s="9"/>
      <c r="BA14" s="9"/>
      <c r="BB14" s="9"/>
      <c r="BC14" s="65">
        <f t="shared" si="7"/>
        <v>0</v>
      </c>
      <c r="BD14" s="9"/>
      <c r="BE14" s="9"/>
      <c r="BF14" s="9"/>
      <c r="BG14" s="9"/>
      <c r="BH14" s="9"/>
      <c r="BI14" s="9"/>
      <c r="BJ14" s="65">
        <f t="shared" si="8"/>
        <v>0</v>
      </c>
      <c r="BK14" s="9"/>
      <c r="BL14" s="9"/>
      <c r="BM14" s="9"/>
      <c r="BN14" s="9"/>
      <c r="BO14" s="9"/>
      <c r="BP14" s="9"/>
      <c r="BQ14" s="65">
        <f t="shared" si="9"/>
        <v>0</v>
      </c>
      <c r="BR14" s="9"/>
      <c r="BS14" s="9"/>
      <c r="BT14" s="9"/>
      <c r="BU14" s="9"/>
      <c r="BV14" s="9"/>
    </row>
    <row r="15" spans="2:78" x14ac:dyDescent="0.25">
      <c r="B15" s="197"/>
      <c r="C15" s="187"/>
      <c r="D15" s="10">
        <v>7</v>
      </c>
      <c r="E15" s="9"/>
      <c r="F15" s="65">
        <f t="shared" si="0"/>
        <v>0</v>
      </c>
      <c r="G15" s="9"/>
      <c r="H15" s="9"/>
      <c r="I15" s="9"/>
      <c r="J15" s="9"/>
      <c r="K15" s="9"/>
      <c r="L15" s="9"/>
      <c r="M15" s="65">
        <f t="shared" si="1"/>
        <v>0</v>
      </c>
      <c r="N15" s="9"/>
      <c r="O15" s="9"/>
      <c r="P15" s="9"/>
      <c r="Q15" s="9"/>
      <c r="R15" s="9"/>
      <c r="S15" s="9"/>
      <c r="T15" s="65">
        <f t="shared" si="2"/>
        <v>0</v>
      </c>
      <c r="U15" s="9"/>
      <c r="V15" s="9"/>
      <c r="W15" s="9"/>
      <c r="X15" s="9"/>
      <c r="Y15" s="9"/>
      <c r="Z15" s="9"/>
      <c r="AA15" s="65">
        <f t="shared" si="3"/>
        <v>0</v>
      </c>
      <c r="AB15" s="9"/>
      <c r="AC15" s="9"/>
      <c r="AD15" s="9"/>
      <c r="AE15" s="9"/>
      <c r="AF15" s="9"/>
      <c r="AG15" s="9"/>
      <c r="AH15" s="65">
        <f t="shared" si="4"/>
        <v>0</v>
      </c>
      <c r="AI15" s="9"/>
      <c r="AJ15" s="9"/>
      <c r="AK15" s="9"/>
      <c r="AL15" s="9"/>
      <c r="AM15" s="9"/>
      <c r="AN15" s="9"/>
      <c r="AO15" s="65">
        <f t="shared" si="5"/>
        <v>0</v>
      </c>
      <c r="AP15" s="9"/>
      <c r="AQ15" s="9"/>
      <c r="AR15" s="9"/>
      <c r="AS15" s="9"/>
      <c r="AT15" s="9"/>
      <c r="AU15" s="9"/>
      <c r="AV15" s="65">
        <f t="shared" si="6"/>
        <v>0</v>
      </c>
      <c r="AW15" s="9"/>
      <c r="AX15" s="9"/>
      <c r="AY15" s="9"/>
      <c r="AZ15" s="9"/>
      <c r="BA15" s="9"/>
      <c r="BB15" s="9"/>
      <c r="BC15" s="65">
        <f t="shared" si="7"/>
        <v>0</v>
      </c>
      <c r="BD15" s="9"/>
      <c r="BE15" s="9"/>
      <c r="BF15" s="9"/>
      <c r="BG15" s="9"/>
      <c r="BH15" s="9"/>
      <c r="BI15" s="9"/>
      <c r="BJ15" s="65">
        <f t="shared" si="8"/>
        <v>0</v>
      </c>
      <c r="BK15" s="9"/>
      <c r="BL15" s="9"/>
      <c r="BM15" s="9"/>
      <c r="BN15" s="9"/>
      <c r="BO15" s="9"/>
      <c r="BP15" s="9"/>
      <c r="BQ15" s="65">
        <f t="shared" si="9"/>
        <v>0</v>
      </c>
      <c r="BR15" s="9"/>
      <c r="BS15" s="9"/>
      <c r="BT15" s="9"/>
      <c r="BU15" s="9"/>
      <c r="BV15" s="9"/>
    </row>
    <row r="16" spans="2:78" x14ac:dyDescent="0.25">
      <c r="B16" s="197"/>
      <c r="C16" s="187"/>
      <c r="D16" s="10">
        <v>8</v>
      </c>
      <c r="E16" s="9"/>
      <c r="F16" s="65">
        <f t="shared" si="0"/>
        <v>0</v>
      </c>
      <c r="G16" s="9"/>
      <c r="H16" s="9"/>
      <c r="I16" s="9"/>
      <c r="J16" s="9"/>
      <c r="K16" s="9"/>
      <c r="L16" s="9"/>
      <c r="M16" s="65">
        <f t="shared" si="1"/>
        <v>0</v>
      </c>
      <c r="N16" s="9"/>
      <c r="O16" s="9"/>
      <c r="P16" s="9"/>
      <c r="Q16" s="9"/>
      <c r="R16" s="9"/>
      <c r="S16" s="9"/>
      <c r="T16" s="65">
        <f t="shared" si="2"/>
        <v>0</v>
      </c>
      <c r="U16" s="9"/>
      <c r="V16" s="9"/>
      <c r="W16" s="9"/>
      <c r="X16" s="9"/>
      <c r="Y16" s="9"/>
      <c r="Z16" s="9"/>
      <c r="AA16" s="65">
        <f t="shared" si="3"/>
        <v>0</v>
      </c>
      <c r="AB16" s="9"/>
      <c r="AC16" s="9"/>
      <c r="AD16" s="9"/>
      <c r="AE16" s="9"/>
      <c r="AF16" s="9"/>
      <c r="AG16" s="9"/>
      <c r="AH16" s="65">
        <f t="shared" si="4"/>
        <v>0</v>
      </c>
      <c r="AI16" s="9"/>
      <c r="AJ16" s="9"/>
      <c r="AK16" s="9"/>
      <c r="AL16" s="9"/>
      <c r="AM16" s="9"/>
      <c r="AN16" s="9"/>
      <c r="AO16" s="65">
        <f t="shared" si="5"/>
        <v>0</v>
      </c>
      <c r="AP16" s="9"/>
      <c r="AQ16" s="9"/>
      <c r="AR16" s="9"/>
      <c r="AS16" s="9"/>
      <c r="AT16" s="9"/>
      <c r="AU16" s="9"/>
      <c r="AV16" s="65">
        <f t="shared" si="6"/>
        <v>0</v>
      </c>
      <c r="AW16" s="9"/>
      <c r="AX16" s="9"/>
      <c r="AY16" s="9"/>
      <c r="AZ16" s="9"/>
      <c r="BA16" s="9"/>
      <c r="BB16" s="9"/>
      <c r="BC16" s="65">
        <f t="shared" si="7"/>
        <v>0</v>
      </c>
      <c r="BD16" s="9"/>
      <c r="BE16" s="9"/>
      <c r="BF16" s="9"/>
      <c r="BG16" s="9"/>
      <c r="BH16" s="9"/>
      <c r="BI16" s="9"/>
      <c r="BJ16" s="65">
        <f t="shared" si="8"/>
        <v>0</v>
      </c>
      <c r="BK16" s="9"/>
      <c r="BL16" s="9"/>
      <c r="BM16" s="9"/>
      <c r="BN16" s="9"/>
      <c r="BO16" s="9"/>
      <c r="BP16" s="9"/>
      <c r="BQ16" s="65">
        <f t="shared" si="9"/>
        <v>0</v>
      </c>
      <c r="BR16" s="9"/>
      <c r="BS16" s="9"/>
      <c r="BT16" s="9"/>
      <c r="BU16" s="9"/>
      <c r="BV16" s="9"/>
    </row>
    <row r="17" spans="2:74" x14ac:dyDescent="0.25">
      <c r="B17" s="197"/>
      <c r="C17" s="188"/>
      <c r="D17" s="10">
        <v>9</v>
      </c>
      <c r="E17" s="9"/>
      <c r="F17" s="65">
        <f t="shared" si="0"/>
        <v>0</v>
      </c>
      <c r="G17" s="9"/>
      <c r="H17" s="9"/>
      <c r="I17" s="9"/>
      <c r="J17" s="9"/>
      <c r="K17" s="9"/>
      <c r="L17" s="9"/>
      <c r="M17" s="65">
        <f t="shared" si="1"/>
        <v>0</v>
      </c>
      <c r="N17" s="9"/>
      <c r="O17" s="9"/>
      <c r="P17" s="9"/>
      <c r="Q17" s="9"/>
      <c r="R17" s="9"/>
      <c r="S17" s="9"/>
      <c r="T17" s="65">
        <f t="shared" si="2"/>
        <v>0</v>
      </c>
      <c r="U17" s="9"/>
      <c r="V17" s="9"/>
      <c r="W17" s="9"/>
      <c r="X17" s="9"/>
      <c r="Y17" s="9"/>
      <c r="Z17" s="9"/>
      <c r="AA17" s="65">
        <f t="shared" si="3"/>
        <v>0</v>
      </c>
      <c r="AB17" s="9"/>
      <c r="AC17" s="9"/>
      <c r="AD17" s="9"/>
      <c r="AE17" s="9"/>
      <c r="AF17" s="9"/>
      <c r="AG17" s="9"/>
      <c r="AH17" s="65">
        <f t="shared" si="4"/>
        <v>0</v>
      </c>
      <c r="AI17" s="9"/>
      <c r="AJ17" s="9"/>
      <c r="AK17" s="9"/>
      <c r="AL17" s="9"/>
      <c r="AM17" s="9"/>
      <c r="AN17" s="9"/>
      <c r="AO17" s="65">
        <f t="shared" si="5"/>
        <v>0</v>
      </c>
      <c r="AP17" s="9"/>
      <c r="AQ17" s="9"/>
      <c r="AR17" s="9"/>
      <c r="AS17" s="9"/>
      <c r="AT17" s="9"/>
      <c r="AU17" s="9"/>
      <c r="AV17" s="65">
        <f t="shared" si="6"/>
        <v>0</v>
      </c>
      <c r="AW17" s="9"/>
      <c r="AX17" s="9"/>
      <c r="AY17" s="9"/>
      <c r="AZ17" s="9"/>
      <c r="BA17" s="9"/>
      <c r="BB17" s="9"/>
      <c r="BC17" s="65">
        <f t="shared" si="7"/>
        <v>0</v>
      </c>
      <c r="BD17" s="9"/>
      <c r="BE17" s="9"/>
      <c r="BF17" s="9"/>
      <c r="BG17" s="9"/>
      <c r="BH17" s="9"/>
      <c r="BI17" s="9"/>
      <c r="BJ17" s="65">
        <f t="shared" si="8"/>
        <v>0</v>
      </c>
      <c r="BK17" s="9"/>
      <c r="BL17" s="9"/>
      <c r="BM17" s="9"/>
      <c r="BN17" s="9"/>
      <c r="BO17" s="9"/>
      <c r="BP17" s="9"/>
      <c r="BQ17" s="65">
        <f t="shared" si="9"/>
        <v>0</v>
      </c>
      <c r="BR17" s="9"/>
      <c r="BS17" s="9"/>
      <c r="BT17" s="9"/>
      <c r="BU17" s="9"/>
      <c r="BV17" s="9"/>
    </row>
    <row r="18" spans="2:74" x14ac:dyDescent="0.25">
      <c r="B18" s="197"/>
      <c r="C18" s="189" t="s">
        <v>113</v>
      </c>
      <c r="D18" s="13">
        <v>1</v>
      </c>
      <c r="E18" s="14"/>
      <c r="F18" s="66">
        <f t="shared" si="0"/>
        <v>0</v>
      </c>
      <c r="G18" s="14"/>
      <c r="H18" s="14"/>
      <c r="I18" s="14"/>
      <c r="J18" s="14"/>
      <c r="K18" s="14"/>
      <c r="L18" s="14"/>
      <c r="M18" s="66">
        <f t="shared" si="1"/>
        <v>0</v>
      </c>
      <c r="N18" s="14"/>
      <c r="O18" s="14"/>
      <c r="P18" s="14"/>
      <c r="Q18" s="14"/>
      <c r="R18" s="14"/>
      <c r="S18" s="14"/>
      <c r="T18" s="66">
        <f t="shared" si="2"/>
        <v>0</v>
      </c>
      <c r="U18" s="14"/>
      <c r="V18" s="14"/>
      <c r="W18" s="14"/>
      <c r="X18" s="14"/>
      <c r="Y18" s="14"/>
      <c r="Z18" s="14"/>
      <c r="AA18" s="66">
        <f t="shared" si="3"/>
        <v>0</v>
      </c>
      <c r="AB18" s="14"/>
      <c r="AC18" s="14"/>
      <c r="AD18" s="14"/>
      <c r="AE18" s="14"/>
      <c r="AF18" s="14"/>
      <c r="AG18" s="14"/>
      <c r="AH18" s="66">
        <f t="shared" si="4"/>
        <v>0</v>
      </c>
      <c r="AI18" s="14"/>
      <c r="AJ18" s="14"/>
      <c r="AK18" s="14"/>
      <c r="AL18" s="14"/>
      <c r="AM18" s="14"/>
      <c r="AN18" s="14"/>
      <c r="AO18" s="66">
        <f t="shared" si="5"/>
        <v>0</v>
      </c>
      <c r="AP18" s="14"/>
      <c r="AQ18" s="14"/>
      <c r="AR18" s="14"/>
      <c r="AS18" s="14"/>
      <c r="AT18" s="14"/>
      <c r="AU18" s="14"/>
      <c r="AV18" s="66">
        <f t="shared" si="6"/>
        <v>0</v>
      </c>
      <c r="AW18" s="14"/>
      <c r="AX18" s="14"/>
      <c r="AY18" s="14"/>
      <c r="AZ18" s="14"/>
      <c r="BA18" s="14"/>
      <c r="BB18" s="14"/>
      <c r="BC18" s="66">
        <f t="shared" si="7"/>
        <v>0</v>
      </c>
      <c r="BD18" s="14"/>
      <c r="BE18" s="14"/>
      <c r="BF18" s="14"/>
      <c r="BG18" s="14"/>
      <c r="BH18" s="14"/>
      <c r="BI18" s="14"/>
      <c r="BJ18" s="66">
        <f t="shared" si="8"/>
        <v>0</v>
      </c>
      <c r="BK18" s="14"/>
      <c r="BL18" s="14"/>
      <c r="BM18" s="14"/>
      <c r="BN18" s="14"/>
      <c r="BO18" s="14"/>
      <c r="BP18" s="14"/>
      <c r="BQ18" s="66">
        <f t="shared" si="9"/>
        <v>0</v>
      </c>
      <c r="BR18" s="14"/>
      <c r="BS18" s="14"/>
      <c r="BT18" s="14"/>
      <c r="BU18" s="14"/>
      <c r="BV18" s="14"/>
    </row>
    <row r="19" spans="2:74" x14ac:dyDescent="0.25">
      <c r="B19" s="197"/>
      <c r="C19" s="189"/>
      <c r="D19" s="13">
        <v>2</v>
      </c>
      <c r="E19" s="14"/>
      <c r="F19" s="66">
        <f t="shared" si="0"/>
        <v>0</v>
      </c>
      <c r="G19" s="14"/>
      <c r="H19" s="14"/>
      <c r="I19" s="14"/>
      <c r="J19" s="14"/>
      <c r="K19" s="14"/>
      <c r="L19" s="14"/>
      <c r="M19" s="66">
        <f t="shared" si="1"/>
        <v>0</v>
      </c>
      <c r="N19" s="14"/>
      <c r="O19" s="14"/>
      <c r="P19" s="14"/>
      <c r="Q19" s="14"/>
      <c r="R19" s="14"/>
      <c r="S19" s="14"/>
      <c r="T19" s="66">
        <f t="shared" si="2"/>
        <v>0</v>
      </c>
      <c r="U19" s="14"/>
      <c r="V19" s="14"/>
      <c r="W19" s="14"/>
      <c r="X19" s="14"/>
      <c r="Y19" s="14"/>
      <c r="Z19" s="14"/>
      <c r="AA19" s="66">
        <f t="shared" si="3"/>
        <v>0</v>
      </c>
      <c r="AB19" s="14"/>
      <c r="AC19" s="14"/>
      <c r="AD19" s="14"/>
      <c r="AE19" s="14"/>
      <c r="AF19" s="14"/>
      <c r="AG19" s="14"/>
      <c r="AH19" s="66">
        <f t="shared" si="4"/>
        <v>0</v>
      </c>
      <c r="AI19" s="14"/>
      <c r="AJ19" s="14"/>
      <c r="AK19" s="14"/>
      <c r="AL19" s="14"/>
      <c r="AM19" s="14"/>
      <c r="AN19" s="14"/>
      <c r="AO19" s="66">
        <f t="shared" si="5"/>
        <v>0</v>
      </c>
      <c r="AP19" s="14"/>
      <c r="AQ19" s="14"/>
      <c r="AR19" s="14"/>
      <c r="AS19" s="14"/>
      <c r="AT19" s="14"/>
      <c r="AU19" s="14"/>
      <c r="AV19" s="66">
        <f t="shared" si="6"/>
        <v>0</v>
      </c>
      <c r="AW19" s="14"/>
      <c r="AX19" s="14"/>
      <c r="AY19" s="14"/>
      <c r="AZ19" s="14"/>
      <c r="BA19" s="14"/>
      <c r="BB19" s="14"/>
      <c r="BC19" s="66">
        <f t="shared" si="7"/>
        <v>0</v>
      </c>
      <c r="BD19" s="14"/>
      <c r="BE19" s="14"/>
      <c r="BF19" s="14"/>
      <c r="BG19" s="14"/>
      <c r="BH19" s="14"/>
      <c r="BI19" s="14"/>
      <c r="BJ19" s="66">
        <f t="shared" si="8"/>
        <v>0</v>
      </c>
      <c r="BK19" s="14"/>
      <c r="BL19" s="14"/>
      <c r="BM19" s="14"/>
      <c r="BN19" s="14"/>
      <c r="BO19" s="14"/>
      <c r="BP19" s="14"/>
      <c r="BQ19" s="66">
        <f t="shared" si="9"/>
        <v>0</v>
      </c>
      <c r="BR19" s="14"/>
      <c r="BS19" s="14"/>
      <c r="BT19" s="14"/>
      <c r="BU19" s="14"/>
      <c r="BV19" s="14"/>
    </row>
    <row r="20" spans="2:74" x14ac:dyDescent="0.25">
      <c r="B20" s="197"/>
      <c r="C20" s="192" t="s">
        <v>114</v>
      </c>
      <c r="D20" s="11">
        <v>1</v>
      </c>
      <c r="E20" s="12"/>
      <c r="F20" s="67">
        <f t="shared" si="0"/>
        <v>0</v>
      </c>
      <c r="G20" s="12"/>
      <c r="H20" s="12"/>
      <c r="I20" s="12"/>
      <c r="J20" s="12"/>
      <c r="K20" s="12"/>
      <c r="L20" s="12"/>
      <c r="M20" s="67">
        <f t="shared" si="1"/>
        <v>0</v>
      </c>
      <c r="N20" s="12"/>
      <c r="O20" s="12"/>
      <c r="P20" s="12"/>
      <c r="Q20" s="12"/>
      <c r="R20" s="12"/>
      <c r="S20" s="12"/>
      <c r="T20" s="67">
        <f t="shared" si="2"/>
        <v>0</v>
      </c>
      <c r="U20" s="12"/>
      <c r="V20" s="12"/>
      <c r="W20" s="12"/>
      <c r="X20" s="12"/>
      <c r="Y20" s="12"/>
      <c r="Z20" s="12"/>
      <c r="AA20" s="67">
        <f t="shared" si="3"/>
        <v>0</v>
      </c>
      <c r="AB20" s="12"/>
      <c r="AC20" s="12"/>
      <c r="AD20" s="12"/>
      <c r="AE20" s="12"/>
      <c r="AF20" s="12"/>
      <c r="AG20" s="12"/>
      <c r="AH20" s="67">
        <f t="shared" si="4"/>
        <v>0</v>
      </c>
      <c r="AI20" s="12"/>
      <c r="AJ20" s="12"/>
      <c r="AK20" s="12"/>
      <c r="AL20" s="12"/>
      <c r="AM20" s="12"/>
      <c r="AN20" s="12"/>
      <c r="AO20" s="67">
        <f t="shared" si="5"/>
        <v>0</v>
      </c>
      <c r="AP20" s="12"/>
      <c r="AQ20" s="12"/>
      <c r="AR20" s="12"/>
      <c r="AS20" s="12"/>
      <c r="AT20" s="12"/>
      <c r="AU20" s="12"/>
      <c r="AV20" s="67">
        <f t="shared" si="6"/>
        <v>0</v>
      </c>
      <c r="AW20" s="12"/>
      <c r="AX20" s="12"/>
      <c r="AY20" s="12"/>
      <c r="AZ20" s="12"/>
      <c r="BA20" s="12"/>
      <c r="BB20" s="12"/>
      <c r="BC20" s="67">
        <f t="shared" si="7"/>
        <v>0</v>
      </c>
      <c r="BD20" s="12"/>
      <c r="BE20" s="12"/>
      <c r="BF20" s="12"/>
      <c r="BG20" s="12"/>
      <c r="BH20" s="12"/>
      <c r="BI20" s="12"/>
      <c r="BJ20" s="67">
        <f t="shared" si="8"/>
        <v>0</v>
      </c>
      <c r="BK20" s="12"/>
      <c r="BL20" s="12"/>
      <c r="BM20" s="12"/>
      <c r="BN20" s="12"/>
      <c r="BO20" s="12"/>
      <c r="BP20" s="12"/>
      <c r="BQ20" s="67">
        <f t="shared" si="9"/>
        <v>0</v>
      </c>
      <c r="BR20" s="12"/>
      <c r="BS20" s="12"/>
      <c r="BT20" s="12"/>
      <c r="BU20" s="12"/>
      <c r="BV20" s="12"/>
    </row>
    <row r="21" spans="2:74" x14ac:dyDescent="0.25">
      <c r="B21" s="197"/>
      <c r="C21" s="192"/>
      <c r="D21" s="11">
        <v>2</v>
      </c>
      <c r="E21" s="12"/>
      <c r="F21" s="67">
        <f t="shared" si="0"/>
        <v>0</v>
      </c>
      <c r="G21" s="12"/>
      <c r="H21" s="12"/>
      <c r="I21" s="12"/>
      <c r="J21" s="12"/>
      <c r="K21" s="12"/>
      <c r="L21" s="12"/>
      <c r="M21" s="67">
        <f t="shared" si="1"/>
        <v>0</v>
      </c>
      <c r="N21" s="12"/>
      <c r="O21" s="12"/>
      <c r="P21" s="12"/>
      <c r="Q21" s="12"/>
      <c r="R21" s="12"/>
      <c r="S21" s="12"/>
      <c r="T21" s="67">
        <f t="shared" si="2"/>
        <v>0</v>
      </c>
      <c r="U21" s="12"/>
      <c r="V21" s="12"/>
      <c r="W21" s="12"/>
      <c r="X21" s="12"/>
      <c r="Y21" s="12"/>
      <c r="Z21" s="12"/>
      <c r="AA21" s="67">
        <f t="shared" si="3"/>
        <v>0</v>
      </c>
      <c r="AB21" s="12"/>
      <c r="AC21" s="12"/>
      <c r="AD21" s="12"/>
      <c r="AE21" s="12"/>
      <c r="AF21" s="12"/>
      <c r="AG21" s="12"/>
      <c r="AH21" s="67">
        <f t="shared" si="4"/>
        <v>0</v>
      </c>
      <c r="AI21" s="12"/>
      <c r="AJ21" s="12"/>
      <c r="AK21" s="12"/>
      <c r="AL21" s="12"/>
      <c r="AM21" s="12"/>
      <c r="AN21" s="12"/>
      <c r="AO21" s="67">
        <f t="shared" si="5"/>
        <v>0</v>
      </c>
      <c r="AP21" s="12"/>
      <c r="AQ21" s="12"/>
      <c r="AR21" s="12"/>
      <c r="AS21" s="12"/>
      <c r="AT21" s="12"/>
      <c r="AU21" s="12"/>
      <c r="AV21" s="67">
        <f t="shared" si="6"/>
        <v>0</v>
      </c>
      <c r="AW21" s="12"/>
      <c r="AX21" s="12"/>
      <c r="AY21" s="12"/>
      <c r="AZ21" s="12"/>
      <c r="BA21" s="12"/>
      <c r="BB21" s="12"/>
      <c r="BC21" s="67">
        <f t="shared" si="7"/>
        <v>0</v>
      </c>
      <c r="BD21" s="12"/>
      <c r="BE21" s="12"/>
      <c r="BF21" s="12"/>
      <c r="BG21" s="12"/>
      <c r="BH21" s="12"/>
      <c r="BI21" s="12"/>
      <c r="BJ21" s="67">
        <f t="shared" si="8"/>
        <v>0</v>
      </c>
      <c r="BK21" s="12"/>
      <c r="BL21" s="12"/>
      <c r="BM21" s="12"/>
      <c r="BN21" s="12"/>
      <c r="BO21" s="12"/>
      <c r="BP21" s="12"/>
      <c r="BQ21" s="67">
        <f t="shared" si="9"/>
        <v>0</v>
      </c>
      <c r="BR21" s="12"/>
      <c r="BS21" s="12"/>
      <c r="BT21" s="12"/>
      <c r="BU21" s="12"/>
      <c r="BV21" s="12"/>
    </row>
    <row r="22" spans="2:74" x14ac:dyDescent="0.25">
      <c r="B22" s="197"/>
      <c r="C22" s="192"/>
      <c r="D22" s="11">
        <v>3</v>
      </c>
      <c r="E22" s="12"/>
      <c r="F22" s="67">
        <f t="shared" si="0"/>
        <v>0</v>
      </c>
      <c r="G22" s="12"/>
      <c r="H22" s="12"/>
      <c r="I22" s="12"/>
      <c r="J22" s="12"/>
      <c r="K22" s="12"/>
      <c r="L22" s="12"/>
      <c r="M22" s="67">
        <f t="shared" si="1"/>
        <v>0</v>
      </c>
      <c r="N22" s="12"/>
      <c r="O22" s="12"/>
      <c r="P22" s="12"/>
      <c r="Q22" s="12"/>
      <c r="R22" s="12"/>
      <c r="S22" s="12"/>
      <c r="T22" s="67">
        <f t="shared" si="2"/>
        <v>0</v>
      </c>
      <c r="U22" s="12"/>
      <c r="V22" s="12"/>
      <c r="W22" s="12"/>
      <c r="X22" s="12"/>
      <c r="Y22" s="12"/>
      <c r="Z22" s="12"/>
      <c r="AA22" s="67">
        <f t="shared" si="3"/>
        <v>0</v>
      </c>
      <c r="AB22" s="12"/>
      <c r="AC22" s="12"/>
      <c r="AD22" s="12"/>
      <c r="AE22" s="12"/>
      <c r="AF22" s="12"/>
      <c r="AG22" s="12"/>
      <c r="AH22" s="67">
        <f t="shared" si="4"/>
        <v>0</v>
      </c>
      <c r="AI22" s="12"/>
      <c r="AJ22" s="12"/>
      <c r="AK22" s="12"/>
      <c r="AL22" s="12"/>
      <c r="AM22" s="12"/>
      <c r="AN22" s="12"/>
      <c r="AO22" s="67">
        <f t="shared" si="5"/>
        <v>0</v>
      </c>
      <c r="AP22" s="12"/>
      <c r="AQ22" s="12"/>
      <c r="AR22" s="12"/>
      <c r="AS22" s="12"/>
      <c r="AT22" s="12"/>
      <c r="AU22" s="12"/>
      <c r="AV22" s="67">
        <f t="shared" si="6"/>
        <v>0</v>
      </c>
      <c r="AW22" s="12"/>
      <c r="AX22" s="12"/>
      <c r="AY22" s="12"/>
      <c r="AZ22" s="12"/>
      <c r="BA22" s="12"/>
      <c r="BB22" s="12"/>
      <c r="BC22" s="67">
        <f t="shared" si="7"/>
        <v>0</v>
      </c>
      <c r="BD22" s="12"/>
      <c r="BE22" s="12"/>
      <c r="BF22" s="12"/>
      <c r="BG22" s="12"/>
      <c r="BH22" s="12"/>
      <c r="BI22" s="12"/>
      <c r="BJ22" s="67">
        <f t="shared" si="8"/>
        <v>0</v>
      </c>
      <c r="BK22" s="12"/>
      <c r="BL22" s="12"/>
      <c r="BM22" s="12"/>
      <c r="BN22" s="12"/>
      <c r="BO22" s="12"/>
      <c r="BP22" s="12"/>
      <c r="BQ22" s="67">
        <f t="shared" si="9"/>
        <v>0</v>
      </c>
      <c r="BR22" s="12"/>
      <c r="BS22" s="12"/>
      <c r="BT22" s="12"/>
      <c r="BU22" s="12"/>
      <c r="BV22" s="12"/>
    </row>
    <row r="23" spans="2:74" x14ac:dyDescent="0.25">
      <c r="B23" s="197"/>
      <c r="C23" s="185" t="s">
        <v>126</v>
      </c>
      <c r="D23" s="21">
        <v>1</v>
      </c>
      <c r="E23" s="22"/>
      <c r="F23" s="68">
        <f t="shared" si="0"/>
        <v>0</v>
      </c>
      <c r="G23" s="22"/>
      <c r="H23" s="22"/>
      <c r="I23" s="22"/>
      <c r="J23" s="22"/>
      <c r="K23" s="22"/>
      <c r="L23" s="22"/>
      <c r="M23" s="68">
        <f t="shared" si="1"/>
        <v>0</v>
      </c>
      <c r="N23" s="22"/>
      <c r="O23" s="22"/>
      <c r="P23" s="22"/>
      <c r="Q23" s="22"/>
      <c r="R23" s="22"/>
      <c r="S23" s="22"/>
      <c r="T23" s="68">
        <f t="shared" si="2"/>
        <v>0</v>
      </c>
      <c r="U23" s="22"/>
      <c r="V23" s="22"/>
      <c r="W23" s="22"/>
      <c r="X23" s="22"/>
      <c r="Y23" s="22"/>
      <c r="Z23" s="22"/>
      <c r="AA23" s="68">
        <f t="shared" si="3"/>
        <v>0</v>
      </c>
      <c r="AB23" s="22"/>
      <c r="AC23" s="22"/>
      <c r="AD23" s="22"/>
      <c r="AE23" s="22"/>
      <c r="AF23" s="22"/>
      <c r="AG23" s="22"/>
      <c r="AH23" s="68">
        <f t="shared" si="4"/>
        <v>0</v>
      </c>
      <c r="AI23" s="22"/>
      <c r="AJ23" s="22"/>
      <c r="AK23" s="22"/>
      <c r="AL23" s="22"/>
      <c r="AM23" s="22"/>
      <c r="AN23" s="22"/>
      <c r="AO23" s="68">
        <f t="shared" si="5"/>
        <v>0</v>
      </c>
      <c r="AP23" s="22"/>
      <c r="AQ23" s="22"/>
      <c r="AR23" s="22"/>
      <c r="AS23" s="22"/>
      <c r="AT23" s="22"/>
      <c r="AU23" s="22"/>
      <c r="AV23" s="68">
        <f t="shared" si="6"/>
        <v>0</v>
      </c>
      <c r="AW23" s="22"/>
      <c r="AX23" s="22"/>
      <c r="AY23" s="22"/>
      <c r="AZ23" s="22"/>
      <c r="BA23" s="22"/>
      <c r="BB23" s="22"/>
      <c r="BC23" s="68">
        <f t="shared" si="7"/>
        <v>0</v>
      </c>
      <c r="BD23" s="22"/>
      <c r="BE23" s="22"/>
      <c r="BF23" s="22"/>
      <c r="BG23" s="22"/>
      <c r="BH23" s="22"/>
      <c r="BI23" s="22"/>
      <c r="BJ23" s="68">
        <f t="shared" si="8"/>
        <v>0</v>
      </c>
      <c r="BK23" s="22"/>
      <c r="BL23" s="22"/>
      <c r="BM23" s="22"/>
      <c r="BN23" s="22"/>
      <c r="BO23" s="22"/>
      <c r="BP23" s="22"/>
      <c r="BQ23" s="68">
        <f t="shared" si="9"/>
        <v>0</v>
      </c>
      <c r="BR23" s="22"/>
      <c r="BS23" s="22"/>
      <c r="BT23" s="22"/>
      <c r="BU23" s="22"/>
      <c r="BV23" s="22"/>
    </row>
    <row r="24" spans="2:74" x14ac:dyDescent="0.25">
      <c r="B24" s="197"/>
      <c r="C24" s="185"/>
      <c r="D24" s="21">
        <v>2</v>
      </c>
      <c r="E24" s="22"/>
      <c r="F24" s="68">
        <f t="shared" si="0"/>
        <v>0</v>
      </c>
      <c r="G24" s="22"/>
      <c r="H24" s="22"/>
      <c r="I24" s="22"/>
      <c r="J24" s="22"/>
      <c r="K24" s="22"/>
      <c r="L24" s="22"/>
      <c r="M24" s="68">
        <f t="shared" si="1"/>
        <v>0</v>
      </c>
      <c r="N24" s="22"/>
      <c r="O24" s="22"/>
      <c r="P24" s="22"/>
      <c r="Q24" s="22"/>
      <c r="R24" s="22"/>
      <c r="S24" s="22"/>
      <c r="T24" s="68">
        <f t="shared" si="2"/>
        <v>0</v>
      </c>
      <c r="U24" s="22"/>
      <c r="V24" s="22"/>
      <c r="W24" s="22"/>
      <c r="X24" s="22"/>
      <c r="Y24" s="22"/>
      <c r="Z24" s="22"/>
      <c r="AA24" s="68">
        <f t="shared" si="3"/>
        <v>0</v>
      </c>
      <c r="AB24" s="22"/>
      <c r="AC24" s="22"/>
      <c r="AD24" s="22"/>
      <c r="AE24" s="22"/>
      <c r="AF24" s="22"/>
      <c r="AG24" s="22"/>
      <c r="AH24" s="68">
        <f t="shared" si="4"/>
        <v>0</v>
      </c>
      <c r="AI24" s="22"/>
      <c r="AJ24" s="22"/>
      <c r="AK24" s="22"/>
      <c r="AL24" s="22"/>
      <c r="AM24" s="22"/>
      <c r="AN24" s="22"/>
      <c r="AO24" s="68">
        <f t="shared" si="5"/>
        <v>0</v>
      </c>
      <c r="AP24" s="22"/>
      <c r="AQ24" s="22"/>
      <c r="AR24" s="22"/>
      <c r="AS24" s="22"/>
      <c r="AT24" s="22"/>
      <c r="AU24" s="22"/>
      <c r="AV24" s="68">
        <f t="shared" si="6"/>
        <v>0</v>
      </c>
      <c r="AW24" s="22"/>
      <c r="AX24" s="22"/>
      <c r="AY24" s="22"/>
      <c r="AZ24" s="22"/>
      <c r="BA24" s="22"/>
      <c r="BB24" s="22"/>
      <c r="BC24" s="68">
        <f t="shared" si="7"/>
        <v>0</v>
      </c>
      <c r="BD24" s="22"/>
      <c r="BE24" s="22"/>
      <c r="BF24" s="22"/>
      <c r="BG24" s="22"/>
      <c r="BH24" s="22"/>
      <c r="BI24" s="22"/>
      <c r="BJ24" s="68">
        <f t="shared" si="8"/>
        <v>0</v>
      </c>
      <c r="BK24" s="22"/>
      <c r="BL24" s="22"/>
      <c r="BM24" s="22"/>
      <c r="BN24" s="22"/>
      <c r="BO24" s="22"/>
      <c r="BP24" s="22"/>
      <c r="BQ24" s="68">
        <f t="shared" si="9"/>
        <v>0</v>
      </c>
      <c r="BR24" s="22"/>
      <c r="BS24" s="22"/>
      <c r="BT24" s="22"/>
      <c r="BU24" s="22"/>
      <c r="BV24" s="22"/>
    </row>
    <row r="25" spans="2:74" x14ac:dyDescent="0.25">
      <c r="B25" s="197"/>
      <c r="C25" s="185"/>
      <c r="D25" s="21">
        <v>3</v>
      </c>
      <c r="E25" s="22"/>
      <c r="F25" s="68">
        <f t="shared" si="0"/>
        <v>0</v>
      </c>
      <c r="G25" s="22"/>
      <c r="H25" s="22"/>
      <c r="I25" s="22"/>
      <c r="J25" s="22"/>
      <c r="K25" s="22"/>
      <c r="L25" s="22"/>
      <c r="M25" s="68">
        <f t="shared" si="1"/>
        <v>0</v>
      </c>
      <c r="N25" s="22"/>
      <c r="O25" s="22"/>
      <c r="P25" s="22"/>
      <c r="Q25" s="22"/>
      <c r="R25" s="22"/>
      <c r="S25" s="22"/>
      <c r="T25" s="68">
        <f t="shared" si="2"/>
        <v>0</v>
      </c>
      <c r="U25" s="22"/>
      <c r="V25" s="22"/>
      <c r="W25" s="22"/>
      <c r="X25" s="22"/>
      <c r="Y25" s="22"/>
      <c r="Z25" s="22"/>
      <c r="AA25" s="68">
        <f t="shared" si="3"/>
        <v>0</v>
      </c>
      <c r="AB25" s="22"/>
      <c r="AC25" s="22"/>
      <c r="AD25" s="22"/>
      <c r="AE25" s="22"/>
      <c r="AF25" s="22"/>
      <c r="AG25" s="22"/>
      <c r="AH25" s="68">
        <f t="shared" si="4"/>
        <v>0</v>
      </c>
      <c r="AI25" s="22"/>
      <c r="AJ25" s="22"/>
      <c r="AK25" s="22"/>
      <c r="AL25" s="22"/>
      <c r="AM25" s="22"/>
      <c r="AN25" s="22"/>
      <c r="AO25" s="68">
        <f t="shared" si="5"/>
        <v>0</v>
      </c>
      <c r="AP25" s="22"/>
      <c r="AQ25" s="22"/>
      <c r="AR25" s="22"/>
      <c r="AS25" s="22"/>
      <c r="AT25" s="22"/>
      <c r="AU25" s="22"/>
      <c r="AV25" s="68">
        <f t="shared" si="6"/>
        <v>0</v>
      </c>
      <c r="AW25" s="22"/>
      <c r="AX25" s="22"/>
      <c r="AY25" s="22"/>
      <c r="AZ25" s="22"/>
      <c r="BA25" s="22"/>
      <c r="BB25" s="22"/>
      <c r="BC25" s="68">
        <f t="shared" si="7"/>
        <v>0</v>
      </c>
      <c r="BD25" s="22"/>
      <c r="BE25" s="22"/>
      <c r="BF25" s="22"/>
      <c r="BG25" s="22"/>
      <c r="BH25" s="22"/>
      <c r="BI25" s="22"/>
      <c r="BJ25" s="68">
        <f t="shared" si="8"/>
        <v>0</v>
      </c>
      <c r="BK25" s="22"/>
      <c r="BL25" s="22"/>
      <c r="BM25" s="22"/>
      <c r="BN25" s="22"/>
      <c r="BO25" s="22"/>
      <c r="BP25" s="22"/>
      <c r="BQ25" s="68">
        <f t="shared" si="9"/>
        <v>0</v>
      </c>
      <c r="BR25" s="22"/>
      <c r="BS25" s="22"/>
      <c r="BT25" s="22"/>
      <c r="BU25" s="22"/>
      <c r="BV25" s="22"/>
    </row>
    <row r="26" spans="2:74" x14ac:dyDescent="0.25">
      <c r="B26" s="197"/>
      <c r="C26" s="185"/>
      <c r="D26" s="21">
        <v>4</v>
      </c>
      <c r="E26" s="22"/>
      <c r="F26" s="68">
        <f t="shared" si="0"/>
        <v>0</v>
      </c>
      <c r="G26" s="22"/>
      <c r="H26" s="22"/>
      <c r="I26" s="22"/>
      <c r="J26" s="22"/>
      <c r="K26" s="22"/>
      <c r="L26" s="22"/>
      <c r="M26" s="68">
        <f t="shared" si="1"/>
        <v>0</v>
      </c>
      <c r="N26" s="22"/>
      <c r="O26" s="22"/>
      <c r="P26" s="22"/>
      <c r="Q26" s="22"/>
      <c r="R26" s="22"/>
      <c r="S26" s="22"/>
      <c r="T26" s="68">
        <f t="shared" si="2"/>
        <v>0</v>
      </c>
      <c r="U26" s="22"/>
      <c r="V26" s="22"/>
      <c r="W26" s="22"/>
      <c r="X26" s="22"/>
      <c r="Y26" s="22"/>
      <c r="Z26" s="22"/>
      <c r="AA26" s="68">
        <f t="shared" si="3"/>
        <v>0</v>
      </c>
      <c r="AB26" s="22"/>
      <c r="AC26" s="22"/>
      <c r="AD26" s="22"/>
      <c r="AE26" s="22"/>
      <c r="AF26" s="22"/>
      <c r="AG26" s="22"/>
      <c r="AH26" s="68">
        <f t="shared" si="4"/>
        <v>0</v>
      </c>
      <c r="AI26" s="22"/>
      <c r="AJ26" s="22"/>
      <c r="AK26" s="22"/>
      <c r="AL26" s="22"/>
      <c r="AM26" s="22"/>
      <c r="AN26" s="22"/>
      <c r="AO26" s="68">
        <f t="shared" si="5"/>
        <v>0</v>
      </c>
      <c r="AP26" s="22"/>
      <c r="AQ26" s="22"/>
      <c r="AR26" s="22"/>
      <c r="AS26" s="22"/>
      <c r="AT26" s="22"/>
      <c r="AU26" s="22"/>
      <c r="AV26" s="68">
        <f t="shared" si="6"/>
        <v>0</v>
      </c>
      <c r="AW26" s="22"/>
      <c r="AX26" s="22"/>
      <c r="AY26" s="22"/>
      <c r="AZ26" s="22"/>
      <c r="BA26" s="22"/>
      <c r="BB26" s="22"/>
      <c r="BC26" s="68">
        <f t="shared" si="7"/>
        <v>0</v>
      </c>
      <c r="BD26" s="22"/>
      <c r="BE26" s="22"/>
      <c r="BF26" s="22"/>
      <c r="BG26" s="22"/>
      <c r="BH26" s="22"/>
      <c r="BI26" s="22"/>
      <c r="BJ26" s="68">
        <f t="shared" si="8"/>
        <v>0</v>
      </c>
      <c r="BK26" s="22"/>
      <c r="BL26" s="22"/>
      <c r="BM26" s="22"/>
      <c r="BN26" s="22"/>
      <c r="BO26" s="22"/>
      <c r="BP26" s="22"/>
      <c r="BQ26" s="68">
        <f t="shared" si="9"/>
        <v>0</v>
      </c>
      <c r="BR26" s="22"/>
      <c r="BS26" s="22"/>
      <c r="BT26" s="22"/>
      <c r="BU26" s="22"/>
      <c r="BV26" s="22"/>
    </row>
    <row r="27" spans="2:74" s="19" customFormat="1" ht="8.1" customHeight="1" x14ac:dyDescent="0.25">
      <c r="B27" s="15"/>
      <c r="C27" s="16"/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</row>
    <row r="28" spans="2:74" ht="14.1" customHeight="1" x14ac:dyDescent="0.25">
      <c r="B28" s="193" t="s">
        <v>143</v>
      </c>
      <c r="C28" s="192" t="s">
        <v>72</v>
      </c>
      <c r="D28" s="11" t="s">
        <v>128</v>
      </c>
      <c r="E28" s="12"/>
      <c r="F28" s="67">
        <f t="shared" si="0"/>
        <v>0</v>
      </c>
      <c r="G28" s="12"/>
      <c r="H28" s="12"/>
      <c r="I28" s="12"/>
      <c r="J28" s="12"/>
      <c r="K28" s="12"/>
      <c r="L28" s="12"/>
      <c r="M28" s="67">
        <f t="shared" si="1"/>
        <v>0</v>
      </c>
      <c r="N28" s="12"/>
      <c r="O28" s="12"/>
      <c r="P28" s="12"/>
      <c r="Q28" s="12"/>
      <c r="R28" s="12"/>
      <c r="S28" s="12"/>
      <c r="T28" s="67">
        <f t="shared" si="2"/>
        <v>0</v>
      </c>
      <c r="U28" s="12"/>
      <c r="V28" s="12"/>
      <c r="W28" s="12"/>
      <c r="X28" s="12"/>
      <c r="Y28" s="12"/>
      <c r="Z28" s="12"/>
      <c r="AA28" s="67">
        <f t="shared" si="3"/>
        <v>0</v>
      </c>
      <c r="AB28" s="12"/>
      <c r="AC28" s="12"/>
      <c r="AD28" s="12"/>
      <c r="AE28" s="12"/>
      <c r="AF28" s="12"/>
      <c r="AG28" s="12"/>
      <c r="AH28" s="67">
        <f t="shared" si="4"/>
        <v>0</v>
      </c>
      <c r="AI28" s="12"/>
      <c r="AJ28" s="12"/>
      <c r="AK28" s="12"/>
      <c r="AL28" s="12"/>
      <c r="AM28" s="12"/>
      <c r="AN28" s="12"/>
      <c r="AO28" s="67">
        <f t="shared" si="5"/>
        <v>0</v>
      </c>
      <c r="AP28" s="12"/>
      <c r="AQ28" s="12"/>
      <c r="AR28" s="12"/>
      <c r="AS28" s="12"/>
      <c r="AT28" s="12"/>
      <c r="AU28" s="12"/>
      <c r="AV28" s="67">
        <f t="shared" si="6"/>
        <v>0</v>
      </c>
      <c r="AW28" s="12"/>
      <c r="AX28" s="12"/>
      <c r="AY28" s="12"/>
      <c r="AZ28" s="12"/>
      <c r="BA28" s="12"/>
      <c r="BB28" s="12"/>
      <c r="BC28" s="67">
        <f t="shared" si="7"/>
        <v>0</v>
      </c>
      <c r="BD28" s="12"/>
      <c r="BE28" s="12"/>
      <c r="BF28" s="12"/>
      <c r="BG28" s="12"/>
      <c r="BH28" s="12"/>
      <c r="BI28" s="12"/>
      <c r="BJ28" s="67">
        <f t="shared" si="8"/>
        <v>0</v>
      </c>
      <c r="BK28" s="12"/>
      <c r="BL28" s="12"/>
      <c r="BM28" s="12"/>
      <c r="BN28" s="12"/>
      <c r="BO28" s="12"/>
      <c r="BP28" s="12"/>
      <c r="BQ28" s="67">
        <f t="shared" si="9"/>
        <v>0</v>
      </c>
      <c r="BR28" s="12"/>
      <c r="BS28" s="12"/>
      <c r="BT28" s="12"/>
      <c r="BU28" s="12"/>
      <c r="BV28" s="12"/>
    </row>
    <row r="29" spans="2:74" ht="14.1" customHeight="1" x14ac:dyDescent="0.25">
      <c r="B29" s="193"/>
      <c r="C29" s="192"/>
      <c r="D29" s="11" t="s">
        <v>129</v>
      </c>
      <c r="E29" s="12"/>
      <c r="F29" s="67">
        <f t="shared" si="0"/>
        <v>0</v>
      </c>
      <c r="G29" s="12"/>
      <c r="H29" s="12"/>
      <c r="I29" s="12"/>
      <c r="J29" s="12"/>
      <c r="K29" s="12"/>
      <c r="L29" s="12"/>
      <c r="M29" s="67">
        <f t="shared" si="1"/>
        <v>0</v>
      </c>
      <c r="N29" s="12"/>
      <c r="O29" s="12"/>
      <c r="P29" s="12"/>
      <c r="Q29" s="12"/>
      <c r="R29" s="12"/>
      <c r="S29" s="12"/>
      <c r="T29" s="67">
        <f t="shared" si="2"/>
        <v>0</v>
      </c>
      <c r="U29" s="12"/>
      <c r="V29" s="12"/>
      <c r="W29" s="12"/>
      <c r="X29" s="12"/>
      <c r="Y29" s="12"/>
      <c r="Z29" s="12"/>
      <c r="AA29" s="67">
        <f t="shared" si="3"/>
        <v>0</v>
      </c>
      <c r="AB29" s="12"/>
      <c r="AC29" s="12"/>
      <c r="AD29" s="12"/>
      <c r="AE29" s="12"/>
      <c r="AF29" s="12"/>
      <c r="AG29" s="12"/>
      <c r="AH29" s="67">
        <f t="shared" si="4"/>
        <v>0</v>
      </c>
      <c r="AI29" s="12"/>
      <c r="AJ29" s="12"/>
      <c r="AK29" s="12"/>
      <c r="AL29" s="12"/>
      <c r="AM29" s="12"/>
      <c r="AN29" s="12"/>
      <c r="AO29" s="67">
        <f t="shared" si="5"/>
        <v>0</v>
      </c>
      <c r="AP29" s="12"/>
      <c r="AQ29" s="12"/>
      <c r="AR29" s="12"/>
      <c r="AS29" s="12"/>
      <c r="AT29" s="12"/>
      <c r="AU29" s="12"/>
      <c r="AV29" s="67">
        <f t="shared" si="6"/>
        <v>0</v>
      </c>
      <c r="AW29" s="12"/>
      <c r="AX29" s="12"/>
      <c r="AY29" s="12"/>
      <c r="AZ29" s="12"/>
      <c r="BA29" s="12"/>
      <c r="BB29" s="12"/>
      <c r="BC29" s="67">
        <f t="shared" si="7"/>
        <v>0</v>
      </c>
      <c r="BD29" s="12"/>
      <c r="BE29" s="12"/>
      <c r="BF29" s="12"/>
      <c r="BG29" s="12"/>
      <c r="BH29" s="12"/>
      <c r="BI29" s="12"/>
      <c r="BJ29" s="67">
        <f t="shared" si="8"/>
        <v>0</v>
      </c>
      <c r="BK29" s="12"/>
      <c r="BL29" s="12"/>
      <c r="BM29" s="12"/>
      <c r="BN29" s="12"/>
      <c r="BO29" s="12"/>
      <c r="BP29" s="12"/>
      <c r="BQ29" s="67">
        <f t="shared" si="9"/>
        <v>0</v>
      </c>
      <c r="BR29" s="12"/>
      <c r="BS29" s="12"/>
      <c r="BT29" s="12"/>
      <c r="BU29" s="12"/>
      <c r="BV29" s="12"/>
    </row>
    <row r="30" spans="2:74" x14ac:dyDescent="0.25">
      <c r="B30" s="193"/>
      <c r="C30" s="192"/>
      <c r="D30" s="11" t="s">
        <v>130</v>
      </c>
      <c r="E30" s="12"/>
      <c r="F30" s="67">
        <f t="shared" si="0"/>
        <v>0</v>
      </c>
      <c r="G30" s="12"/>
      <c r="H30" s="12"/>
      <c r="I30" s="12"/>
      <c r="J30" s="12"/>
      <c r="K30" s="12"/>
      <c r="L30" s="12"/>
      <c r="M30" s="67">
        <f t="shared" si="1"/>
        <v>0</v>
      </c>
      <c r="N30" s="12"/>
      <c r="O30" s="12"/>
      <c r="P30" s="12"/>
      <c r="Q30" s="12"/>
      <c r="R30" s="12"/>
      <c r="S30" s="12"/>
      <c r="T30" s="67">
        <f t="shared" si="2"/>
        <v>0</v>
      </c>
      <c r="U30" s="12"/>
      <c r="V30" s="12"/>
      <c r="W30" s="12"/>
      <c r="X30" s="12"/>
      <c r="Y30" s="12"/>
      <c r="Z30" s="12"/>
      <c r="AA30" s="67">
        <f t="shared" si="3"/>
        <v>0</v>
      </c>
      <c r="AB30" s="12"/>
      <c r="AC30" s="12"/>
      <c r="AD30" s="12"/>
      <c r="AE30" s="12"/>
      <c r="AF30" s="12"/>
      <c r="AG30" s="12"/>
      <c r="AH30" s="67">
        <f t="shared" si="4"/>
        <v>0</v>
      </c>
      <c r="AI30" s="12"/>
      <c r="AJ30" s="12"/>
      <c r="AK30" s="12"/>
      <c r="AL30" s="12"/>
      <c r="AM30" s="12"/>
      <c r="AN30" s="12"/>
      <c r="AO30" s="67">
        <f t="shared" si="5"/>
        <v>0</v>
      </c>
      <c r="AP30" s="12"/>
      <c r="AQ30" s="12"/>
      <c r="AR30" s="12"/>
      <c r="AS30" s="12"/>
      <c r="AT30" s="12"/>
      <c r="AU30" s="12"/>
      <c r="AV30" s="67">
        <f t="shared" si="6"/>
        <v>0</v>
      </c>
      <c r="AW30" s="12"/>
      <c r="AX30" s="12"/>
      <c r="AY30" s="12"/>
      <c r="AZ30" s="12"/>
      <c r="BA30" s="12"/>
      <c r="BB30" s="12"/>
      <c r="BC30" s="67">
        <f t="shared" si="7"/>
        <v>0</v>
      </c>
      <c r="BD30" s="12"/>
      <c r="BE30" s="12"/>
      <c r="BF30" s="12"/>
      <c r="BG30" s="12"/>
      <c r="BH30" s="12"/>
      <c r="BI30" s="12"/>
      <c r="BJ30" s="67">
        <f t="shared" si="8"/>
        <v>0</v>
      </c>
      <c r="BK30" s="12"/>
      <c r="BL30" s="12"/>
      <c r="BM30" s="12"/>
      <c r="BN30" s="12"/>
      <c r="BO30" s="12"/>
      <c r="BP30" s="12"/>
      <c r="BQ30" s="67">
        <f t="shared" si="9"/>
        <v>0</v>
      </c>
      <c r="BR30" s="12"/>
      <c r="BS30" s="12"/>
      <c r="BT30" s="12"/>
      <c r="BU30" s="12"/>
      <c r="BV30" s="12"/>
    </row>
    <row r="31" spans="2:74" x14ac:dyDescent="0.25">
      <c r="B31" s="193"/>
      <c r="C31" s="192"/>
      <c r="D31" s="11" t="s">
        <v>117</v>
      </c>
      <c r="E31" s="12"/>
      <c r="F31" s="67">
        <f t="shared" si="0"/>
        <v>0</v>
      </c>
      <c r="G31" s="12"/>
      <c r="H31" s="12"/>
      <c r="I31" s="12"/>
      <c r="J31" s="12"/>
      <c r="K31" s="12"/>
      <c r="L31" s="12"/>
      <c r="M31" s="67">
        <f t="shared" si="1"/>
        <v>0</v>
      </c>
      <c r="N31" s="12"/>
      <c r="O31" s="12"/>
      <c r="P31" s="12"/>
      <c r="Q31" s="12"/>
      <c r="R31" s="12"/>
      <c r="S31" s="12"/>
      <c r="T31" s="67">
        <f t="shared" si="2"/>
        <v>0</v>
      </c>
      <c r="U31" s="12"/>
      <c r="V31" s="12"/>
      <c r="W31" s="12"/>
      <c r="X31" s="12"/>
      <c r="Y31" s="12"/>
      <c r="Z31" s="12"/>
      <c r="AA31" s="67">
        <f t="shared" si="3"/>
        <v>0</v>
      </c>
      <c r="AB31" s="12"/>
      <c r="AC31" s="12"/>
      <c r="AD31" s="12"/>
      <c r="AE31" s="12"/>
      <c r="AF31" s="12"/>
      <c r="AG31" s="12"/>
      <c r="AH31" s="67">
        <f t="shared" si="4"/>
        <v>0</v>
      </c>
      <c r="AI31" s="12"/>
      <c r="AJ31" s="12"/>
      <c r="AK31" s="12"/>
      <c r="AL31" s="12"/>
      <c r="AM31" s="12"/>
      <c r="AN31" s="12"/>
      <c r="AO31" s="67">
        <f t="shared" si="5"/>
        <v>0</v>
      </c>
      <c r="AP31" s="12"/>
      <c r="AQ31" s="12"/>
      <c r="AR31" s="12"/>
      <c r="AS31" s="12"/>
      <c r="AT31" s="12"/>
      <c r="AU31" s="12"/>
      <c r="AV31" s="67">
        <f t="shared" si="6"/>
        <v>0</v>
      </c>
      <c r="AW31" s="12"/>
      <c r="AX31" s="12"/>
      <c r="AY31" s="12"/>
      <c r="AZ31" s="12"/>
      <c r="BA31" s="12"/>
      <c r="BB31" s="12"/>
      <c r="BC31" s="67">
        <f t="shared" si="7"/>
        <v>0</v>
      </c>
      <c r="BD31" s="12"/>
      <c r="BE31" s="12"/>
      <c r="BF31" s="12"/>
      <c r="BG31" s="12"/>
      <c r="BH31" s="12"/>
      <c r="BI31" s="12"/>
      <c r="BJ31" s="67">
        <f t="shared" si="8"/>
        <v>0</v>
      </c>
      <c r="BK31" s="12"/>
      <c r="BL31" s="12"/>
      <c r="BM31" s="12"/>
      <c r="BN31" s="12"/>
      <c r="BO31" s="12"/>
      <c r="BP31" s="12"/>
      <c r="BQ31" s="67">
        <f t="shared" si="9"/>
        <v>0</v>
      </c>
      <c r="BR31" s="12"/>
      <c r="BS31" s="12"/>
      <c r="BT31" s="12"/>
      <c r="BU31" s="12"/>
      <c r="BV31" s="12"/>
    </row>
    <row r="32" spans="2:74" ht="14.1" customHeight="1" x14ac:dyDescent="0.25">
      <c r="B32" s="193"/>
      <c r="C32" s="195" t="s">
        <v>54</v>
      </c>
      <c r="D32" s="10" t="s">
        <v>131</v>
      </c>
      <c r="E32" s="9"/>
      <c r="F32" s="65">
        <f t="shared" si="0"/>
        <v>0</v>
      </c>
      <c r="G32" s="9"/>
      <c r="H32" s="9"/>
      <c r="I32" s="9"/>
      <c r="J32" s="9"/>
      <c r="K32" s="9"/>
      <c r="L32" s="9"/>
      <c r="M32" s="65">
        <f t="shared" si="1"/>
        <v>0</v>
      </c>
      <c r="N32" s="9"/>
      <c r="O32" s="9"/>
      <c r="P32" s="9"/>
      <c r="Q32" s="9"/>
      <c r="R32" s="9"/>
      <c r="S32" s="9"/>
      <c r="T32" s="65">
        <f t="shared" si="2"/>
        <v>0</v>
      </c>
      <c r="U32" s="9"/>
      <c r="V32" s="9"/>
      <c r="W32" s="9"/>
      <c r="X32" s="9"/>
      <c r="Y32" s="9"/>
      <c r="Z32" s="9"/>
      <c r="AA32" s="65">
        <f t="shared" si="3"/>
        <v>0</v>
      </c>
      <c r="AB32" s="9"/>
      <c r="AC32" s="9"/>
      <c r="AD32" s="9"/>
      <c r="AE32" s="9"/>
      <c r="AF32" s="9"/>
      <c r="AG32" s="9"/>
      <c r="AH32" s="65">
        <f t="shared" si="4"/>
        <v>0</v>
      </c>
      <c r="AI32" s="9"/>
      <c r="AJ32" s="9"/>
      <c r="AK32" s="9"/>
      <c r="AL32" s="9"/>
      <c r="AM32" s="9"/>
      <c r="AN32" s="9"/>
      <c r="AO32" s="65">
        <f t="shared" si="5"/>
        <v>0</v>
      </c>
      <c r="AP32" s="9"/>
      <c r="AQ32" s="9"/>
      <c r="AR32" s="9"/>
      <c r="AS32" s="9"/>
      <c r="AT32" s="9"/>
      <c r="AU32" s="9"/>
      <c r="AV32" s="65">
        <f t="shared" si="6"/>
        <v>0</v>
      </c>
      <c r="AW32" s="9"/>
      <c r="AX32" s="9"/>
      <c r="AY32" s="9"/>
      <c r="AZ32" s="9"/>
      <c r="BA32" s="9"/>
      <c r="BB32" s="9"/>
      <c r="BC32" s="65">
        <f t="shared" si="7"/>
        <v>0</v>
      </c>
      <c r="BD32" s="9"/>
      <c r="BE32" s="9"/>
      <c r="BF32" s="9"/>
      <c r="BG32" s="9"/>
      <c r="BH32" s="9"/>
      <c r="BI32" s="9"/>
      <c r="BJ32" s="65">
        <f t="shared" si="8"/>
        <v>0</v>
      </c>
      <c r="BK32" s="9"/>
      <c r="BL32" s="9"/>
      <c r="BM32" s="9"/>
      <c r="BN32" s="9"/>
      <c r="BO32" s="9"/>
      <c r="BP32" s="9"/>
      <c r="BQ32" s="65">
        <f t="shared" si="9"/>
        <v>0</v>
      </c>
      <c r="BR32" s="9"/>
      <c r="BS32" s="9"/>
      <c r="BT32" s="9"/>
      <c r="BU32" s="9"/>
      <c r="BV32" s="9"/>
    </row>
    <row r="33" spans="2:74" ht="14.1" customHeight="1" x14ac:dyDescent="0.25">
      <c r="B33" s="193"/>
      <c r="C33" s="195"/>
      <c r="D33" s="10" t="s">
        <v>132</v>
      </c>
      <c r="E33" s="9"/>
      <c r="F33" s="65">
        <f t="shared" si="0"/>
        <v>0</v>
      </c>
      <c r="G33" s="9"/>
      <c r="H33" s="9"/>
      <c r="I33" s="9"/>
      <c r="J33" s="9"/>
      <c r="K33" s="9"/>
      <c r="L33" s="9"/>
      <c r="M33" s="65">
        <f t="shared" si="1"/>
        <v>0</v>
      </c>
      <c r="N33" s="9"/>
      <c r="O33" s="9"/>
      <c r="P33" s="9"/>
      <c r="Q33" s="9"/>
      <c r="R33" s="9"/>
      <c r="S33" s="9"/>
      <c r="T33" s="65">
        <f t="shared" si="2"/>
        <v>0</v>
      </c>
      <c r="U33" s="9"/>
      <c r="V33" s="9"/>
      <c r="W33" s="9"/>
      <c r="X33" s="9"/>
      <c r="Y33" s="9"/>
      <c r="Z33" s="9"/>
      <c r="AA33" s="65">
        <f t="shared" si="3"/>
        <v>0</v>
      </c>
      <c r="AB33" s="9"/>
      <c r="AC33" s="9"/>
      <c r="AD33" s="9"/>
      <c r="AE33" s="9"/>
      <c r="AF33" s="9"/>
      <c r="AG33" s="9"/>
      <c r="AH33" s="65">
        <f t="shared" si="4"/>
        <v>0</v>
      </c>
      <c r="AI33" s="9"/>
      <c r="AJ33" s="9"/>
      <c r="AK33" s="9"/>
      <c r="AL33" s="9"/>
      <c r="AM33" s="9"/>
      <c r="AN33" s="9"/>
      <c r="AO33" s="65">
        <f t="shared" si="5"/>
        <v>0</v>
      </c>
      <c r="AP33" s="9"/>
      <c r="AQ33" s="9"/>
      <c r="AR33" s="9"/>
      <c r="AS33" s="9"/>
      <c r="AT33" s="9"/>
      <c r="AU33" s="9"/>
      <c r="AV33" s="65">
        <f t="shared" si="6"/>
        <v>0</v>
      </c>
      <c r="AW33" s="9"/>
      <c r="AX33" s="9"/>
      <c r="AY33" s="9"/>
      <c r="AZ33" s="9"/>
      <c r="BA33" s="9"/>
      <c r="BB33" s="9"/>
      <c r="BC33" s="65">
        <f t="shared" si="7"/>
        <v>0</v>
      </c>
      <c r="BD33" s="9"/>
      <c r="BE33" s="9"/>
      <c r="BF33" s="9"/>
      <c r="BG33" s="9"/>
      <c r="BH33" s="9"/>
      <c r="BI33" s="9"/>
      <c r="BJ33" s="65">
        <f t="shared" si="8"/>
        <v>0</v>
      </c>
      <c r="BK33" s="9"/>
      <c r="BL33" s="9"/>
      <c r="BM33" s="9"/>
      <c r="BN33" s="9"/>
      <c r="BO33" s="9"/>
      <c r="BP33" s="9"/>
      <c r="BQ33" s="65">
        <f t="shared" si="9"/>
        <v>0</v>
      </c>
      <c r="BR33" s="9"/>
      <c r="BS33" s="9"/>
      <c r="BT33" s="9"/>
      <c r="BU33" s="9"/>
      <c r="BV33" s="9"/>
    </row>
    <row r="34" spans="2:74" ht="14.1" customHeight="1" x14ac:dyDescent="0.25">
      <c r="B34" s="193"/>
      <c r="C34" s="195"/>
      <c r="D34" s="10" t="s">
        <v>133</v>
      </c>
      <c r="E34" s="9"/>
      <c r="F34" s="65">
        <f t="shared" si="0"/>
        <v>0</v>
      </c>
      <c r="G34" s="9"/>
      <c r="H34" s="9"/>
      <c r="I34" s="9"/>
      <c r="J34" s="9"/>
      <c r="K34" s="9"/>
      <c r="L34" s="9"/>
      <c r="M34" s="65">
        <f t="shared" si="1"/>
        <v>0</v>
      </c>
      <c r="N34" s="9"/>
      <c r="O34" s="9"/>
      <c r="P34" s="9"/>
      <c r="Q34" s="9"/>
      <c r="R34" s="9"/>
      <c r="S34" s="9"/>
      <c r="T34" s="65">
        <f t="shared" si="2"/>
        <v>0</v>
      </c>
      <c r="U34" s="9"/>
      <c r="V34" s="9"/>
      <c r="W34" s="9"/>
      <c r="X34" s="9"/>
      <c r="Y34" s="9"/>
      <c r="Z34" s="9"/>
      <c r="AA34" s="65">
        <f t="shared" si="3"/>
        <v>0</v>
      </c>
      <c r="AB34" s="9"/>
      <c r="AC34" s="9"/>
      <c r="AD34" s="9"/>
      <c r="AE34" s="9"/>
      <c r="AF34" s="9"/>
      <c r="AG34" s="9"/>
      <c r="AH34" s="65">
        <f t="shared" si="4"/>
        <v>0</v>
      </c>
      <c r="AI34" s="9"/>
      <c r="AJ34" s="9"/>
      <c r="AK34" s="9"/>
      <c r="AL34" s="9"/>
      <c r="AM34" s="9"/>
      <c r="AN34" s="9"/>
      <c r="AO34" s="65">
        <f t="shared" si="5"/>
        <v>0</v>
      </c>
      <c r="AP34" s="9"/>
      <c r="AQ34" s="9"/>
      <c r="AR34" s="9"/>
      <c r="AS34" s="9"/>
      <c r="AT34" s="9"/>
      <c r="AU34" s="9"/>
      <c r="AV34" s="65">
        <f t="shared" si="6"/>
        <v>0</v>
      </c>
      <c r="AW34" s="9"/>
      <c r="AX34" s="9"/>
      <c r="AY34" s="9"/>
      <c r="AZ34" s="9"/>
      <c r="BA34" s="9"/>
      <c r="BB34" s="9"/>
      <c r="BC34" s="65">
        <f t="shared" si="7"/>
        <v>0</v>
      </c>
      <c r="BD34" s="9"/>
      <c r="BE34" s="9"/>
      <c r="BF34" s="9"/>
      <c r="BG34" s="9"/>
      <c r="BH34" s="9"/>
      <c r="BI34" s="9"/>
      <c r="BJ34" s="65">
        <f t="shared" si="8"/>
        <v>0</v>
      </c>
      <c r="BK34" s="9"/>
      <c r="BL34" s="9"/>
      <c r="BM34" s="9"/>
      <c r="BN34" s="9"/>
      <c r="BO34" s="9"/>
      <c r="BP34" s="9"/>
      <c r="BQ34" s="65">
        <f t="shared" si="9"/>
        <v>0</v>
      </c>
      <c r="BR34" s="9"/>
      <c r="BS34" s="9"/>
      <c r="BT34" s="9"/>
      <c r="BU34" s="9"/>
      <c r="BV34" s="9"/>
    </row>
    <row r="35" spans="2:74" x14ac:dyDescent="0.25">
      <c r="B35" s="193"/>
      <c r="C35" s="195"/>
      <c r="D35" s="10" t="s">
        <v>134</v>
      </c>
      <c r="E35" s="9"/>
      <c r="F35" s="65">
        <f t="shared" si="0"/>
        <v>0</v>
      </c>
      <c r="G35" s="9"/>
      <c r="H35" s="9"/>
      <c r="I35" s="9"/>
      <c r="J35" s="9"/>
      <c r="K35" s="9"/>
      <c r="L35" s="9"/>
      <c r="M35" s="65">
        <f t="shared" si="1"/>
        <v>0</v>
      </c>
      <c r="N35" s="9"/>
      <c r="O35" s="9"/>
      <c r="P35" s="9"/>
      <c r="Q35" s="9"/>
      <c r="R35" s="9"/>
      <c r="S35" s="9"/>
      <c r="T35" s="65">
        <f t="shared" si="2"/>
        <v>0</v>
      </c>
      <c r="U35" s="9"/>
      <c r="V35" s="9"/>
      <c r="W35" s="9"/>
      <c r="X35" s="9"/>
      <c r="Y35" s="9"/>
      <c r="Z35" s="9"/>
      <c r="AA35" s="65">
        <f t="shared" si="3"/>
        <v>0</v>
      </c>
      <c r="AB35" s="9"/>
      <c r="AC35" s="9"/>
      <c r="AD35" s="9"/>
      <c r="AE35" s="9"/>
      <c r="AF35" s="9"/>
      <c r="AG35" s="9"/>
      <c r="AH35" s="65">
        <f t="shared" si="4"/>
        <v>0</v>
      </c>
      <c r="AI35" s="9"/>
      <c r="AJ35" s="9"/>
      <c r="AK35" s="9"/>
      <c r="AL35" s="9"/>
      <c r="AM35" s="9"/>
      <c r="AN35" s="9"/>
      <c r="AO35" s="65">
        <f t="shared" si="5"/>
        <v>0</v>
      </c>
      <c r="AP35" s="9"/>
      <c r="AQ35" s="9"/>
      <c r="AR35" s="9"/>
      <c r="AS35" s="9"/>
      <c r="AT35" s="9"/>
      <c r="AU35" s="9"/>
      <c r="AV35" s="65">
        <f t="shared" si="6"/>
        <v>0</v>
      </c>
      <c r="AW35" s="9"/>
      <c r="AX35" s="9"/>
      <c r="AY35" s="9"/>
      <c r="AZ35" s="9"/>
      <c r="BA35" s="9"/>
      <c r="BB35" s="9"/>
      <c r="BC35" s="65">
        <f t="shared" si="7"/>
        <v>0</v>
      </c>
      <c r="BD35" s="9"/>
      <c r="BE35" s="9"/>
      <c r="BF35" s="9"/>
      <c r="BG35" s="9"/>
      <c r="BH35" s="9"/>
      <c r="BI35" s="9"/>
      <c r="BJ35" s="65">
        <f t="shared" si="8"/>
        <v>0</v>
      </c>
      <c r="BK35" s="9"/>
      <c r="BL35" s="9"/>
      <c r="BM35" s="9"/>
      <c r="BN35" s="9"/>
      <c r="BO35" s="9"/>
      <c r="BP35" s="9"/>
      <c r="BQ35" s="65">
        <f t="shared" si="9"/>
        <v>0</v>
      </c>
      <c r="BR35" s="9"/>
      <c r="BS35" s="9"/>
      <c r="BT35" s="9"/>
      <c r="BU35" s="9"/>
      <c r="BV35" s="9"/>
    </row>
    <row r="36" spans="2:74" x14ac:dyDescent="0.25">
      <c r="B36" s="193"/>
      <c r="C36" s="195"/>
      <c r="D36" s="10" t="s">
        <v>135</v>
      </c>
      <c r="E36" s="9"/>
      <c r="F36" s="65">
        <f t="shared" si="0"/>
        <v>0</v>
      </c>
      <c r="G36" s="9"/>
      <c r="H36" s="9"/>
      <c r="I36" s="9"/>
      <c r="J36" s="9"/>
      <c r="K36" s="9"/>
      <c r="L36" s="9"/>
      <c r="M36" s="65">
        <f t="shared" si="1"/>
        <v>0</v>
      </c>
      <c r="N36" s="9"/>
      <c r="O36" s="9"/>
      <c r="P36" s="9"/>
      <c r="Q36" s="9"/>
      <c r="R36" s="9"/>
      <c r="S36" s="9"/>
      <c r="T36" s="65">
        <f t="shared" si="2"/>
        <v>0</v>
      </c>
      <c r="U36" s="9"/>
      <c r="V36" s="9"/>
      <c r="W36" s="9"/>
      <c r="X36" s="9"/>
      <c r="Y36" s="9"/>
      <c r="Z36" s="9"/>
      <c r="AA36" s="65">
        <f t="shared" si="3"/>
        <v>0</v>
      </c>
      <c r="AB36" s="9"/>
      <c r="AC36" s="9"/>
      <c r="AD36" s="9"/>
      <c r="AE36" s="9"/>
      <c r="AF36" s="9"/>
      <c r="AG36" s="9"/>
      <c r="AH36" s="65">
        <f t="shared" si="4"/>
        <v>0</v>
      </c>
      <c r="AI36" s="9"/>
      <c r="AJ36" s="9"/>
      <c r="AK36" s="9"/>
      <c r="AL36" s="9"/>
      <c r="AM36" s="9"/>
      <c r="AN36" s="9"/>
      <c r="AO36" s="65">
        <f t="shared" si="5"/>
        <v>0</v>
      </c>
      <c r="AP36" s="9"/>
      <c r="AQ36" s="9"/>
      <c r="AR36" s="9"/>
      <c r="AS36" s="9"/>
      <c r="AT36" s="9"/>
      <c r="AU36" s="9"/>
      <c r="AV36" s="65">
        <f t="shared" si="6"/>
        <v>0</v>
      </c>
      <c r="AW36" s="9"/>
      <c r="AX36" s="9"/>
      <c r="AY36" s="9"/>
      <c r="AZ36" s="9"/>
      <c r="BA36" s="9"/>
      <c r="BB36" s="9"/>
      <c r="BC36" s="65">
        <f t="shared" si="7"/>
        <v>0</v>
      </c>
      <c r="BD36" s="9"/>
      <c r="BE36" s="9"/>
      <c r="BF36" s="9"/>
      <c r="BG36" s="9"/>
      <c r="BH36" s="9"/>
      <c r="BI36" s="9"/>
      <c r="BJ36" s="65">
        <f t="shared" si="8"/>
        <v>0</v>
      </c>
      <c r="BK36" s="9"/>
      <c r="BL36" s="9"/>
      <c r="BM36" s="9"/>
      <c r="BN36" s="9"/>
      <c r="BO36" s="9"/>
      <c r="BP36" s="9"/>
      <c r="BQ36" s="65">
        <f t="shared" si="9"/>
        <v>0</v>
      </c>
      <c r="BR36" s="9"/>
      <c r="BS36" s="9"/>
      <c r="BT36" s="9"/>
      <c r="BU36" s="9"/>
      <c r="BV36" s="9"/>
    </row>
    <row r="37" spans="2:74" x14ac:dyDescent="0.25">
      <c r="B37" s="193"/>
      <c r="C37" s="195"/>
      <c r="D37" s="10" t="s">
        <v>117</v>
      </c>
      <c r="E37" s="9"/>
      <c r="F37" s="65">
        <f t="shared" si="0"/>
        <v>0</v>
      </c>
      <c r="G37" s="9"/>
      <c r="H37" s="9"/>
      <c r="I37" s="9"/>
      <c r="J37" s="9"/>
      <c r="K37" s="9"/>
      <c r="L37" s="9"/>
      <c r="M37" s="65">
        <f t="shared" si="1"/>
        <v>0</v>
      </c>
      <c r="N37" s="9"/>
      <c r="O37" s="9"/>
      <c r="P37" s="9"/>
      <c r="Q37" s="9"/>
      <c r="R37" s="9"/>
      <c r="S37" s="9"/>
      <c r="T37" s="65">
        <f t="shared" si="2"/>
        <v>0</v>
      </c>
      <c r="U37" s="9"/>
      <c r="V37" s="9"/>
      <c r="W37" s="9"/>
      <c r="X37" s="9"/>
      <c r="Y37" s="9"/>
      <c r="Z37" s="9"/>
      <c r="AA37" s="65">
        <f t="shared" si="3"/>
        <v>0</v>
      </c>
      <c r="AB37" s="9"/>
      <c r="AC37" s="9"/>
      <c r="AD37" s="9"/>
      <c r="AE37" s="9"/>
      <c r="AF37" s="9"/>
      <c r="AG37" s="9"/>
      <c r="AH37" s="65">
        <f t="shared" si="4"/>
        <v>0</v>
      </c>
      <c r="AI37" s="9"/>
      <c r="AJ37" s="9"/>
      <c r="AK37" s="9"/>
      <c r="AL37" s="9"/>
      <c r="AM37" s="9"/>
      <c r="AN37" s="9"/>
      <c r="AO37" s="65">
        <f t="shared" si="5"/>
        <v>0</v>
      </c>
      <c r="AP37" s="9"/>
      <c r="AQ37" s="9"/>
      <c r="AR37" s="9"/>
      <c r="AS37" s="9"/>
      <c r="AT37" s="9"/>
      <c r="AU37" s="9"/>
      <c r="AV37" s="65">
        <f t="shared" si="6"/>
        <v>0</v>
      </c>
      <c r="AW37" s="9"/>
      <c r="AX37" s="9"/>
      <c r="AY37" s="9"/>
      <c r="AZ37" s="9"/>
      <c r="BA37" s="9"/>
      <c r="BB37" s="9"/>
      <c r="BC37" s="65">
        <f t="shared" si="7"/>
        <v>0</v>
      </c>
      <c r="BD37" s="9"/>
      <c r="BE37" s="9"/>
      <c r="BF37" s="9"/>
      <c r="BG37" s="9"/>
      <c r="BH37" s="9"/>
      <c r="BI37" s="9"/>
      <c r="BJ37" s="65">
        <f t="shared" si="8"/>
        <v>0</v>
      </c>
      <c r="BK37" s="9"/>
      <c r="BL37" s="9"/>
      <c r="BM37" s="9"/>
      <c r="BN37" s="9"/>
      <c r="BO37" s="9"/>
      <c r="BP37" s="9"/>
      <c r="BQ37" s="65">
        <f t="shared" si="9"/>
        <v>0</v>
      </c>
      <c r="BR37" s="9"/>
      <c r="BS37" s="9"/>
      <c r="BT37" s="9"/>
      <c r="BU37" s="9"/>
      <c r="BV37" s="9"/>
    </row>
    <row r="38" spans="2:74" ht="14.1" customHeight="1" x14ac:dyDescent="0.25">
      <c r="B38" s="193"/>
      <c r="C38" s="190" t="s">
        <v>430</v>
      </c>
      <c r="D38" s="23" t="s">
        <v>93</v>
      </c>
      <c r="E38" s="22"/>
      <c r="F38" s="68">
        <f t="shared" si="0"/>
        <v>0</v>
      </c>
      <c r="G38" s="22"/>
      <c r="H38" s="22"/>
      <c r="I38" s="22"/>
      <c r="J38" s="22"/>
      <c r="K38" s="22"/>
      <c r="L38" s="22"/>
      <c r="M38" s="68">
        <f t="shared" si="1"/>
        <v>0</v>
      </c>
      <c r="N38" s="22"/>
      <c r="O38" s="22"/>
      <c r="P38" s="22"/>
      <c r="Q38" s="22"/>
      <c r="R38" s="22"/>
      <c r="S38" s="22"/>
      <c r="T38" s="68">
        <f t="shared" si="2"/>
        <v>0</v>
      </c>
      <c r="U38" s="22"/>
      <c r="V38" s="22"/>
      <c r="W38" s="22"/>
      <c r="X38" s="22"/>
      <c r="Y38" s="22"/>
      <c r="Z38" s="22"/>
      <c r="AA38" s="68">
        <f t="shared" si="3"/>
        <v>0</v>
      </c>
      <c r="AB38" s="22"/>
      <c r="AC38" s="22"/>
      <c r="AD38" s="22"/>
      <c r="AE38" s="22"/>
      <c r="AF38" s="22"/>
      <c r="AG38" s="22"/>
      <c r="AH38" s="68">
        <f t="shared" si="4"/>
        <v>0</v>
      </c>
      <c r="AI38" s="22"/>
      <c r="AJ38" s="22"/>
      <c r="AK38" s="22"/>
      <c r="AL38" s="22"/>
      <c r="AM38" s="22"/>
      <c r="AN38" s="22"/>
      <c r="AO38" s="68">
        <f t="shared" si="5"/>
        <v>0</v>
      </c>
      <c r="AP38" s="22"/>
      <c r="AQ38" s="22"/>
      <c r="AR38" s="22"/>
      <c r="AS38" s="22"/>
      <c r="AT38" s="22"/>
      <c r="AU38" s="22"/>
      <c r="AV38" s="68">
        <f t="shared" si="6"/>
        <v>0</v>
      </c>
      <c r="AW38" s="22"/>
      <c r="AX38" s="22"/>
      <c r="AY38" s="22"/>
      <c r="AZ38" s="22"/>
      <c r="BA38" s="22"/>
      <c r="BB38" s="22"/>
      <c r="BC38" s="68">
        <f t="shared" si="7"/>
        <v>0</v>
      </c>
      <c r="BD38" s="22"/>
      <c r="BE38" s="22"/>
      <c r="BF38" s="22"/>
      <c r="BG38" s="22"/>
      <c r="BH38" s="22"/>
      <c r="BI38" s="22"/>
      <c r="BJ38" s="68">
        <f t="shared" si="8"/>
        <v>0</v>
      </c>
      <c r="BK38" s="22"/>
      <c r="BL38" s="22"/>
      <c r="BM38" s="22"/>
      <c r="BN38" s="22"/>
      <c r="BO38" s="22"/>
      <c r="BP38" s="22"/>
      <c r="BQ38" s="68">
        <f t="shared" si="9"/>
        <v>0</v>
      </c>
      <c r="BR38" s="22"/>
      <c r="BS38" s="22"/>
      <c r="BT38" s="22"/>
      <c r="BU38" s="22"/>
      <c r="BV38" s="22"/>
    </row>
    <row r="39" spans="2:74" ht="14.1" customHeight="1" x14ac:dyDescent="0.25">
      <c r="B39" s="193"/>
      <c r="C39" s="185"/>
      <c r="D39" s="23" t="s">
        <v>94</v>
      </c>
      <c r="E39" s="22"/>
      <c r="F39" s="68">
        <f t="shared" si="0"/>
        <v>0</v>
      </c>
      <c r="G39" s="22"/>
      <c r="H39" s="22"/>
      <c r="I39" s="22"/>
      <c r="J39" s="22"/>
      <c r="K39" s="22"/>
      <c r="L39" s="22"/>
      <c r="M39" s="68">
        <f t="shared" si="1"/>
        <v>0</v>
      </c>
      <c r="N39" s="22"/>
      <c r="O39" s="22"/>
      <c r="P39" s="22"/>
      <c r="Q39" s="22"/>
      <c r="R39" s="22"/>
      <c r="S39" s="22"/>
      <c r="T39" s="68">
        <f t="shared" si="2"/>
        <v>0</v>
      </c>
      <c r="U39" s="22"/>
      <c r="V39" s="22"/>
      <c r="W39" s="22"/>
      <c r="X39" s="22"/>
      <c r="Y39" s="22"/>
      <c r="Z39" s="22"/>
      <c r="AA39" s="68">
        <f t="shared" si="3"/>
        <v>0</v>
      </c>
      <c r="AB39" s="22"/>
      <c r="AC39" s="22"/>
      <c r="AD39" s="22"/>
      <c r="AE39" s="22"/>
      <c r="AF39" s="22"/>
      <c r="AG39" s="22"/>
      <c r="AH39" s="68">
        <f t="shared" si="4"/>
        <v>0</v>
      </c>
      <c r="AI39" s="22"/>
      <c r="AJ39" s="22"/>
      <c r="AK39" s="22"/>
      <c r="AL39" s="22"/>
      <c r="AM39" s="22"/>
      <c r="AN39" s="22"/>
      <c r="AO39" s="68">
        <f t="shared" si="5"/>
        <v>0</v>
      </c>
      <c r="AP39" s="22"/>
      <c r="AQ39" s="22"/>
      <c r="AR39" s="22"/>
      <c r="AS39" s="22"/>
      <c r="AT39" s="22"/>
      <c r="AU39" s="22"/>
      <c r="AV39" s="68">
        <f t="shared" si="6"/>
        <v>0</v>
      </c>
      <c r="AW39" s="22"/>
      <c r="AX39" s="22"/>
      <c r="AY39" s="22"/>
      <c r="AZ39" s="22"/>
      <c r="BA39" s="22"/>
      <c r="BB39" s="22"/>
      <c r="BC39" s="68">
        <f t="shared" si="7"/>
        <v>0</v>
      </c>
      <c r="BD39" s="22"/>
      <c r="BE39" s="22"/>
      <c r="BF39" s="22"/>
      <c r="BG39" s="22"/>
      <c r="BH39" s="22"/>
      <c r="BI39" s="22"/>
      <c r="BJ39" s="68">
        <f t="shared" si="8"/>
        <v>0</v>
      </c>
      <c r="BK39" s="22"/>
      <c r="BL39" s="22"/>
      <c r="BM39" s="22"/>
      <c r="BN39" s="22"/>
      <c r="BO39" s="22"/>
      <c r="BP39" s="22"/>
      <c r="BQ39" s="68">
        <f t="shared" si="9"/>
        <v>0</v>
      </c>
      <c r="BR39" s="22"/>
      <c r="BS39" s="22"/>
      <c r="BT39" s="22"/>
      <c r="BU39" s="22"/>
      <c r="BV39" s="22"/>
    </row>
    <row r="40" spans="2:74" ht="14.1" customHeight="1" x14ac:dyDescent="0.25">
      <c r="B40" s="193"/>
      <c r="C40" s="185"/>
      <c r="D40" s="23" t="s">
        <v>95</v>
      </c>
      <c r="E40" s="22"/>
      <c r="F40" s="68">
        <f t="shared" si="0"/>
        <v>0</v>
      </c>
      <c r="G40" s="22"/>
      <c r="H40" s="22"/>
      <c r="I40" s="22"/>
      <c r="J40" s="22"/>
      <c r="K40" s="22"/>
      <c r="L40" s="22"/>
      <c r="M40" s="68">
        <f t="shared" si="1"/>
        <v>0</v>
      </c>
      <c r="N40" s="22"/>
      <c r="O40" s="22"/>
      <c r="P40" s="22"/>
      <c r="Q40" s="22"/>
      <c r="R40" s="22"/>
      <c r="S40" s="22"/>
      <c r="T40" s="68">
        <f t="shared" si="2"/>
        <v>0</v>
      </c>
      <c r="U40" s="22"/>
      <c r="V40" s="22"/>
      <c r="W40" s="22"/>
      <c r="X40" s="22"/>
      <c r="Y40" s="22"/>
      <c r="Z40" s="22"/>
      <c r="AA40" s="68">
        <f t="shared" si="3"/>
        <v>0</v>
      </c>
      <c r="AB40" s="22"/>
      <c r="AC40" s="22"/>
      <c r="AD40" s="22"/>
      <c r="AE40" s="22"/>
      <c r="AF40" s="22"/>
      <c r="AG40" s="22"/>
      <c r="AH40" s="68">
        <f t="shared" si="4"/>
        <v>0</v>
      </c>
      <c r="AI40" s="22"/>
      <c r="AJ40" s="22"/>
      <c r="AK40" s="22"/>
      <c r="AL40" s="22"/>
      <c r="AM40" s="22"/>
      <c r="AN40" s="22"/>
      <c r="AO40" s="68">
        <f t="shared" si="5"/>
        <v>0</v>
      </c>
      <c r="AP40" s="22"/>
      <c r="AQ40" s="22"/>
      <c r="AR40" s="22"/>
      <c r="AS40" s="22"/>
      <c r="AT40" s="22"/>
      <c r="AU40" s="22"/>
      <c r="AV40" s="68">
        <f t="shared" si="6"/>
        <v>0</v>
      </c>
      <c r="AW40" s="22"/>
      <c r="AX40" s="22"/>
      <c r="AY40" s="22"/>
      <c r="AZ40" s="22"/>
      <c r="BA40" s="22"/>
      <c r="BB40" s="22"/>
      <c r="BC40" s="68">
        <f t="shared" si="7"/>
        <v>0</v>
      </c>
      <c r="BD40" s="22"/>
      <c r="BE40" s="22"/>
      <c r="BF40" s="22"/>
      <c r="BG40" s="22"/>
      <c r="BH40" s="22"/>
      <c r="BI40" s="22"/>
      <c r="BJ40" s="68">
        <f t="shared" si="8"/>
        <v>0</v>
      </c>
      <c r="BK40" s="22"/>
      <c r="BL40" s="22"/>
      <c r="BM40" s="22"/>
      <c r="BN40" s="22"/>
      <c r="BO40" s="22"/>
      <c r="BP40" s="22"/>
      <c r="BQ40" s="68">
        <f t="shared" si="9"/>
        <v>0</v>
      </c>
      <c r="BR40" s="22"/>
      <c r="BS40" s="22"/>
      <c r="BT40" s="22"/>
      <c r="BU40" s="22"/>
      <c r="BV40" s="22"/>
    </row>
    <row r="41" spans="2:74" s="19" customFormat="1" ht="8.1" customHeight="1" x14ac:dyDescent="0.25">
      <c r="B41" s="15"/>
      <c r="C41" s="16"/>
      <c r="D41" s="17"/>
      <c r="E41" s="18"/>
      <c r="F41" s="69"/>
      <c r="G41" s="18"/>
      <c r="H41" s="18"/>
      <c r="I41" s="18"/>
      <c r="J41" s="18"/>
      <c r="K41" s="18"/>
      <c r="L41" s="18"/>
      <c r="M41" s="69"/>
      <c r="N41" s="18"/>
      <c r="O41" s="18"/>
      <c r="P41" s="18"/>
      <c r="Q41" s="18"/>
      <c r="R41" s="18"/>
      <c r="S41" s="18"/>
      <c r="T41" s="69"/>
      <c r="U41" s="18"/>
      <c r="V41" s="18"/>
      <c r="W41" s="18"/>
      <c r="X41" s="18"/>
      <c r="Y41" s="18"/>
      <c r="Z41" s="18"/>
      <c r="AA41" s="69"/>
      <c r="AB41" s="18"/>
      <c r="AC41" s="18"/>
      <c r="AD41" s="18"/>
      <c r="AE41" s="18"/>
      <c r="AF41" s="18"/>
      <c r="AG41" s="18"/>
      <c r="AH41" s="69"/>
      <c r="AI41" s="18"/>
      <c r="AJ41" s="18"/>
      <c r="AK41" s="18"/>
      <c r="AL41" s="18"/>
      <c r="AM41" s="18"/>
      <c r="AN41" s="18"/>
      <c r="AO41" s="69"/>
      <c r="AP41" s="18"/>
      <c r="AQ41" s="18"/>
      <c r="AR41" s="18"/>
      <c r="AS41" s="18"/>
      <c r="AT41" s="18"/>
      <c r="AU41" s="18"/>
      <c r="AV41" s="69"/>
      <c r="AW41" s="18"/>
      <c r="AX41" s="18"/>
      <c r="AY41" s="18"/>
      <c r="AZ41" s="18"/>
      <c r="BA41" s="18"/>
      <c r="BB41" s="18"/>
      <c r="BC41" s="69"/>
      <c r="BD41" s="18"/>
      <c r="BE41" s="18"/>
      <c r="BF41" s="18"/>
      <c r="BG41" s="18"/>
      <c r="BH41" s="18"/>
      <c r="BI41" s="18"/>
      <c r="BJ41" s="69"/>
      <c r="BK41" s="18"/>
      <c r="BL41" s="18"/>
      <c r="BM41" s="18"/>
      <c r="BN41" s="18"/>
      <c r="BO41" s="18"/>
      <c r="BP41" s="18"/>
      <c r="BQ41" s="69"/>
      <c r="BR41" s="18"/>
      <c r="BS41" s="18"/>
      <c r="BT41" s="18"/>
      <c r="BU41" s="18"/>
      <c r="BV41" s="18"/>
    </row>
    <row r="42" spans="2:74" ht="14.1" customHeight="1" x14ac:dyDescent="0.25">
      <c r="B42" s="193" t="s">
        <v>144</v>
      </c>
      <c r="C42" s="192" t="s">
        <v>90</v>
      </c>
      <c r="D42" s="11" t="s">
        <v>115</v>
      </c>
      <c r="E42" s="12"/>
      <c r="F42" s="67">
        <f t="shared" si="0"/>
        <v>0</v>
      </c>
      <c r="G42" s="12"/>
      <c r="H42" s="12"/>
      <c r="I42" s="12"/>
      <c r="J42" s="12"/>
      <c r="K42" s="12"/>
      <c r="L42" s="12"/>
      <c r="M42" s="67">
        <f t="shared" si="1"/>
        <v>0</v>
      </c>
      <c r="N42" s="12"/>
      <c r="O42" s="12"/>
      <c r="P42" s="12"/>
      <c r="Q42" s="12"/>
      <c r="R42" s="12"/>
      <c r="S42" s="12"/>
      <c r="T42" s="67">
        <f t="shared" si="2"/>
        <v>0</v>
      </c>
      <c r="U42" s="12"/>
      <c r="V42" s="12"/>
      <c r="W42" s="12"/>
      <c r="X42" s="12"/>
      <c r="Y42" s="12"/>
      <c r="Z42" s="12"/>
      <c r="AA42" s="67">
        <f t="shared" si="3"/>
        <v>0</v>
      </c>
      <c r="AB42" s="12"/>
      <c r="AC42" s="12"/>
      <c r="AD42" s="12"/>
      <c r="AE42" s="12"/>
      <c r="AF42" s="12"/>
      <c r="AG42" s="12"/>
      <c r="AH42" s="67">
        <f t="shared" si="4"/>
        <v>0</v>
      </c>
      <c r="AI42" s="12"/>
      <c r="AJ42" s="12"/>
      <c r="AK42" s="12"/>
      <c r="AL42" s="12"/>
      <c r="AM42" s="12"/>
      <c r="AN42" s="12"/>
      <c r="AO42" s="67">
        <f t="shared" si="5"/>
        <v>0</v>
      </c>
      <c r="AP42" s="12"/>
      <c r="AQ42" s="12"/>
      <c r="AR42" s="12"/>
      <c r="AS42" s="12"/>
      <c r="AT42" s="12"/>
      <c r="AU42" s="12"/>
      <c r="AV42" s="67">
        <f t="shared" si="6"/>
        <v>0</v>
      </c>
      <c r="AW42" s="12"/>
      <c r="AX42" s="12"/>
      <c r="AY42" s="12"/>
      <c r="AZ42" s="12"/>
      <c r="BA42" s="12"/>
      <c r="BB42" s="12"/>
      <c r="BC42" s="67">
        <f t="shared" si="7"/>
        <v>0</v>
      </c>
      <c r="BD42" s="12"/>
      <c r="BE42" s="12"/>
      <c r="BF42" s="12"/>
      <c r="BG42" s="12"/>
      <c r="BH42" s="12"/>
      <c r="BI42" s="12"/>
      <c r="BJ42" s="67">
        <f t="shared" si="8"/>
        <v>0</v>
      </c>
      <c r="BK42" s="12"/>
      <c r="BL42" s="12"/>
      <c r="BM42" s="12"/>
      <c r="BN42" s="12"/>
      <c r="BO42" s="12"/>
      <c r="BP42" s="12"/>
      <c r="BQ42" s="67">
        <f t="shared" si="9"/>
        <v>0</v>
      </c>
      <c r="BR42" s="12"/>
      <c r="BS42" s="12"/>
      <c r="BT42" s="12"/>
      <c r="BU42" s="12"/>
      <c r="BV42" s="12"/>
    </row>
    <row r="43" spans="2:74" ht="14.1" customHeight="1" x14ac:dyDescent="0.25">
      <c r="B43" s="193"/>
      <c r="C43" s="192"/>
      <c r="D43" s="11" t="s">
        <v>116</v>
      </c>
      <c r="E43" s="12"/>
      <c r="F43" s="67">
        <f t="shared" si="0"/>
        <v>0</v>
      </c>
      <c r="G43" s="12"/>
      <c r="H43" s="12"/>
      <c r="I43" s="12"/>
      <c r="J43" s="12"/>
      <c r="K43" s="12"/>
      <c r="L43" s="12"/>
      <c r="M43" s="67">
        <f t="shared" si="1"/>
        <v>0</v>
      </c>
      <c r="N43" s="12"/>
      <c r="O43" s="12"/>
      <c r="P43" s="12"/>
      <c r="Q43" s="12"/>
      <c r="R43" s="12"/>
      <c r="S43" s="12"/>
      <c r="T43" s="67">
        <f t="shared" si="2"/>
        <v>0</v>
      </c>
      <c r="U43" s="12"/>
      <c r="V43" s="12"/>
      <c r="W43" s="12"/>
      <c r="X43" s="12"/>
      <c r="Y43" s="12"/>
      <c r="Z43" s="12"/>
      <c r="AA43" s="67">
        <f t="shared" si="3"/>
        <v>0</v>
      </c>
      <c r="AB43" s="12"/>
      <c r="AC43" s="12"/>
      <c r="AD43" s="12"/>
      <c r="AE43" s="12"/>
      <c r="AF43" s="12"/>
      <c r="AG43" s="12"/>
      <c r="AH43" s="67">
        <f t="shared" si="4"/>
        <v>0</v>
      </c>
      <c r="AI43" s="12"/>
      <c r="AJ43" s="12"/>
      <c r="AK43" s="12"/>
      <c r="AL43" s="12"/>
      <c r="AM43" s="12"/>
      <c r="AN43" s="12"/>
      <c r="AO43" s="67">
        <f t="shared" si="5"/>
        <v>0</v>
      </c>
      <c r="AP43" s="12"/>
      <c r="AQ43" s="12"/>
      <c r="AR43" s="12"/>
      <c r="AS43" s="12"/>
      <c r="AT43" s="12"/>
      <c r="AU43" s="12"/>
      <c r="AV43" s="67">
        <f t="shared" si="6"/>
        <v>0</v>
      </c>
      <c r="AW43" s="12"/>
      <c r="AX43" s="12"/>
      <c r="AY43" s="12"/>
      <c r="AZ43" s="12"/>
      <c r="BA43" s="12"/>
      <c r="BB43" s="12"/>
      <c r="BC43" s="67">
        <f t="shared" si="7"/>
        <v>0</v>
      </c>
      <c r="BD43" s="12"/>
      <c r="BE43" s="12"/>
      <c r="BF43" s="12"/>
      <c r="BG43" s="12"/>
      <c r="BH43" s="12"/>
      <c r="BI43" s="12"/>
      <c r="BJ43" s="67">
        <f t="shared" si="8"/>
        <v>0</v>
      </c>
      <c r="BK43" s="12"/>
      <c r="BL43" s="12"/>
      <c r="BM43" s="12"/>
      <c r="BN43" s="12"/>
      <c r="BO43" s="12"/>
      <c r="BP43" s="12"/>
      <c r="BQ43" s="67">
        <f t="shared" si="9"/>
        <v>0</v>
      </c>
      <c r="BR43" s="12"/>
      <c r="BS43" s="12"/>
      <c r="BT43" s="12"/>
      <c r="BU43" s="12"/>
      <c r="BV43" s="12"/>
    </row>
    <row r="44" spans="2:74" x14ac:dyDescent="0.25">
      <c r="B44" s="193"/>
      <c r="C44" s="192"/>
      <c r="D44" s="11" t="s">
        <v>91</v>
      </c>
      <c r="E44" s="12"/>
      <c r="F44" s="67">
        <f t="shared" si="0"/>
        <v>0</v>
      </c>
      <c r="G44" s="12"/>
      <c r="H44" s="12"/>
      <c r="I44" s="12"/>
      <c r="J44" s="12"/>
      <c r="K44" s="12"/>
      <c r="L44" s="12"/>
      <c r="M44" s="67">
        <f t="shared" si="1"/>
        <v>0</v>
      </c>
      <c r="N44" s="12"/>
      <c r="O44" s="12"/>
      <c r="P44" s="12"/>
      <c r="Q44" s="12"/>
      <c r="R44" s="12"/>
      <c r="S44" s="12"/>
      <c r="T44" s="67">
        <f t="shared" si="2"/>
        <v>0</v>
      </c>
      <c r="U44" s="12"/>
      <c r="V44" s="12"/>
      <c r="W44" s="12"/>
      <c r="X44" s="12"/>
      <c r="Y44" s="12"/>
      <c r="Z44" s="12"/>
      <c r="AA44" s="67">
        <f t="shared" si="3"/>
        <v>0</v>
      </c>
      <c r="AB44" s="12"/>
      <c r="AC44" s="12"/>
      <c r="AD44" s="12"/>
      <c r="AE44" s="12"/>
      <c r="AF44" s="12"/>
      <c r="AG44" s="12"/>
      <c r="AH44" s="67">
        <f t="shared" si="4"/>
        <v>0</v>
      </c>
      <c r="AI44" s="12"/>
      <c r="AJ44" s="12"/>
      <c r="AK44" s="12"/>
      <c r="AL44" s="12"/>
      <c r="AM44" s="12"/>
      <c r="AN44" s="12"/>
      <c r="AO44" s="67">
        <f t="shared" si="5"/>
        <v>0</v>
      </c>
      <c r="AP44" s="12"/>
      <c r="AQ44" s="12"/>
      <c r="AR44" s="12"/>
      <c r="AS44" s="12"/>
      <c r="AT44" s="12"/>
      <c r="AU44" s="12"/>
      <c r="AV44" s="67">
        <f t="shared" si="6"/>
        <v>0</v>
      </c>
      <c r="AW44" s="12"/>
      <c r="AX44" s="12"/>
      <c r="AY44" s="12"/>
      <c r="AZ44" s="12"/>
      <c r="BA44" s="12"/>
      <c r="BB44" s="12"/>
      <c r="BC44" s="67">
        <f t="shared" si="7"/>
        <v>0</v>
      </c>
      <c r="BD44" s="12"/>
      <c r="BE44" s="12"/>
      <c r="BF44" s="12"/>
      <c r="BG44" s="12"/>
      <c r="BH44" s="12"/>
      <c r="BI44" s="12"/>
      <c r="BJ44" s="67">
        <f t="shared" si="8"/>
        <v>0</v>
      </c>
      <c r="BK44" s="12"/>
      <c r="BL44" s="12"/>
      <c r="BM44" s="12"/>
      <c r="BN44" s="12"/>
      <c r="BO44" s="12"/>
      <c r="BP44" s="12"/>
      <c r="BQ44" s="67">
        <f t="shared" si="9"/>
        <v>0</v>
      </c>
      <c r="BR44" s="12"/>
      <c r="BS44" s="12"/>
      <c r="BT44" s="12"/>
      <c r="BU44" s="12"/>
      <c r="BV44" s="12"/>
    </row>
    <row r="45" spans="2:74" x14ac:dyDescent="0.25">
      <c r="B45" s="193"/>
      <c r="C45" s="192"/>
      <c r="D45" s="11" t="s">
        <v>117</v>
      </c>
      <c r="E45" s="12"/>
      <c r="F45" s="67">
        <f t="shared" si="0"/>
        <v>0</v>
      </c>
      <c r="G45" s="12"/>
      <c r="H45" s="12"/>
      <c r="I45" s="12"/>
      <c r="J45" s="12"/>
      <c r="K45" s="12"/>
      <c r="L45" s="12"/>
      <c r="M45" s="67">
        <f t="shared" si="1"/>
        <v>0</v>
      </c>
      <c r="N45" s="12"/>
      <c r="O45" s="12"/>
      <c r="P45" s="12"/>
      <c r="Q45" s="12"/>
      <c r="R45" s="12"/>
      <c r="S45" s="12"/>
      <c r="T45" s="67">
        <f t="shared" si="2"/>
        <v>0</v>
      </c>
      <c r="U45" s="12"/>
      <c r="V45" s="12"/>
      <c r="W45" s="12"/>
      <c r="X45" s="12"/>
      <c r="Y45" s="12"/>
      <c r="Z45" s="12"/>
      <c r="AA45" s="67">
        <f t="shared" si="3"/>
        <v>0</v>
      </c>
      <c r="AB45" s="12"/>
      <c r="AC45" s="12"/>
      <c r="AD45" s="12"/>
      <c r="AE45" s="12"/>
      <c r="AF45" s="12"/>
      <c r="AG45" s="12"/>
      <c r="AH45" s="67">
        <f t="shared" si="4"/>
        <v>0</v>
      </c>
      <c r="AI45" s="12"/>
      <c r="AJ45" s="12"/>
      <c r="AK45" s="12"/>
      <c r="AL45" s="12"/>
      <c r="AM45" s="12"/>
      <c r="AN45" s="12"/>
      <c r="AO45" s="67">
        <f t="shared" si="5"/>
        <v>0</v>
      </c>
      <c r="AP45" s="12"/>
      <c r="AQ45" s="12"/>
      <c r="AR45" s="12"/>
      <c r="AS45" s="12"/>
      <c r="AT45" s="12"/>
      <c r="AU45" s="12"/>
      <c r="AV45" s="67">
        <f t="shared" si="6"/>
        <v>0</v>
      </c>
      <c r="AW45" s="12"/>
      <c r="AX45" s="12"/>
      <c r="AY45" s="12"/>
      <c r="AZ45" s="12"/>
      <c r="BA45" s="12"/>
      <c r="BB45" s="12"/>
      <c r="BC45" s="67">
        <f t="shared" si="7"/>
        <v>0</v>
      </c>
      <c r="BD45" s="12"/>
      <c r="BE45" s="12"/>
      <c r="BF45" s="12"/>
      <c r="BG45" s="12"/>
      <c r="BH45" s="12"/>
      <c r="BI45" s="12"/>
      <c r="BJ45" s="67">
        <f t="shared" si="8"/>
        <v>0</v>
      </c>
      <c r="BK45" s="12"/>
      <c r="BL45" s="12"/>
      <c r="BM45" s="12"/>
      <c r="BN45" s="12"/>
      <c r="BO45" s="12"/>
      <c r="BP45" s="12"/>
      <c r="BQ45" s="67">
        <f t="shared" si="9"/>
        <v>0</v>
      </c>
      <c r="BR45" s="12"/>
      <c r="BS45" s="12"/>
      <c r="BT45" s="12"/>
      <c r="BU45" s="12"/>
      <c r="BV45" s="12"/>
    </row>
    <row r="46" spans="2:74" ht="14.1" customHeight="1" x14ac:dyDescent="0.25">
      <c r="B46" s="193"/>
      <c r="C46" s="195" t="s">
        <v>118</v>
      </c>
      <c r="D46" s="10" t="s">
        <v>119</v>
      </c>
      <c r="E46" s="9"/>
      <c r="F46" s="65">
        <f t="shared" si="0"/>
        <v>0</v>
      </c>
      <c r="G46" s="9"/>
      <c r="H46" s="9"/>
      <c r="I46" s="9"/>
      <c r="J46" s="9"/>
      <c r="K46" s="9"/>
      <c r="L46" s="9"/>
      <c r="M46" s="65">
        <f t="shared" si="1"/>
        <v>0</v>
      </c>
      <c r="N46" s="9"/>
      <c r="O46" s="9"/>
      <c r="P46" s="9"/>
      <c r="Q46" s="9"/>
      <c r="R46" s="9"/>
      <c r="S46" s="9"/>
      <c r="T46" s="65">
        <f t="shared" si="2"/>
        <v>0</v>
      </c>
      <c r="U46" s="9"/>
      <c r="V46" s="9"/>
      <c r="W46" s="9"/>
      <c r="X46" s="9"/>
      <c r="Y46" s="9"/>
      <c r="Z46" s="9"/>
      <c r="AA46" s="65">
        <f t="shared" si="3"/>
        <v>0</v>
      </c>
      <c r="AB46" s="9"/>
      <c r="AC46" s="9"/>
      <c r="AD46" s="9"/>
      <c r="AE46" s="9"/>
      <c r="AF46" s="9"/>
      <c r="AG46" s="9"/>
      <c r="AH46" s="65">
        <f t="shared" si="4"/>
        <v>0</v>
      </c>
      <c r="AI46" s="9"/>
      <c r="AJ46" s="9"/>
      <c r="AK46" s="9"/>
      <c r="AL46" s="9"/>
      <c r="AM46" s="9"/>
      <c r="AN46" s="9"/>
      <c r="AO46" s="65">
        <f t="shared" si="5"/>
        <v>0</v>
      </c>
      <c r="AP46" s="9"/>
      <c r="AQ46" s="9"/>
      <c r="AR46" s="9"/>
      <c r="AS46" s="9"/>
      <c r="AT46" s="9"/>
      <c r="AU46" s="9"/>
      <c r="AV46" s="65">
        <f t="shared" si="6"/>
        <v>0</v>
      </c>
      <c r="AW46" s="9"/>
      <c r="AX46" s="9"/>
      <c r="AY46" s="9"/>
      <c r="AZ46" s="9"/>
      <c r="BA46" s="9"/>
      <c r="BB46" s="9"/>
      <c r="BC46" s="65">
        <f t="shared" si="7"/>
        <v>0</v>
      </c>
      <c r="BD46" s="9"/>
      <c r="BE46" s="9"/>
      <c r="BF46" s="9"/>
      <c r="BG46" s="9"/>
      <c r="BH46" s="9"/>
      <c r="BI46" s="9"/>
      <c r="BJ46" s="65">
        <f t="shared" si="8"/>
        <v>0</v>
      </c>
      <c r="BK46" s="9"/>
      <c r="BL46" s="9"/>
      <c r="BM46" s="9"/>
      <c r="BN46" s="9"/>
      <c r="BO46" s="9"/>
      <c r="BP46" s="9"/>
      <c r="BQ46" s="65">
        <f t="shared" si="9"/>
        <v>0</v>
      </c>
      <c r="BR46" s="9"/>
      <c r="BS46" s="9"/>
      <c r="BT46" s="9"/>
      <c r="BU46" s="9"/>
      <c r="BV46" s="9"/>
    </row>
    <row r="47" spans="2:74" x14ac:dyDescent="0.25">
      <c r="B47" s="193"/>
      <c r="C47" s="195"/>
      <c r="D47" s="10" t="s">
        <v>120</v>
      </c>
      <c r="E47" s="9"/>
      <c r="F47" s="65">
        <f t="shared" si="0"/>
        <v>0</v>
      </c>
      <c r="G47" s="9"/>
      <c r="H47" s="9"/>
      <c r="I47" s="9"/>
      <c r="J47" s="9"/>
      <c r="K47" s="9"/>
      <c r="L47" s="9"/>
      <c r="M47" s="65">
        <f t="shared" si="1"/>
        <v>0</v>
      </c>
      <c r="N47" s="9"/>
      <c r="O47" s="9"/>
      <c r="P47" s="9"/>
      <c r="Q47" s="9"/>
      <c r="R47" s="9"/>
      <c r="S47" s="9"/>
      <c r="T47" s="65">
        <f t="shared" si="2"/>
        <v>0</v>
      </c>
      <c r="U47" s="9"/>
      <c r="V47" s="9"/>
      <c r="W47" s="9"/>
      <c r="X47" s="9"/>
      <c r="Y47" s="9"/>
      <c r="Z47" s="9"/>
      <c r="AA47" s="65">
        <f t="shared" si="3"/>
        <v>0</v>
      </c>
      <c r="AB47" s="9"/>
      <c r="AC47" s="9"/>
      <c r="AD47" s="9"/>
      <c r="AE47" s="9"/>
      <c r="AF47" s="9"/>
      <c r="AG47" s="9"/>
      <c r="AH47" s="65">
        <f t="shared" si="4"/>
        <v>0</v>
      </c>
      <c r="AI47" s="9"/>
      <c r="AJ47" s="9"/>
      <c r="AK47" s="9"/>
      <c r="AL47" s="9"/>
      <c r="AM47" s="9"/>
      <c r="AN47" s="9"/>
      <c r="AO47" s="65">
        <f t="shared" si="5"/>
        <v>0</v>
      </c>
      <c r="AP47" s="9"/>
      <c r="AQ47" s="9"/>
      <c r="AR47" s="9"/>
      <c r="AS47" s="9"/>
      <c r="AT47" s="9"/>
      <c r="AU47" s="9"/>
      <c r="AV47" s="65">
        <f t="shared" si="6"/>
        <v>0</v>
      </c>
      <c r="AW47" s="9"/>
      <c r="AX47" s="9"/>
      <c r="AY47" s="9"/>
      <c r="AZ47" s="9"/>
      <c r="BA47" s="9"/>
      <c r="BB47" s="9"/>
      <c r="BC47" s="65">
        <f t="shared" si="7"/>
        <v>0</v>
      </c>
      <c r="BD47" s="9"/>
      <c r="BE47" s="9"/>
      <c r="BF47" s="9"/>
      <c r="BG47" s="9"/>
      <c r="BH47" s="9"/>
      <c r="BI47" s="9"/>
      <c r="BJ47" s="65">
        <f t="shared" si="8"/>
        <v>0</v>
      </c>
      <c r="BK47" s="9"/>
      <c r="BL47" s="9"/>
      <c r="BM47" s="9"/>
      <c r="BN47" s="9"/>
      <c r="BO47" s="9"/>
      <c r="BP47" s="9"/>
      <c r="BQ47" s="65">
        <f t="shared" si="9"/>
        <v>0</v>
      </c>
      <c r="BR47" s="9"/>
      <c r="BS47" s="9"/>
      <c r="BT47" s="9"/>
      <c r="BU47" s="9"/>
      <c r="BV47" s="9"/>
    </row>
    <row r="48" spans="2:74" x14ac:dyDescent="0.25">
      <c r="B48" s="193"/>
      <c r="C48" s="195"/>
      <c r="D48" s="10"/>
      <c r="E48" s="9"/>
      <c r="F48" s="65">
        <f t="shared" si="0"/>
        <v>0</v>
      </c>
      <c r="G48" s="9"/>
      <c r="H48" s="9"/>
      <c r="I48" s="9"/>
      <c r="J48" s="9"/>
      <c r="K48" s="9"/>
      <c r="L48" s="9"/>
      <c r="M48" s="65">
        <f t="shared" si="1"/>
        <v>0</v>
      </c>
      <c r="N48" s="9"/>
      <c r="O48" s="9"/>
      <c r="P48" s="9"/>
      <c r="Q48" s="9"/>
      <c r="R48" s="9"/>
      <c r="S48" s="9"/>
      <c r="T48" s="65">
        <f t="shared" si="2"/>
        <v>0</v>
      </c>
      <c r="U48" s="9"/>
      <c r="V48" s="9"/>
      <c r="W48" s="9"/>
      <c r="X48" s="9"/>
      <c r="Y48" s="9"/>
      <c r="Z48" s="9"/>
      <c r="AA48" s="65">
        <f t="shared" si="3"/>
        <v>0</v>
      </c>
      <c r="AB48" s="9"/>
      <c r="AC48" s="9"/>
      <c r="AD48" s="9"/>
      <c r="AE48" s="9"/>
      <c r="AF48" s="9"/>
      <c r="AG48" s="9"/>
      <c r="AH48" s="65">
        <f t="shared" si="4"/>
        <v>0</v>
      </c>
      <c r="AI48" s="9"/>
      <c r="AJ48" s="9"/>
      <c r="AK48" s="9"/>
      <c r="AL48" s="9"/>
      <c r="AM48" s="9"/>
      <c r="AN48" s="9"/>
      <c r="AO48" s="65">
        <f t="shared" si="5"/>
        <v>0</v>
      </c>
      <c r="AP48" s="9"/>
      <c r="AQ48" s="9"/>
      <c r="AR48" s="9"/>
      <c r="AS48" s="9"/>
      <c r="AT48" s="9"/>
      <c r="AU48" s="9"/>
      <c r="AV48" s="65">
        <f t="shared" si="6"/>
        <v>0</v>
      </c>
      <c r="AW48" s="9"/>
      <c r="AX48" s="9"/>
      <c r="AY48" s="9"/>
      <c r="AZ48" s="9"/>
      <c r="BA48" s="9"/>
      <c r="BB48" s="9"/>
      <c r="BC48" s="65">
        <f t="shared" si="7"/>
        <v>0</v>
      </c>
      <c r="BD48" s="9"/>
      <c r="BE48" s="9"/>
      <c r="BF48" s="9"/>
      <c r="BG48" s="9"/>
      <c r="BH48" s="9"/>
      <c r="BI48" s="9"/>
      <c r="BJ48" s="65">
        <f t="shared" si="8"/>
        <v>0</v>
      </c>
      <c r="BK48" s="9"/>
      <c r="BL48" s="9"/>
      <c r="BM48" s="9"/>
      <c r="BN48" s="9"/>
      <c r="BO48" s="9"/>
      <c r="BP48" s="9"/>
      <c r="BQ48" s="65">
        <f t="shared" si="9"/>
        <v>0</v>
      </c>
      <c r="BR48" s="9"/>
      <c r="BS48" s="9"/>
      <c r="BT48" s="9"/>
      <c r="BU48" s="9"/>
      <c r="BV48" s="9"/>
    </row>
    <row r="49" spans="2:74" ht="14.1" customHeight="1" x14ac:dyDescent="0.25">
      <c r="B49" s="193"/>
      <c r="C49" s="190" t="s">
        <v>122</v>
      </c>
      <c r="D49" s="21" t="s">
        <v>123</v>
      </c>
      <c r="E49" s="22"/>
      <c r="F49" s="68">
        <f t="shared" si="0"/>
        <v>0</v>
      </c>
      <c r="G49" s="22"/>
      <c r="H49" s="22"/>
      <c r="I49" s="22"/>
      <c r="J49" s="22"/>
      <c r="K49" s="22"/>
      <c r="L49" s="22"/>
      <c r="M49" s="68">
        <f t="shared" si="1"/>
        <v>0</v>
      </c>
      <c r="N49" s="22"/>
      <c r="O49" s="22"/>
      <c r="P49" s="22"/>
      <c r="Q49" s="22"/>
      <c r="R49" s="22"/>
      <c r="S49" s="22"/>
      <c r="T49" s="68">
        <f t="shared" si="2"/>
        <v>0</v>
      </c>
      <c r="U49" s="22"/>
      <c r="V49" s="22"/>
      <c r="W49" s="22"/>
      <c r="X49" s="22"/>
      <c r="Y49" s="22"/>
      <c r="Z49" s="22"/>
      <c r="AA49" s="68">
        <f t="shared" si="3"/>
        <v>0</v>
      </c>
      <c r="AB49" s="22"/>
      <c r="AC49" s="22"/>
      <c r="AD49" s="22"/>
      <c r="AE49" s="22"/>
      <c r="AF49" s="22"/>
      <c r="AG49" s="22"/>
      <c r="AH49" s="68">
        <f t="shared" si="4"/>
        <v>0</v>
      </c>
      <c r="AI49" s="22"/>
      <c r="AJ49" s="22"/>
      <c r="AK49" s="22"/>
      <c r="AL49" s="22"/>
      <c r="AM49" s="22"/>
      <c r="AN49" s="22"/>
      <c r="AO49" s="68">
        <f t="shared" si="5"/>
        <v>0</v>
      </c>
      <c r="AP49" s="22"/>
      <c r="AQ49" s="22"/>
      <c r="AR49" s="22"/>
      <c r="AS49" s="22"/>
      <c r="AT49" s="22"/>
      <c r="AU49" s="22"/>
      <c r="AV49" s="68">
        <f t="shared" si="6"/>
        <v>0</v>
      </c>
      <c r="AW49" s="22"/>
      <c r="AX49" s="22"/>
      <c r="AY49" s="22"/>
      <c r="AZ49" s="22"/>
      <c r="BA49" s="22"/>
      <c r="BB49" s="22"/>
      <c r="BC49" s="68">
        <f t="shared" si="7"/>
        <v>0</v>
      </c>
      <c r="BD49" s="22"/>
      <c r="BE49" s="22"/>
      <c r="BF49" s="22"/>
      <c r="BG49" s="22"/>
      <c r="BH49" s="22"/>
      <c r="BI49" s="22"/>
      <c r="BJ49" s="68">
        <f t="shared" si="8"/>
        <v>0</v>
      </c>
      <c r="BK49" s="22"/>
      <c r="BL49" s="22"/>
      <c r="BM49" s="22"/>
      <c r="BN49" s="22"/>
      <c r="BO49" s="22"/>
      <c r="BP49" s="22"/>
      <c r="BQ49" s="68">
        <f t="shared" si="9"/>
        <v>0</v>
      </c>
      <c r="BR49" s="22"/>
      <c r="BS49" s="22"/>
      <c r="BT49" s="22"/>
      <c r="BU49" s="22"/>
      <c r="BV49" s="22"/>
    </row>
    <row r="50" spans="2:74" x14ac:dyDescent="0.25">
      <c r="B50" s="193"/>
      <c r="C50" s="190"/>
      <c r="D50" s="21" t="s">
        <v>1224</v>
      </c>
      <c r="E50" s="22"/>
      <c r="F50" s="68">
        <f t="shared" si="0"/>
        <v>0</v>
      </c>
      <c r="G50" s="22"/>
      <c r="H50" s="22"/>
      <c r="I50" s="22"/>
      <c r="J50" s="22"/>
      <c r="K50" s="22"/>
      <c r="L50" s="22"/>
      <c r="M50" s="68">
        <f t="shared" si="1"/>
        <v>0</v>
      </c>
      <c r="N50" s="22"/>
      <c r="O50" s="22"/>
      <c r="P50" s="22"/>
      <c r="Q50" s="22"/>
      <c r="R50" s="22"/>
      <c r="S50" s="22"/>
      <c r="T50" s="68">
        <f t="shared" si="2"/>
        <v>0</v>
      </c>
      <c r="U50" s="22"/>
      <c r="V50" s="22"/>
      <c r="W50" s="22"/>
      <c r="X50" s="22"/>
      <c r="Y50" s="22"/>
      <c r="Z50" s="22"/>
      <c r="AA50" s="68">
        <f t="shared" si="3"/>
        <v>0</v>
      </c>
      <c r="AB50" s="22"/>
      <c r="AC50" s="22"/>
      <c r="AD50" s="22"/>
      <c r="AE50" s="22"/>
      <c r="AF50" s="22"/>
      <c r="AG50" s="22"/>
      <c r="AH50" s="68">
        <f t="shared" si="4"/>
        <v>0</v>
      </c>
      <c r="AI50" s="22"/>
      <c r="AJ50" s="22"/>
      <c r="AK50" s="22"/>
      <c r="AL50" s="22"/>
      <c r="AM50" s="22"/>
      <c r="AN50" s="22"/>
      <c r="AO50" s="68">
        <f t="shared" si="5"/>
        <v>0</v>
      </c>
      <c r="AP50" s="22"/>
      <c r="AQ50" s="22"/>
      <c r="AR50" s="22"/>
      <c r="AS50" s="22"/>
      <c r="AT50" s="22"/>
      <c r="AU50" s="22"/>
      <c r="AV50" s="68">
        <f t="shared" si="6"/>
        <v>0</v>
      </c>
      <c r="AW50" s="22"/>
      <c r="AX50" s="22"/>
      <c r="AY50" s="22"/>
      <c r="AZ50" s="22"/>
      <c r="BA50" s="22"/>
      <c r="BB50" s="22"/>
      <c r="BC50" s="68">
        <f t="shared" si="7"/>
        <v>0</v>
      </c>
      <c r="BD50" s="22"/>
      <c r="BE50" s="22"/>
      <c r="BF50" s="22"/>
      <c r="BG50" s="22"/>
      <c r="BH50" s="22"/>
      <c r="BI50" s="22"/>
      <c r="BJ50" s="68">
        <f t="shared" si="8"/>
        <v>0</v>
      </c>
      <c r="BK50" s="22"/>
      <c r="BL50" s="22"/>
      <c r="BM50" s="22"/>
      <c r="BN50" s="22"/>
      <c r="BO50" s="22"/>
      <c r="BP50" s="22"/>
      <c r="BQ50" s="68">
        <f t="shared" si="9"/>
        <v>0</v>
      </c>
      <c r="BR50" s="22"/>
      <c r="BS50" s="22"/>
      <c r="BT50" s="22"/>
      <c r="BU50" s="22"/>
      <c r="BV50" s="22"/>
    </row>
    <row r="51" spans="2:74" ht="14.1" customHeight="1" x14ac:dyDescent="0.25">
      <c r="B51" s="193"/>
      <c r="C51" s="194" t="s">
        <v>431</v>
      </c>
      <c r="D51" s="8" t="s">
        <v>93</v>
      </c>
      <c r="E51" s="9"/>
      <c r="F51" s="65">
        <f t="shared" si="0"/>
        <v>0</v>
      </c>
      <c r="G51" s="9"/>
      <c r="H51" s="9"/>
      <c r="I51" s="9"/>
      <c r="J51" s="9"/>
      <c r="K51" s="9"/>
      <c r="L51" s="9"/>
      <c r="M51" s="65">
        <f t="shared" si="1"/>
        <v>0</v>
      </c>
      <c r="N51" s="9"/>
      <c r="O51" s="9"/>
      <c r="P51" s="9"/>
      <c r="Q51" s="9"/>
      <c r="R51" s="9"/>
      <c r="S51" s="9"/>
      <c r="T51" s="65">
        <f t="shared" si="2"/>
        <v>0</v>
      </c>
      <c r="U51" s="9"/>
      <c r="V51" s="9"/>
      <c r="W51" s="9"/>
      <c r="X51" s="9"/>
      <c r="Y51" s="9"/>
      <c r="Z51" s="9"/>
      <c r="AA51" s="65">
        <f t="shared" si="3"/>
        <v>0</v>
      </c>
      <c r="AB51" s="9"/>
      <c r="AC51" s="9"/>
      <c r="AD51" s="9"/>
      <c r="AE51" s="9"/>
      <c r="AF51" s="9"/>
      <c r="AG51" s="9"/>
      <c r="AH51" s="65">
        <f t="shared" si="4"/>
        <v>0</v>
      </c>
      <c r="AI51" s="9"/>
      <c r="AJ51" s="9"/>
      <c r="AK51" s="9"/>
      <c r="AL51" s="9"/>
      <c r="AM51" s="9"/>
      <c r="AN51" s="9"/>
      <c r="AO51" s="65">
        <f t="shared" si="5"/>
        <v>0</v>
      </c>
      <c r="AP51" s="9"/>
      <c r="AQ51" s="9"/>
      <c r="AR51" s="9"/>
      <c r="AS51" s="9"/>
      <c r="AT51" s="9"/>
      <c r="AU51" s="9"/>
      <c r="AV51" s="65">
        <f t="shared" si="6"/>
        <v>0</v>
      </c>
      <c r="AW51" s="9"/>
      <c r="AX51" s="9"/>
      <c r="AY51" s="9"/>
      <c r="AZ51" s="9"/>
      <c r="BA51" s="9"/>
      <c r="BB51" s="9"/>
      <c r="BC51" s="65">
        <f t="shared" si="7"/>
        <v>0</v>
      </c>
      <c r="BD51" s="9"/>
      <c r="BE51" s="9"/>
      <c r="BF51" s="9"/>
      <c r="BG51" s="9"/>
      <c r="BH51" s="9"/>
      <c r="BI51" s="9"/>
      <c r="BJ51" s="65">
        <f t="shared" si="8"/>
        <v>0</v>
      </c>
      <c r="BK51" s="9"/>
      <c r="BL51" s="9"/>
      <c r="BM51" s="9"/>
      <c r="BN51" s="9"/>
      <c r="BO51" s="9"/>
      <c r="BP51" s="9"/>
      <c r="BQ51" s="65">
        <f t="shared" si="9"/>
        <v>0</v>
      </c>
      <c r="BR51" s="9"/>
      <c r="BS51" s="9"/>
      <c r="BT51" s="9"/>
      <c r="BU51" s="9"/>
      <c r="BV51" s="9"/>
    </row>
    <row r="52" spans="2:74" ht="14.1" customHeight="1" x14ac:dyDescent="0.25">
      <c r="B52" s="193"/>
      <c r="C52" s="194"/>
      <c r="D52" s="8" t="s">
        <v>94</v>
      </c>
      <c r="E52" s="9"/>
      <c r="F52" s="65">
        <f t="shared" si="0"/>
        <v>0</v>
      </c>
      <c r="G52" s="9"/>
      <c r="H52" s="9"/>
      <c r="I52" s="9"/>
      <c r="J52" s="9"/>
      <c r="K52" s="9"/>
      <c r="L52" s="9"/>
      <c r="M52" s="65">
        <f t="shared" si="1"/>
        <v>0</v>
      </c>
      <c r="N52" s="9"/>
      <c r="O52" s="9"/>
      <c r="P52" s="9"/>
      <c r="Q52" s="9"/>
      <c r="R52" s="9"/>
      <c r="S52" s="9"/>
      <c r="T52" s="65">
        <f t="shared" si="2"/>
        <v>0</v>
      </c>
      <c r="U52" s="9"/>
      <c r="V52" s="9"/>
      <c r="W52" s="9"/>
      <c r="X52" s="9"/>
      <c r="Y52" s="9"/>
      <c r="Z52" s="9"/>
      <c r="AA52" s="65">
        <f t="shared" si="3"/>
        <v>0</v>
      </c>
      <c r="AB52" s="9"/>
      <c r="AC52" s="9"/>
      <c r="AD52" s="9"/>
      <c r="AE52" s="9"/>
      <c r="AF52" s="9"/>
      <c r="AG52" s="9"/>
      <c r="AH52" s="65">
        <f t="shared" si="4"/>
        <v>0</v>
      </c>
      <c r="AI52" s="9"/>
      <c r="AJ52" s="9"/>
      <c r="AK52" s="9"/>
      <c r="AL52" s="9"/>
      <c r="AM52" s="9"/>
      <c r="AN52" s="9"/>
      <c r="AO52" s="65">
        <f t="shared" si="5"/>
        <v>0</v>
      </c>
      <c r="AP52" s="9"/>
      <c r="AQ52" s="9"/>
      <c r="AR52" s="9"/>
      <c r="AS52" s="9"/>
      <c r="AT52" s="9"/>
      <c r="AU52" s="9"/>
      <c r="AV52" s="65">
        <f t="shared" si="6"/>
        <v>0</v>
      </c>
      <c r="AW52" s="9"/>
      <c r="AX52" s="9"/>
      <c r="AY52" s="9"/>
      <c r="AZ52" s="9"/>
      <c r="BA52" s="9"/>
      <c r="BB52" s="9"/>
      <c r="BC52" s="65">
        <f t="shared" si="7"/>
        <v>0</v>
      </c>
      <c r="BD52" s="9"/>
      <c r="BE52" s="9"/>
      <c r="BF52" s="9"/>
      <c r="BG52" s="9"/>
      <c r="BH52" s="9"/>
      <c r="BI52" s="9"/>
      <c r="BJ52" s="65">
        <f t="shared" si="8"/>
        <v>0</v>
      </c>
      <c r="BK52" s="9"/>
      <c r="BL52" s="9"/>
      <c r="BM52" s="9"/>
      <c r="BN52" s="9"/>
      <c r="BO52" s="9"/>
      <c r="BP52" s="9"/>
      <c r="BQ52" s="65">
        <f t="shared" si="9"/>
        <v>0</v>
      </c>
      <c r="BR52" s="9"/>
      <c r="BS52" s="9"/>
      <c r="BT52" s="9"/>
      <c r="BU52" s="9"/>
      <c r="BV52" s="9"/>
    </row>
    <row r="53" spans="2:74" ht="14.1" customHeight="1" x14ac:dyDescent="0.25">
      <c r="B53" s="193"/>
      <c r="C53" s="194"/>
      <c r="D53" s="8" t="s">
        <v>95</v>
      </c>
      <c r="E53" s="9"/>
      <c r="F53" s="65">
        <f t="shared" si="0"/>
        <v>0</v>
      </c>
      <c r="G53" s="9"/>
      <c r="H53" s="9"/>
      <c r="I53" s="9"/>
      <c r="J53" s="9"/>
      <c r="K53" s="9"/>
      <c r="L53" s="9"/>
      <c r="M53" s="65">
        <f t="shared" si="1"/>
        <v>0</v>
      </c>
      <c r="N53" s="9"/>
      <c r="O53" s="9"/>
      <c r="P53" s="9"/>
      <c r="Q53" s="9"/>
      <c r="R53" s="9"/>
      <c r="S53" s="9"/>
      <c r="T53" s="65">
        <f t="shared" si="2"/>
        <v>0</v>
      </c>
      <c r="U53" s="9"/>
      <c r="V53" s="9"/>
      <c r="W53" s="9"/>
      <c r="X53" s="9"/>
      <c r="Y53" s="9"/>
      <c r="Z53" s="9"/>
      <c r="AA53" s="65">
        <f t="shared" si="3"/>
        <v>0</v>
      </c>
      <c r="AB53" s="9"/>
      <c r="AC53" s="9"/>
      <c r="AD53" s="9"/>
      <c r="AE53" s="9"/>
      <c r="AF53" s="9"/>
      <c r="AG53" s="9"/>
      <c r="AH53" s="65">
        <f t="shared" si="4"/>
        <v>0</v>
      </c>
      <c r="AI53" s="9"/>
      <c r="AJ53" s="9"/>
      <c r="AK53" s="9"/>
      <c r="AL53" s="9"/>
      <c r="AM53" s="9"/>
      <c r="AN53" s="9"/>
      <c r="AO53" s="65">
        <f t="shared" si="5"/>
        <v>0</v>
      </c>
      <c r="AP53" s="9"/>
      <c r="AQ53" s="9"/>
      <c r="AR53" s="9"/>
      <c r="AS53" s="9"/>
      <c r="AT53" s="9"/>
      <c r="AU53" s="9"/>
      <c r="AV53" s="65">
        <f t="shared" si="6"/>
        <v>0</v>
      </c>
      <c r="AW53" s="9"/>
      <c r="AX53" s="9"/>
      <c r="AY53" s="9"/>
      <c r="AZ53" s="9"/>
      <c r="BA53" s="9"/>
      <c r="BB53" s="9"/>
      <c r="BC53" s="65">
        <f t="shared" si="7"/>
        <v>0</v>
      </c>
      <c r="BD53" s="9"/>
      <c r="BE53" s="9"/>
      <c r="BF53" s="9"/>
      <c r="BG53" s="9"/>
      <c r="BH53" s="9"/>
      <c r="BI53" s="9"/>
      <c r="BJ53" s="65">
        <f t="shared" si="8"/>
        <v>0</v>
      </c>
      <c r="BK53" s="9"/>
      <c r="BL53" s="9"/>
      <c r="BM53" s="9"/>
      <c r="BN53" s="9"/>
      <c r="BO53" s="9"/>
      <c r="BP53" s="9"/>
      <c r="BQ53" s="65">
        <f t="shared" si="9"/>
        <v>0</v>
      </c>
      <c r="BR53" s="9"/>
      <c r="BS53" s="9"/>
      <c r="BT53" s="9"/>
      <c r="BU53" s="9"/>
      <c r="BV53" s="9"/>
    </row>
    <row r="54" spans="2:74" x14ac:dyDescent="0.25"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C54" s="20"/>
      <c r="BD54" s="20"/>
      <c r="BE54" s="20"/>
      <c r="BF54" s="20"/>
      <c r="BG54" s="20"/>
      <c r="BH54" s="20"/>
      <c r="BJ54" s="20"/>
      <c r="BK54" s="20"/>
      <c r="BL54" s="20"/>
      <c r="BM54" s="20"/>
      <c r="BN54" s="20"/>
      <c r="BO54" s="20"/>
      <c r="BQ54" s="20"/>
      <c r="BR54" s="20"/>
      <c r="BS54" s="20"/>
      <c r="BT54" s="20"/>
      <c r="BU54" s="20"/>
      <c r="BV54" s="20"/>
    </row>
  </sheetData>
  <mergeCells count="35">
    <mergeCell ref="AB3:AF3"/>
    <mergeCell ref="S2:Y2"/>
    <mergeCell ref="BP2:BV2"/>
    <mergeCell ref="AI3:AM3"/>
    <mergeCell ref="AP3:AT3"/>
    <mergeCell ref="AW3:BA3"/>
    <mergeCell ref="BD3:BH3"/>
    <mergeCell ref="BK3:BO3"/>
    <mergeCell ref="BR3:BV3"/>
    <mergeCell ref="AG2:AM2"/>
    <mergeCell ref="AN2:AT2"/>
    <mergeCell ref="AU2:BA2"/>
    <mergeCell ref="BB2:BH2"/>
    <mergeCell ref="BI2:BO2"/>
    <mergeCell ref="Z2:AF2"/>
    <mergeCell ref="B28:B40"/>
    <mergeCell ref="C28:C31"/>
    <mergeCell ref="C32:C37"/>
    <mergeCell ref="C38:C40"/>
    <mergeCell ref="B5:B26"/>
    <mergeCell ref="C5:C8"/>
    <mergeCell ref="C9:C17"/>
    <mergeCell ref="C18:C19"/>
    <mergeCell ref="C20:C22"/>
    <mergeCell ref="C23:C26"/>
    <mergeCell ref="E2:K2"/>
    <mergeCell ref="F3:K3"/>
    <mergeCell ref="N3:R3"/>
    <mergeCell ref="L2:R2"/>
    <mergeCell ref="U3:Y3"/>
    <mergeCell ref="B42:B53"/>
    <mergeCell ref="C42:C45"/>
    <mergeCell ref="C46:C48"/>
    <mergeCell ref="C49:C50"/>
    <mergeCell ref="C51:C53"/>
  </mergeCells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41"/>
  <sheetViews>
    <sheetView workbookViewId="0"/>
  </sheetViews>
  <sheetFormatPr defaultRowHeight="15" x14ac:dyDescent="0.25"/>
  <cols>
    <col min="2" max="2" width="31.5703125" bestFit="1" customWidth="1"/>
    <col min="3" max="3" width="15.5703125" bestFit="1" customWidth="1"/>
    <col min="4" max="4" width="8.85546875" bestFit="1" customWidth="1"/>
  </cols>
  <sheetData>
    <row r="1" spans="1:9" ht="18.75" x14ac:dyDescent="0.25">
      <c r="A1" s="91" t="s">
        <v>1111</v>
      </c>
      <c r="B1" s="91" t="s">
        <v>1112</v>
      </c>
      <c r="C1" s="91" t="s">
        <v>1113</v>
      </c>
      <c r="D1" s="91" t="s">
        <v>1116</v>
      </c>
      <c r="E1" s="91" t="s">
        <v>1115</v>
      </c>
    </row>
    <row r="2" spans="1:9" x14ac:dyDescent="0.25">
      <c r="A2" s="28">
        <v>400</v>
      </c>
      <c r="B2" s="37" t="s">
        <v>1426</v>
      </c>
      <c r="C2" s="43" t="s">
        <v>1427</v>
      </c>
      <c r="D2" s="44">
        <v>0.15</v>
      </c>
      <c r="E2" s="44" t="s">
        <v>458</v>
      </c>
      <c r="I2" s="92"/>
    </row>
    <row r="3" spans="1:9" x14ac:dyDescent="0.25">
      <c r="A3" s="28">
        <v>400</v>
      </c>
      <c r="B3" s="37" t="s">
        <v>1426</v>
      </c>
      <c r="C3" s="43" t="s">
        <v>559</v>
      </c>
      <c r="D3" s="44">
        <v>1</v>
      </c>
      <c r="E3" s="44" t="s">
        <v>1428</v>
      </c>
      <c r="I3" s="92"/>
    </row>
    <row r="4" spans="1:9" x14ac:dyDescent="0.25">
      <c r="A4" s="28">
        <v>400</v>
      </c>
      <c r="B4" s="37" t="s">
        <v>1426</v>
      </c>
      <c r="C4" s="43" t="s">
        <v>687</v>
      </c>
      <c r="D4" s="44">
        <v>3.0000000000000001E-3</v>
      </c>
      <c r="E4" s="44" t="s">
        <v>458</v>
      </c>
      <c r="I4" s="92"/>
    </row>
    <row r="5" spans="1:9" x14ac:dyDescent="0.25">
      <c r="A5" s="28">
        <v>400</v>
      </c>
      <c r="B5" s="37" t="s">
        <v>1426</v>
      </c>
      <c r="C5" s="43" t="s">
        <v>1429</v>
      </c>
      <c r="D5" s="44">
        <v>2E-3</v>
      </c>
      <c r="E5" s="44" t="s">
        <v>458</v>
      </c>
    </row>
    <row r="6" spans="1:9" x14ac:dyDescent="0.25">
      <c r="A6" s="28">
        <v>400</v>
      </c>
      <c r="B6" s="37" t="s">
        <v>1426</v>
      </c>
      <c r="C6" s="43" t="s">
        <v>525</v>
      </c>
      <c r="D6" s="44">
        <v>5.0000000000000001E-3</v>
      </c>
      <c r="E6" s="44" t="s">
        <v>458</v>
      </c>
    </row>
    <row r="7" spans="1:9" x14ac:dyDescent="0.25">
      <c r="A7" s="28">
        <v>400</v>
      </c>
      <c r="B7" s="37" t="s">
        <v>1426</v>
      </c>
      <c r="C7" s="43" t="s">
        <v>480</v>
      </c>
      <c r="D7" s="44">
        <v>1.5E-3</v>
      </c>
      <c r="E7" s="44" t="s">
        <v>458</v>
      </c>
    </row>
    <row r="8" spans="1:9" x14ac:dyDescent="0.25">
      <c r="A8" s="28">
        <v>400</v>
      </c>
      <c r="B8" s="37" t="s">
        <v>1426</v>
      </c>
      <c r="C8" s="43" t="s">
        <v>1430</v>
      </c>
      <c r="D8" s="44">
        <v>1E-3</v>
      </c>
      <c r="E8" s="44" t="s">
        <v>458</v>
      </c>
    </row>
    <row r="9" spans="1:9" x14ac:dyDescent="0.25">
      <c r="A9" s="28">
        <v>400</v>
      </c>
      <c r="B9" s="37" t="s">
        <v>1426</v>
      </c>
      <c r="C9" s="43" t="s">
        <v>1431</v>
      </c>
      <c r="D9" s="44">
        <v>1E-3</v>
      </c>
      <c r="E9" s="44" t="s">
        <v>458</v>
      </c>
    </row>
    <row r="10" spans="1:9" x14ac:dyDescent="0.25">
      <c r="A10" s="28">
        <v>400</v>
      </c>
      <c r="B10" s="37" t="s">
        <v>1426</v>
      </c>
      <c r="C10" s="43" t="s">
        <v>1432</v>
      </c>
      <c r="D10" s="44">
        <v>1E-3</v>
      </c>
      <c r="E10" s="44" t="s">
        <v>458</v>
      </c>
    </row>
    <row r="11" spans="1:9" x14ac:dyDescent="0.25">
      <c r="A11" s="28">
        <v>400</v>
      </c>
      <c r="B11" s="37" t="s">
        <v>1426</v>
      </c>
      <c r="C11" s="43" t="s">
        <v>947</v>
      </c>
      <c r="D11" s="44">
        <v>0.01</v>
      </c>
      <c r="E11" s="44" t="s">
        <v>458</v>
      </c>
    </row>
    <row r="12" spans="1:9" x14ac:dyDescent="0.25">
      <c r="A12" s="28">
        <v>401</v>
      </c>
      <c r="B12" s="37" t="s">
        <v>1433</v>
      </c>
      <c r="C12" s="43" t="s">
        <v>890</v>
      </c>
      <c r="D12" s="44">
        <v>0.15</v>
      </c>
      <c r="E12" s="44" t="s">
        <v>458</v>
      </c>
    </row>
    <row r="13" spans="1:9" x14ac:dyDescent="0.25">
      <c r="A13" s="28">
        <v>401</v>
      </c>
      <c r="B13" s="37" t="s">
        <v>1433</v>
      </c>
      <c r="C13" s="43" t="s">
        <v>559</v>
      </c>
      <c r="D13" s="44">
        <v>1</v>
      </c>
      <c r="E13" s="44" t="s">
        <v>1428</v>
      </c>
    </row>
    <row r="14" spans="1:9" x14ac:dyDescent="0.25">
      <c r="A14" s="28">
        <v>401</v>
      </c>
      <c r="B14" s="37" t="s">
        <v>1433</v>
      </c>
      <c r="C14" s="43" t="s">
        <v>687</v>
      </c>
      <c r="D14" s="44">
        <v>3.0000000000000001E-3</v>
      </c>
      <c r="E14" s="44" t="s">
        <v>458</v>
      </c>
    </row>
    <row r="15" spans="1:9" x14ac:dyDescent="0.25">
      <c r="A15" s="28">
        <v>401</v>
      </c>
      <c r="B15" s="37" t="s">
        <v>1433</v>
      </c>
      <c r="C15" s="43" t="s">
        <v>1429</v>
      </c>
      <c r="D15" s="44">
        <v>2E-3</v>
      </c>
      <c r="E15" s="44" t="s">
        <v>458</v>
      </c>
    </row>
    <row r="16" spans="1:9" x14ac:dyDescent="0.25">
      <c r="A16" s="28">
        <v>401</v>
      </c>
      <c r="B16" s="37" t="s">
        <v>1433</v>
      </c>
      <c r="C16" s="43" t="s">
        <v>525</v>
      </c>
      <c r="D16" s="44">
        <v>5.0000000000000001E-3</v>
      </c>
      <c r="E16" s="44" t="s">
        <v>458</v>
      </c>
    </row>
    <row r="17" spans="1:7" x14ac:dyDescent="0.25">
      <c r="A17" s="28">
        <v>401</v>
      </c>
      <c r="B17" s="37" t="s">
        <v>1433</v>
      </c>
      <c r="C17" s="43" t="s">
        <v>480</v>
      </c>
      <c r="D17" s="44">
        <v>1.5E-3</v>
      </c>
      <c r="E17" s="44" t="s">
        <v>458</v>
      </c>
    </row>
    <row r="18" spans="1:7" x14ac:dyDescent="0.25">
      <c r="A18" s="28">
        <v>401</v>
      </c>
      <c r="B18" s="37" t="s">
        <v>1433</v>
      </c>
      <c r="C18" s="43" t="s">
        <v>1430</v>
      </c>
      <c r="D18" s="44">
        <v>1E-3</v>
      </c>
      <c r="E18" s="44" t="s">
        <v>458</v>
      </c>
    </row>
    <row r="19" spans="1:7" x14ac:dyDescent="0.25">
      <c r="A19" s="28">
        <v>401</v>
      </c>
      <c r="B19" s="37" t="s">
        <v>1433</v>
      </c>
      <c r="C19" s="43" t="s">
        <v>1431</v>
      </c>
      <c r="D19" s="44">
        <v>1E-3</v>
      </c>
      <c r="E19" s="44" t="s">
        <v>458</v>
      </c>
      <c r="G19" s="93"/>
    </row>
    <row r="20" spans="1:7" x14ac:dyDescent="0.25">
      <c r="A20" s="28">
        <v>401</v>
      </c>
      <c r="B20" s="37" t="s">
        <v>1433</v>
      </c>
      <c r="C20" s="43" t="s">
        <v>1432</v>
      </c>
      <c r="D20" s="44">
        <v>1E-3</v>
      </c>
      <c r="E20" s="44" t="s">
        <v>458</v>
      </c>
      <c r="G20" s="93"/>
    </row>
    <row r="21" spans="1:7" x14ac:dyDescent="0.25">
      <c r="A21" s="28">
        <v>401</v>
      </c>
      <c r="B21" s="37" t="s">
        <v>1433</v>
      </c>
      <c r="C21" s="43" t="s">
        <v>947</v>
      </c>
      <c r="D21" s="44">
        <v>0.01</v>
      </c>
      <c r="E21" s="44" t="s">
        <v>458</v>
      </c>
      <c r="G21" s="93"/>
    </row>
    <row r="22" spans="1:7" x14ac:dyDescent="0.25">
      <c r="A22" s="28">
        <v>402</v>
      </c>
      <c r="B22" s="37" t="s">
        <v>1434</v>
      </c>
      <c r="C22" s="43" t="s">
        <v>923</v>
      </c>
      <c r="D22" s="44">
        <v>0.01</v>
      </c>
      <c r="E22" s="44" t="s">
        <v>458</v>
      </c>
      <c r="G22" s="93"/>
    </row>
    <row r="23" spans="1:7" x14ac:dyDescent="0.25">
      <c r="A23" s="28">
        <v>402</v>
      </c>
      <c r="B23" s="37" t="s">
        <v>1434</v>
      </c>
      <c r="C23" s="43" t="s">
        <v>470</v>
      </c>
      <c r="D23" s="44">
        <v>1E-3</v>
      </c>
      <c r="E23" s="44" t="s">
        <v>458</v>
      </c>
      <c r="G23" s="93"/>
    </row>
    <row r="24" spans="1:7" x14ac:dyDescent="0.25">
      <c r="A24" s="28">
        <v>402</v>
      </c>
      <c r="B24" s="37" t="s">
        <v>1434</v>
      </c>
      <c r="C24" s="43" t="s">
        <v>1095</v>
      </c>
      <c r="D24" s="44">
        <v>1E-3</v>
      </c>
      <c r="E24" s="44" t="s">
        <v>458</v>
      </c>
      <c r="G24" s="93"/>
    </row>
    <row r="25" spans="1:7" x14ac:dyDescent="0.25">
      <c r="A25" s="28">
        <v>402</v>
      </c>
      <c r="B25" s="37" t="s">
        <v>1434</v>
      </c>
      <c r="C25" s="43" t="s">
        <v>1109</v>
      </c>
      <c r="D25" s="44">
        <v>1E-3</v>
      </c>
      <c r="E25" s="44" t="s">
        <v>458</v>
      </c>
      <c r="G25" s="93"/>
    </row>
    <row r="26" spans="1:7" x14ac:dyDescent="0.25">
      <c r="A26" s="28">
        <v>402</v>
      </c>
      <c r="B26" s="37" t="s">
        <v>1434</v>
      </c>
      <c r="C26" s="43" t="s">
        <v>1435</v>
      </c>
      <c r="D26" s="44">
        <v>2</v>
      </c>
      <c r="E26" s="44" t="s">
        <v>1010</v>
      </c>
      <c r="G26" s="93"/>
    </row>
    <row r="27" spans="1:7" x14ac:dyDescent="0.25">
      <c r="A27" s="28">
        <v>402</v>
      </c>
      <c r="B27" s="37" t="s">
        <v>1434</v>
      </c>
      <c r="C27" s="43" t="s">
        <v>478</v>
      </c>
      <c r="D27" s="44">
        <v>5</v>
      </c>
      <c r="E27" s="44" t="s">
        <v>1010</v>
      </c>
      <c r="G27" s="93"/>
    </row>
    <row r="28" spans="1:7" x14ac:dyDescent="0.25">
      <c r="A28" s="28">
        <v>403</v>
      </c>
      <c r="B28" s="37" t="s">
        <v>1436</v>
      </c>
      <c r="C28" s="43" t="s">
        <v>785</v>
      </c>
      <c r="D28" s="44">
        <v>0.05</v>
      </c>
      <c r="E28" s="44" t="s">
        <v>458</v>
      </c>
      <c r="G28" s="93"/>
    </row>
    <row r="29" spans="1:7" x14ac:dyDescent="0.25">
      <c r="A29" s="28">
        <v>403</v>
      </c>
      <c r="B29" s="37" t="s">
        <v>1436</v>
      </c>
      <c r="C29" s="43" t="s">
        <v>963</v>
      </c>
      <c r="D29" s="44">
        <v>0.05</v>
      </c>
      <c r="E29" s="44" t="s">
        <v>458</v>
      </c>
      <c r="G29" s="93"/>
    </row>
    <row r="30" spans="1:7" x14ac:dyDescent="0.25">
      <c r="A30" s="28">
        <v>403</v>
      </c>
      <c r="B30" s="37" t="s">
        <v>1436</v>
      </c>
      <c r="C30" s="43" t="s">
        <v>1437</v>
      </c>
      <c r="D30" s="44">
        <v>0.05</v>
      </c>
      <c r="E30" s="44" t="s">
        <v>458</v>
      </c>
      <c r="G30" s="93"/>
    </row>
    <row r="31" spans="1:7" x14ac:dyDescent="0.25">
      <c r="A31" s="28">
        <v>403</v>
      </c>
      <c r="B31" s="37" t="s">
        <v>1436</v>
      </c>
      <c r="C31" s="43" t="s">
        <v>554</v>
      </c>
      <c r="D31" s="44">
        <v>0.02</v>
      </c>
      <c r="E31" s="44" t="s">
        <v>458</v>
      </c>
    </row>
    <row r="32" spans="1:7" x14ac:dyDescent="0.25">
      <c r="A32" s="28">
        <v>403</v>
      </c>
      <c r="B32" s="37" t="s">
        <v>1436</v>
      </c>
      <c r="C32" s="43" t="s">
        <v>509</v>
      </c>
      <c r="D32" s="44">
        <v>0.01</v>
      </c>
      <c r="E32" s="44" t="s">
        <v>458</v>
      </c>
    </row>
    <row r="33" spans="1:5" x14ac:dyDescent="0.25">
      <c r="A33" s="28">
        <v>403</v>
      </c>
      <c r="B33" s="37" t="s">
        <v>1436</v>
      </c>
      <c r="C33" s="43" t="s">
        <v>480</v>
      </c>
      <c r="D33" s="44">
        <v>5.0000000000000001E-3</v>
      </c>
      <c r="E33" s="44" t="s">
        <v>458</v>
      </c>
    </row>
    <row r="34" spans="1:5" x14ac:dyDescent="0.25">
      <c r="A34" s="28">
        <v>403</v>
      </c>
      <c r="B34" s="37" t="s">
        <v>1436</v>
      </c>
      <c r="C34" s="43" t="s">
        <v>534</v>
      </c>
      <c r="D34" s="44">
        <v>1E-3</v>
      </c>
      <c r="E34" s="44" t="s">
        <v>458</v>
      </c>
    </row>
    <row r="35" spans="1:5" x14ac:dyDescent="0.25">
      <c r="A35" s="28">
        <v>403</v>
      </c>
      <c r="B35" s="37" t="s">
        <v>1436</v>
      </c>
      <c r="C35" s="43" t="s">
        <v>493</v>
      </c>
      <c r="D35" s="44">
        <v>1E-3</v>
      </c>
      <c r="E35" s="44" t="s">
        <v>458</v>
      </c>
    </row>
    <row r="36" spans="1:5" x14ac:dyDescent="0.25">
      <c r="A36" s="28">
        <v>403</v>
      </c>
      <c r="B36" s="37" t="s">
        <v>1436</v>
      </c>
      <c r="C36" s="43" t="s">
        <v>687</v>
      </c>
      <c r="D36" s="44">
        <v>1E-3</v>
      </c>
      <c r="E36" s="44" t="s">
        <v>458</v>
      </c>
    </row>
    <row r="37" spans="1:5" x14ac:dyDescent="0.25">
      <c r="A37" s="28">
        <v>403</v>
      </c>
      <c r="B37" s="37" t="s">
        <v>1436</v>
      </c>
      <c r="C37" s="43" t="s">
        <v>1438</v>
      </c>
      <c r="D37" s="44">
        <v>0.02</v>
      </c>
      <c r="E37" s="44" t="s">
        <v>458</v>
      </c>
    </row>
    <row r="38" spans="1:5" x14ac:dyDescent="0.25">
      <c r="A38" s="28">
        <v>403</v>
      </c>
      <c r="B38" s="37" t="s">
        <v>1436</v>
      </c>
      <c r="C38" s="43" t="s">
        <v>1439</v>
      </c>
      <c r="D38" s="44">
        <v>1E-3</v>
      </c>
      <c r="E38" s="44" t="s">
        <v>458</v>
      </c>
    </row>
    <row r="39" spans="1:5" x14ac:dyDescent="0.25">
      <c r="A39" s="28">
        <v>403</v>
      </c>
      <c r="B39" s="37" t="s">
        <v>1436</v>
      </c>
      <c r="C39" s="43" t="s">
        <v>470</v>
      </c>
      <c r="D39" s="44">
        <v>1E-3</v>
      </c>
      <c r="E39" s="44" t="s">
        <v>458</v>
      </c>
    </row>
    <row r="40" spans="1:5" x14ac:dyDescent="0.25">
      <c r="A40" s="28">
        <v>403</v>
      </c>
      <c r="B40" s="37" t="s">
        <v>1436</v>
      </c>
      <c r="C40" s="43" t="s">
        <v>478</v>
      </c>
      <c r="D40" s="44">
        <v>0.1</v>
      </c>
      <c r="E40" s="44" t="s">
        <v>1010</v>
      </c>
    </row>
    <row r="41" spans="1:5" x14ac:dyDescent="0.25">
      <c r="A41" s="28">
        <v>403</v>
      </c>
      <c r="B41" s="37" t="s">
        <v>1436</v>
      </c>
      <c r="C41" s="43" t="s">
        <v>1440</v>
      </c>
      <c r="D41" s="44">
        <v>5.0000000000000001E-3</v>
      </c>
      <c r="E41" s="44" t="s">
        <v>458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tabColor theme="9"/>
  </sheetPr>
  <dimension ref="A1:H2935"/>
  <sheetViews>
    <sheetView tabSelected="1" topLeftCell="A2" zoomScale="90" zoomScaleNormal="90" workbookViewId="0">
      <pane xSplit="1" ySplit="2" topLeftCell="B2919" activePane="bottomRight" state="frozen"/>
      <selection activeCell="B28" sqref="B28"/>
      <selection pane="topRight" activeCell="B28" sqref="B28"/>
      <selection pane="bottomLeft" activeCell="B28" sqref="B28"/>
      <selection pane="bottomRight" activeCell="B2932" sqref="B2932"/>
    </sheetView>
  </sheetViews>
  <sheetFormatPr defaultColWidth="8.85546875" defaultRowHeight="15" x14ac:dyDescent="0.25"/>
  <cols>
    <col min="1" max="1" width="15.140625" style="45" customWidth="1"/>
    <col min="2" max="2" width="95.5703125" style="53" bestFit="1" customWidth="1"/>
    <col min="3" max="3" width="31.42578125" style="45" bestFit="1" customWidth="1"/>
    <col min="4" max="4" width="13.28515625" style="54" bestFit="1" customWidth="1"/>
    <col min="5" max="5" width="7.85546875" style="45" bestFit="1" customWidth="1"/>
    <col min="6" max="6" width="31.28515625" style="45" bestFit="1" customWidth="1"/>
    <col min="7" max="16384" width="8.85546875" style="45"/>
  </cols>
  <sheetData>
    <row r="1" spans="1:6" x14ac:dyDescent="0.25">
      <c r="A1" s="43"/>
      <c r="B1" s="37"/>
      <c r="C1" s="43"/>
      <c r="D1" s="44"/>
      <c r="E1" s="43"/>
    </row>
    <row r="2" spans="1:6" ht="24.6" customHeight="1" x14ac:dyDescent="0.25">
      <c r="A2" s="43"/>
      <c r="B2" s="37"/>
      <c r="C2" s="43"/>
      <c r="D2" s="44"/>
      <c r="E2" s="43"/>
    </row>
    <row r="3" spans="1:6" ht="18.75" x14ac:dyDescent="0.25">
      <c r="A3" s="55" t="s">
        <v>1111</v>
      </c>
      <c r="B3" s="56" t="s">
        <v>1112</v>
      </c>
      <c r="C3" s="56" t="s">
        <v>1113</v>
      </c>
      <c r="D3" s="56" t="s">
        <v>1116</v>
      </c>
      <c r="E3" s="56" t="s">
        <v>1115</v>
      </c>
      <c r="F3" s="140" t="s">
        <v>1554</v>
      </c>
    </row>
    <row r="4" spans="1:6" x14ac:dyDescent="0.25">
      <c r="A4" s="46"/>
      <c r="B4" s="98" t="s">
        <v>398</v>
      </c>
      <c r="C4" s="89" t="s">
        <v>948</v>
      </c>
      <c r="D4" s="141">
        <v>1</v>
      </c>
      <c r="E4" s="142" t="s">
        <v>450</v>
      </c>
    </row>
    <row r="5" spans="1:6" x14ac:dyDescent="0.25">
      <c r="A5" s="46">
        <v>59</v>
      </c>
      <c r="B5" s="143" t="s">
        <v>189</v>
      </c>
      <c r="C5" s="89" t="s">
        <v>452</v>
      </c>
      <c r="D5" s="144">
        <v>0.25</v>
      </c>
      <c r="E5" s="142" t="s">
        <v>450</v>
      </c>
    </row>
    <row r="6" spans="1:6" x14ac:dyDescent="0.25">
      <c r="A6" s="46">
        <v>59</v>
      </c>
      <c r="B6" s="143" t="s">
        <v>189</v>
      </c>
      <c r="C6" s="143" t="s">
        <v>566</v>
      </c>
      <c r="D6" s="144">
        <v>0.08</v>
      </c>
      <c r="E6" s="142" t="s">
        <v>448</v>
      </c>
    </row>
    <row r="7" spans="1:6" x14ac:dyDescent="0.25">
      <c r="A7" s="46">
        <v>59</v>
      </c>
      <c r="B7" s="143" t="s">
        <v>189</v>
      </c>
      <c r="C7" s="143" t="s">
        <v>449</v>
      </c>
      <c r="D7" s="144">
        <v>0.01</v>
      </c>
      <c r="E7" s="142" t="s">
        <v>450</v>
      </c>
    </row>
    <row r="8" spans="1:6" x14ac:dyDescent="0.25">
      <c r="A8" s="46">
        <v>81</v>
      </c>
      <c r="B8" s="143" t="s">
        <v>198</v>
      </c>
      <c r="C8" s="89" t="s">
        <v>948</v>
      </c>
      <c r="D8" s="141">
        <v>0.03</v>
      </c>
      <c r="E8" s="145" t="s">
        <v>450</v>
      </c>
      <c r="F8" s="45" t="s">
        <v>1553</v>
      </c>
    </row>
    <row r="9" spans="1:6" x14ac:dyDescent="0.25">
      <c r="A9" s="46">
        <v>81</v>
      </c>
      <c r="B9" s="143" t="s">
        <v>198</v>
      </c>
      <c r="C9" s="89" t="s">
        <v>949</v>
      </c>
      <c r="D9" s="141">
        <v>5.0000000000000001E-3</v>
      </c>
      <c r="E9" s="145" t="s">
        <v>448</v>
      </c>
    </row>
    <row r="10" spans="1:6" x14ac:dyDescent="0.25">
      <c r="A10" s="46">
        <v>81</v>
      </c>
      <c r="B10" s="143" t="s">
        <v>198</v>
      </c>
      <c r="C10" s="146" t="s">
        <v>612</v>
      </c>
      <c r="D10" s="141">
        <v>0.1</v>
      </c>
      <c r="E10" s="145" t="s">
        <v>450</v>
      </c>
    </row>
    <row r="11" spans="1:6" x14ac:dyDescent="0.25">
      <c r="A11" s="46">
        <v>81</v>
      </c>
      <c r="B11" s="143" t="s">
        <v>198</v>
      </c>
      <c r="C11" s="89" t="s">
        <v>950</v>
      </c>
      <c r="D11" s="141">
        <v>0.05</v>
      </c>
      <c r="E11" s="145" t="s">
        <v>450</v>
      </c>
    </row>
    <row r="12" spans="1:6" x14ac:dyDescent="0.25">
      <c r="A12" s="46">
        <v>81</v>
      </c>
      <c r="B12" s="143" t="s">
        <v>198</v>
      </c>
      <c r="C12" s="89" t="s">
        <v>459</v>
      </c>
      <c r="D12" s="141">
        <v>0.05</v>
      </c>
      <c r="E12" s="145" t="s">
        <v>450</v>
      </c>
    </row>
    <row r="13" spans="1:6" x14ac:dyDescent="0.25">
      <c r="A13" s="46">
        <v>81</v>
      </c>
      <c r="B13" s="143" t="s">
        <v>198</v>
      </c>
      <c r="C13" s="89" t="s">
        <v>559</v>
      </c>
      <c r="D13" s="141">
        <v>1</v>
      </c>
      <c r="E13" s="145" t="s">
        <v>749</v>
      </c>
    </row>
    <row r="14" spans="1:6" x14ac:dyDescent="0.25">
      <c r="A14" s="46">
        <v>81</v>
      </c>
      <c r="B14" s="143" t="s">
        <v>198</v>
      </c>
      <c r="C14" s="89" t="s">
        <v>538</v>
      </c>
      <c r="D14" s="141">
        <v>0.03</v>
      </c>
      <c r="E14" s="145" t="s">
        <v>450</v>
      </c>
    </row>
    <row r="15" spans="1:6" x14ac:dyDescent="0.25">
      <c r="A15" s="46">
        <v>81</v>
      </c>
      <c r="B15" s="143" t="s">
        <v>198</v>
      </c>
      <c r="C15" s="89" t="s">
        <v>607</v>
      </c>
      <c r="D15" s="141">
        <v>0.01</v>
      </c>
      <c r="E15" s="145" t="s">
        <v>450</v>
      </c>
    </row>
    <row r="16" spans="1:6" x14ac:dyDescent="0.25">
      <c r="A16" s="46">
        <v>81</v>
      </c>
      <c r="B16" s="143" t="s">
        <v>198</v>
      </c>
      <c r="C16" s="147" t="s">
        <v>532</v>
      </c>
      <c r="D16" s="141">
        <v>0.01</v>
      </c>
      <c r="E16" s="145" t="s">
        <v>450</v>
      </c>
    </row>
    <row r="17" spans="1:5" x14ac:dyDescent="0.25">
      <c r="A17" s="46">
        <v>81</v>
      </c>
      <c r="B17" s="143" t="s">
        <v>198</v>
      </c>
      <c r="C17" s="143" t="s">
        <v>449</v>
      </c>
      <c r="D17" s="141">
        <v>0.01</v>
      </c>
      <c r="E17" s="145" t="s">
        <v>450</v>
      </c>
    </row>
    <row r="18" spans="1:5" x14ac:dyDescent="0.25">
      <c r="A18" s="46">
        <v>254</v>
      </c>
      <c r="B18" s="143" t="s">
        <v>286</v>
      </c>
      <c r="C18" s="89" t="s">
        <v>491</v>
      </c>
      <c r="D18" s="148">
        <v>0.25</v>
      </c>
      <c r="E18" s="145" t="s">
        <v>450</v>
      </c>
    </row>
    <row r="19" spans="1:5" x14ac:dyDescent="0.25">
      <c r="A19" s="46">
        <v>254</v>
      </c>
      <c r="B19" s="143" t="s">
        <v>286</v>
      </c>
      <c r="C19" s="146" t="s">
        <v>467</v>
      </c>
      <c r="D19" s="148">
        <v>3.0000000000000001E-3</v>
      </c>
      <c r="E19" s="145" t="s">
        <v>448</v>
      </c>
    </row>
    <row r="20" spans="1:5" x14ac:dyDescent="0.25">
      <c r="A20" s="46">
        <v>254</v>
      </c>
      <c r="B20" s="143" t="s">
        <v>286</v>
      </c>
      <c r="C20" s="143" t="s">
        <v>487</v>
      </c>
      <c r="D20" s="148">
        <v>1E-3</v>
      </c>
      <c r="E20" s="145" t="s">
        <v>450</v>
      </c>
    </row>
    <row r="21" spans="1:5" x14ac:dyDescent="0.25">
      <c r="A21" s="46">
        <v>254</v>
      </c>
      <c r="B21" s="143" t="s">
        <v>286</v>
      </c>
      <c r="C21" s="146" t="s">
        <v>488</v>
      </c>
      <c r="D21" s="148">
        <v>2E-3</v>
      </c>
      <c r="E21" s="145" t="s">
        <v>450</v>
      </c>
    </row>
    <row r="22" spans="1:5" x14ac:dyDescent="0.25">
      <c r="A22" s="46">
        <v>169</v>
      </c>
      <c r="B22" s="143" t="s">
        <v>59</v>
      </c>
      <c r="C22" s="146" t="s">
        <v>491</v>
      </c>
      <c r="D22" s="148">
        <v>0.28000000000000003</v>
      </c>
      <c r="E22" s="145" t="s">
        <v>450</v>
      </c>
    </row>
    <row r="23" spans="1:5" x14ac:dyDescent="0.25">
      <c r="A23" s="46">
        <v>169</v>
      </c>
      <c r="B23" s="143" t="s">
        <v>59</v>
      </c>
      <c r="C23" s="146" t="s">
        <v>467</v>
      </c>
      <c r="D23" s="148">
        <v>3.0000000000000001E-3</v>
      </c>
      <c r="E23" s="145" t="s">
        <v>448</v>
      </c>
    </row>
    <row r="24" spans="1:5" x14ac:dyDescent="0.25">
      <c r="A24" s="46">
        <v>169</v>
      </c>
      <c r="B24" s="143" t="s">
        <v>59</v>
      </c>
      <c r="C24" s="146" t="s">
        <v>636</v>
      </c>
      <c r="D24" s="149">
        <v>5.0000000000000001E-4</v>
      </c>
      <c r="E24" s="145" t="s">
        <v>450</v>
      </c>
    </row>
    <row r="25" spans="1:5" x14ac:dyDescent="0.25">
      <c r="A25" s="46">
        <v>169</v>
      </c>
      <c r="B25" s="143" t="s">
        <v>59</v>
      </c>
      <c r="C25" s="146" t="s">
        <v>488</v>
      </c>
      <c r="D25" s="148">
        <v>1E-3</v>
      </c>
      <c r="E25" s="145" t="s">
        <v>450</v>
      </c>
    </row>
    <row r="26" spans="1:5" x14ac:dyDescent="0.25">
      <c r="A26" s="46"/>
      <c r="B26" s="98" t="s">
        <v>388</v>
      </c>
      <c r="C26" s="89" t="s">
        <v>1542</v>
      </c>
      <c r="D26" s="141">
        <v>1</v>
      </c>
      <c r="E26" s="150" t="s">
        <v>450</v>
      </c>
    </row>
    <row r="27" spans="1:5" x14ac:dyDescent="0.25">
      <c r="A27" s="46"/>
      <c r="B27" s="98" t="s">
        <v>404</v>
      </c>
      <c r="C27" s="89" t="s">
        <v>785</v>
      </c>
      <c r="D27" s="141">
        <v>1</v>
      </c>
      <c r="E27" s="150" t="s">
        <v>450</v>
      </c>
    </row>
    <row r="28" spans="1:5" x14ac:dyDescent="0.25">
      <c r="A28" s="46">
        <v>171</v>
      </c>
      <c r="B28" s="143" t="s">
        <v>61</v>
      </c>
      <c r="C28" s="146" t="s">
        <v>404</v>
      </c>
      <c r="D28" s="148">
        <v>0.12</v>
      </c>
      <c r="E28" s="145" t="s">
        <v>458</v>
      </c>
    </row>
    <row r="29" spans="1:5" x14ac:dyDescent="0.25">
      <c r="A29" s="46">
        <v>171</v>
      </c>
      <c r="B29" s="143" t="s">
        <v>61</v>
      </c>
      <c r="C29" s="146" t="s">
        <v>694</v>
      </c>
      <c r="D29" s="148">
        <v>3.0000000000000001E-3</v>
      </c>
      <c r="E29" s="145" t="s">
        <v>458</v>
      </c>
    </row>
    <row r="30" spans="1:5" x14ac:dyDescent="0.25">
      <c r="A30" s="46">
        <v>171</v>
      </c>
      <c r="B30" s="143" t="s">
        <v>61</v>
      </c>
      <c r="C30" s="146" t="s">
        <v>614</v>
      </c>
      <c r="D30" s="149">
        <v>5.0000000000000001E-4</v>
      </c>
      <c r="E30" s="145" t="s">
        <v>458</v>
      </c>
    </row>
    <row r="31" spans="1:5" x14ac:dyDescent="0.25">
      <c r="A31" s="46">
        <v>171</v>
      </c>
      <c r="B31" s="143" t="s">
        <v>61</v>
      </c>
      <c r="C31" s="146" t="s">
        <v>466</v>
      </c>
      <c r="D31" s="149">
        <v>1E-4</v>
      </c>
      <c r="E31" s="145" t="s">
        <v>458</v>
      </c>
    </row>
    <row r="32" spans="1:5" x14ac:dyDescent="0.25">
      <c r="A32" s="46">
        <v>171</v>
      </c>
      <c r="B32" s="143" t="s">
        <v>61</v>
      </c>
      <c r="C32" s="146" t="s">
        <v>776</v>
      </c>
      <c r="D32" s="151">
        <v>1</v>
      </c>
      <c r="E32" s="145" t="s">
        <v>579</v>
      </c>
    </row>
    <row r="33" spans="1:5" x14ac:dyDescent="0.25">
      <c r="A33" s="46">
        <v>171</v>
      </c>
      <c r="B33" s="143" t="s">
        <v>61</v>
      </c>
      <c r="C33" s="89" t="s">
        <v>629</v>
      </c>
      <c r="D33" s="149">
        <v>2.0000000000000001E-4</v>
      </c>
      <c r="E33" s="145" t="s">
        <v>458</v>
      </c>
    </row>
    <row r="34" spans="1:5" x14ac:dyDescent="0.25">
      <c r="A34" s="46">
        <v>171</v>
      </c>
      <c r="B34" s="143" t="s">
        <v>61</v>
      </c>
      <c r="C34" s="146" t="s">
        <v>573</v>
      </c>
      <c r="D34" s="149">
        <v>2.0000000000000001E-4</v>
      </c>
      <c r="E34" s="145" t="s">
        <v>458</v>
      </c>
    </row>
    <row r="35" spans="1:5" x14ac:dyDescent="0.25">
      <c r="A35" s="46">
        <v>171</v>
      </c>
      <c r="B35" s="143" t="s">
        <v>61</v>
      </c>
      <c r="C35" s="152" t="s">
        <v>503</v>
      </c>
      <c r="D35" s="149">
        <v>2.0000000000000001E-4</v>
      </c>
      <c r="E35" s="145" t="s">
        <v>458</v>
      </c>
    </row>
    <row r="36" spans="1:5" x14ac:dyDescent="0.25">
      <c r="A36" s="46">
        <v>171</v>
      </c>
      <c r="B36" s="143" t="s">
        <v>61</v>
      </c>
      <c r="C36" s="146" t="s">
        <v>621</v>
      </c>
      <c r="D36" s="149">
        <v>1E-4</v>
      </c>
      <c r="E36" s="145" t="s">
        <v>458</v>
      </c>
    </row>
    <row r="37" spans="1:5" x14ac:dyDescent="0.25">
      <c r="A37" s="46">
        <v>171</v>
      </c>
      <c r="B37" s="143" t="s">
        <v>61</v>
      </c>
      <c r="C37" s="146" t="s">
        <v>624</v>
      </c>
      <c r="D37" s="149">
        <v>1E-4</v>
      </c>
      <c r="E37" s="145" t="s">
        <v>458</v>
      </c>
    </row>
    <row r="38" spans="1:5" x14ac:dyDescent="0.25">
      <c r="A38" s="46">
        <v>171</v>
      </c>
      <c r="B38" s="143" t="s">
        <v>61</v>
      </c>
      <c r="C38" s="143" t="s">
        <v>578</v>
      </c>
      <c r="D38" s="151">
        <v>1</v>
      </c>
      <c r="E38" s="145" t="s">
        <v>579</v>
      </c>
    </row>
    <row r="39" spans="1:5" x14ac:dyDescent="0.25">
      <c r="A39" s="46">
        <v>171</v>
      </c>
      <c r="B39" s="143" t="s">
        <v>61</v>
      </c>
      <c r="C39" s="146" t="s">
        <v>823</v>
      </c>
      <c r="D39" s="153">
        <v>1E-4</v>
      </c>
      <c r="E39" s="145" t="s">
        <v>458</v>
      </c>
    </row>
    <row r="40" spans="1:5" x14ac:dyDescent="0.25">
      <c r="A40" s="46">
        <v>17</v>
      </c>
      <c r="B40" s="143" t="s">
        <v>163</v>
      </c>
      <c r="C40" s="143" t="s">
        <v>404</v>
      </c>
      <c r="D40" s="144">
        <v>0.18</v>
      </c>
      <c r="E40" s="142" t="s">
        <v>450</v>
      </c>
    </row>
    <row r="41" spans="1:5" x14ac:dyDescent="0.25">
      <c r="A41" s="46">
        <v>17</v>
      </c>
      <c r="B41" s="143" t="s">
        <v>163</v>
      </c>
      <c r="C41" s="143" t="s">
        <v>480</v>
      </c>
      <c r="D41" s="144">
        <v>1E-3</v>
      </c>
      <c r="E41" s="142" t="s">
        <v>450</v>
      </c>
    </row>
    <row r="42" spans="1:5" x14ac:dyDescent="0.25">
      <c r="A42" s="46">
        <v>17</v>
      </c>
      <c r="B42" s="143" t="s">
        <v>163</v>
      </c>
      <c r="C42" s="143" t="s">
        <v>580</v>
      </c>
      <c r="D42" s="144">
        <v>3.5000000000000003E-2</v>
      </c>
      <c r="E42" s="142" t="s">
        <v>458</v>
      </c>
    </row>
    <row r="43" spans="1:5" x14ac:dyDescent="0.25">
      <c r="A43" s="46">
        <v>17</v>
      </c>
      <c r="B43" s="143" t="s">
        <v>163</v>
      </c>
      <c r="C43" s="143" t="s">
        <v>500</v>
      </c>
      <c r="D43" s="144">
        <v>2.5000000000000001E-2</v>
      </c>
      <c r="E43" s="142" t="s">
        <v>458</v>
      </c>
    </row>
    <row r="44" spans="1:5" x14ac:dyDescent="0.25">
      <c r="A44" s="46">
        <v>17</v>
      </c>
      <c r="B44" s="143" t="s">
        <v>163</v>
      </c>
      <c r="C44" s="143" t="s">
        <v>488</v>
      </c>
      <c r="D44" s="144">
        <v>2E-3</v>
      </c>
      <c r="E44" s="142" t="s">
        <v>450</v>
      </c>
    </row>
    <row r="45" spans="1:5" x14ac:dyDescent="0.25">
      <c r="A45" s="46">
        <v>17</v>
      </c>
      <c r="B45" s="143" t="s">
        <v>163</v>
      </c>
      <c r="C45" s="143" t="s">
        <v>487</v>
      </c>
      <c r="D45" s="144">
        <v>1E-3</v>
      </c>
      <c r="E45" s="142" t="s">
        <v>450</v>
      </c>
    </row>
    <row r="46" spans="1:5" x14ac:dyDescent="0.25">
      <c r="A46" s="46">
        <v>17</v>
      </c>
      <c r="B46" s="143" t="s">
        <v>163</v>
      </c>
      <c r="C46" s="143" t="s">
        <v>467</v>
      </c>
      <c r="D46" s="144">
        <v>0.05</v>
      </c>
      <c r="E46" s="142" t="s">
        <v>448</v>
      </c>
    </row>
    <row r="47" spans="1:5" x14ac:dyDescent="0.25">
      <c r="A47" s="46">
        <v>17</v>
      </c>
      <c r="B47" s="143" t="s">
        <v>163</v>
      </c>
      <c r="C47" s="146" t="s">
        <v>477</v>
      </c>
      <c r="D47" s="144">
        <v>0.02</v>
      </c>
      <c r="E47" s="142" t="s">
        <v>458</v>
      </c>
    </row>
    <row r="48" spans="1:5" x14ac:dyDescent="0.25">
      <c r="A48" s="46">
        <v>17</v>
      </c>
      <c r="B48" s="143" t="s">
        <v>163</v>
      </c>
      <c r="C48" s="143" t="s">
        <v>479</v>
      </c>
      <c r="D48" s="144">
        <v>1E-3</v>
      </c>
      <c r="E48" s="142" t="s">
        <v>458</v>
      </c>
    </row>
    <row r="49" spans="1:5" x14ac:dyDescent="0.25">
      <c r="A49" s="46">
        <v>221</v>
      </c>
      <c r="B49" s="143" t="s">
        <v>273</v>
      </c>
      <c r="C49" s="89" t="s">
        <v>916</v>
      </c>
      <c r="D49" s="141">
        <v>0.06</v>
      </c>
      <c r="E49" s="145" t="s">
        <v>450</v>
      </c>
    </row>
    <row r="50" spans="1:5" x14ac:dyDescent="0.25">
      <c r="A50" s="46">
        <v>221</v>
      </c>
      <c r="B50" s="143" t="s">
        <v>273</v>
      </c>
      <c r="C50" s="89" t="s">
        <v>480</v>
      </c>
      <c r="D50" s="141">
        <v>3.0000000000000001E-3</v>
      </c>
      <c r="E50" s="141" t="s">
        <v>450</v>
      </c>
    </row>
    <row r="51" spans="1:5" x14ac:dyDescent="0.25">
      <c r="A51" s="46">
        <v>221</v>
      </c>
      <c r="B51" s="143" t="s">
        <v>273</v>
      </c>
      <c r="C51" s="89" t="s">
        <v>917</v>
      </c>
      <c r="D51" s="141">
        <v>0.03</v>
      </c>
      <c r="E51" s="145" t="s">
        <v>450</v>
      </c>
    </row>
    <row r="52" spans="1:5" x14ac:dyDescent="0.25">
      <c r="A52" s="46">
        <v>221</v>
      </c>
      <c r="B52" s="143" t="s">
        <v>273</v>
      </c>
      <c r="C52" s="89" t="s">
        <v>470</v>
      </c>
      <c r="D52" s="141">
        <v>2E-3</v>
      </c>
      <c r="E52" s="141" t="s">
        <v>450</v>
      </c>
    </row>
    <row r="53" spans="1:5" x14ac:dyDescent="0.25">
      <c r="A53" s="46">
        <v>221</v>
      </c>
      <c r="B53" s="143" t="s">
        <v>273</v>
      </c>
      <c r="C53" s="89" t="s">
        <v>478</v>
      </c>
      <c r="D53" s="141">
        <v>3.0000000000000001E-3</v>
      </c>
      <c r="E53" s="141" t="s">
        <v>448</v>
      </c>
    </row>
    <row r="54" spans="1:5" x14ac:dyDescent="0.25">
      <c r="A54" s="46">
        <v>221</v>
      </c>
      <c r="B54" s="143" t="s">
        <v>273</v>
      </c>
      <c r="C54" s="89" t="s">
        <v>516</v>
      </c>
      <c r="D54" s="141">
        <v>1E-3</v>
      </c>
      <c r="E54" s="141" t="s">
        <v>450</v>
      </c>
    </row>
    <row r="55" spans="1:5" x14ac:dyDescent="0.25">
      <c r="A55" s="46">
        <v>325</v>
      </c>
      <c r="B55" s="143" t="s">
        <v>353</v>
      </c>
      <c r="C55" s="89" t="s">
        <v>1038</v>
      </c>
      <c r="D55" s="141">
        <v>0.09</v>
      </c>
      <c r="E55" s="98" t="s">
        <v>450</v>
      </c>
    </row>
    <row r="56" spans="1:5" x14ac:dyDescent="0.25">
      <c r="A56" s="46">
        <v>325</v>
      </c>
      <c r="B56" s="143" t="s">
        <v>353</v>
      </c>
      <c r="C56" s="89" t="s">
        <v>1039</v>
      </c>
      <c r="D56" s="48">
        <v>5.0000000000000001E-3</v>
      </c>
      <c r="E56" s="98" t="s">
        <v>450</v>
      </c>
    </row>
    <row r="57" spans="1:5" x14ac:dyDescent="0.25">
      <c r="A57" s="46">
        <v>325</v>
      </c>
      <c r="B57" s="143" t="s">
        <v>353</v>
      </c>
      <c r="C57" s="89" t="s">
        <v>818</v>
      </c>
      <c r="D57" s="48">
        <v>2E-3</v>
      </c>
      <c r="E57" s="98" t="s">
        <v>450</v>
      </c>
    </row>
    <row r="58" spans="1:5" x14ac:dyDescent="0.25">
      <c r="A58" s="46">
        <v>325</v>
      </c>
      <c r="B58" s="143" t="s">
        <v>353</v>
      </c>
      <c r="C58" s="89" t="s">
        <v>1040</v>
      </c>
      <c r="D58" s="48">
        <v>0.01</v>
      </c>
      <c r="E58" s="98" t="s">
        <v>450</v>
      </c>
    </row>
    <row r="59" spans="1:5" x14ac:dyDescent="0.25">
      <c r="A59" s="46">
        <v>325</v>
      </c>
      <c r="B59" s="143" t="s">
        <v>353</v>
      </c>
      <c r="C59" s="89" t="s">
        <v>533</v>
      </c>
      <c r="D59" s="48">
        <v>2E-3</v>
      </c>
      <c r="E59" s="98" t="s">
        <v>450</v>
      </c>
    </row>
    <row r="60" spans="1:5" x14ac:dyDescent="0.25">
      <c r="A60" s="46">
        <v>325</v>
      </c>
      <c r="B60" s="143" t="s">
        <v>353</v>
      </c>
      <c r="C60" s="89" t="s">
        <v>1041</v>
      </c>
      <c r="D60" s="141">
        <v>1E-3</v>
      </c>
      <c r="E60" s="98" t="s">
        <v>450</v>
      </c>
    </row>
    <row r="61" spans="1:5" x14ac:dyDescent="0.25">
      <c r="A61" s="46">
        <v>325</v>
      </c>
      <c r="B61" s="143" t="s">
        <v>353</v>
      </c>
      <c r="C61" s="89" t="s">
        <v>1042</v>
      </c>
      <c r="D61" s="48">
        <v>1E-3</v>
      </c>
      <c r="E61" s="98" t="s">
        <v>450</v>
      </c>
    </row>
    <row r="62" spans="1:5" x14ac:dyDescent="0.25">
      <c r="A62" s="46">
        <v>325</v>
      </c>
      <c r="B62" s="143" t="s">
        <v>353</v>
      </c>
      <c r="C62" s="89" t="s">
        <v>898</v>
      </c>
      <c r="D62" s="48">
        <v>2E-3</v>
      </c>
      <c r="E62" s="98" t="s">
        <v>448</v>
      </c>
    </row>
    <row r="63" spans="1:5" x14ac:dyDescent="0.25">
      <c r="A63" s="46">
        <v>325</v>
      </c>
      <c r="B63" s="143" t="s">
        <v>353</v>
      </c>
      <c r="C63" s="89" t="s">
        <v>923</v>
      </c>
      <c r="D63" s="48">
        <v>5.0000000000000001E-3</v>
      </c>
      <c r="E63" s="98" t="s">
        <v>450</v>
      </c>
    </row>
    <row r="64" spans="1:5" x14ac:dyDescent="0.25">
      <c r="A64" s="46">
        <v>325</v>
      </c>
      <c r="B64" s="143" t="s">
        <v>353</v>
      </c>
      <c r="C64" s="89" t="s">
        <v>478</v>
      </c>
      <c r="D64" s="48">
        <v>3.0000000000000001E-3</v>
      </c>
      <c r="E64" s="98" t="s">
        <v>448</v>
      </c>
    </row>
    <row r="65" spans="1:5" x14ac:dyDescent="0.25">
      <c r="A65" s="46">
        <v>325</v>
      </c>
      <c r="B65" s="143" t="s">
        <v>353</v>
      </c>
      <c r="C65" s="89" t="s">
        <v>535</v>
      </c>
      <c r="D65" s="48">
        <v>3.0000000000000001E-3</v>
      </c>
      <c r="E65" s="98" t="s">
        <v>448</v>
      </c>
    </row>
    <row r="66" spans="1:5" x14ac:dyDescent="0.25">
      <c r="A66" s="46"/>
      <c r="B66" s="98" t="s">
        <v>381</v>
      </c>
      <c r="C66" s="89" t="s">
        <v>1533</v>
      </c>
      <c r="D66" s="141">
        <v>1</v>
      </c>
      <c r="E66" s="150" t="s">
        <v>450</v>
      </c>
    </row>
    <row r="67" spans="1:5" x14ac:dyDescent="0.25">
      <c r="A67" s="46">
        <v>11</v>
      </c>
      <c r="B67" s="143" t="s">
        <v>157</v>
      </c>
      <c r="C67" s="90" t="s">
        <v>471</v>
      </c>
      <c r="D67" s="154">
        <v>0.04</v>
      </c>
      <c r="E67" s="155" t="s">
        <v>450</v>
      </c>
    </row>
    <row r="68" spans="1:5" x14ac:dyDescent="0.25">
      <c r="A68" s="46">
        <v>11</v>
      </c>
      <c r="B68" s="143" t="s">
        <v>157</v>
      </c>
      <c r="C68" s="90" t="s">
        <v>631</v>
      </c>
      <c r="D68" s="154">
        <v>5.0000000000000001E-3</v>
      </c>
      <c r="E68" s="155" t="s">
        <v>450</v>
      </c>
    </row>
    <row r="69" spans="1:5" x14ac:dyDescent="0.25">
      <c r="A69" s="46">
        <v>11</v>
      </c>
      <c r="B69" s="143" t="s">
        <v>1555</v>
      </c>
      <c r="C69" s="90" t="s">
        <v>490</v>
      </c>
      <c r="D69" s="154">
        <v>1.2E-2</v>
      </c>
      <c r="E69" s="155" t="s">
        <v>458</v>
      </c>
    </row>
    <row r="70" spans="1:5" x14ac:dyDescent="0.25">
      <c r="A70" s="46">
        <v>11</v>
      </c>
      <c r="B70" s="143" t="s">
        <v>157</v>
      </c>
      <c r="C70" s="90" t="s">
        <v>685</v>
      </c>
      <c r="D70" s="154">
        <v>0.01</v>
      </c>
      <c r="E70" s="155" t="s">
        <v>458</v>
      </c>
    </row>
    <row r="71" spans="1:5" x14ac:dyDescent="0.25">
      <c r="A71" s="46">
        <v>11</v>
      </c>
      <c r="B71" s="143" t="s">
        <v>157</v>
      </c>
      <c r="C71" s="90" t="s">
        <v>488</v>
      </c>
      <c r="D71" s="154">
        <v>0.01</v>
      </c>
      <c r="E71" s="155" t="s">
        <v>450</v>
      </c>
    </row>
    <row r="72" spans="1:5" x14ac:dyDescent="0.25">
      <c r="A72" s="46">
        <v>11</v>
      </c>
      <c r="B72" s="143" t="s">
        <v>157</v>
      </c>
      <c r="C72" s="143" t="s">
        <v>487</v>
      </c>
      <c r="D72" s="154">
        <v>3.0000000000000001E-3</v>
      </c>
      <c r="E72" s="155" t="s">
        <v>458</v>
      </c>
    </row>
    <row r="73" spans="1:5" x14ac:dyDescent="0.25">
      <c r="A73" s="46">
        <v>11</v>
      </c>
      <c r="B73" s="143" t="s">
        <v>157</v>
      </c>
      <c r="C73" s="143" t="s">
        <v>467</v>
      </c>
      <c r="D73" s="154">
        <v>2.5000000000000001E-2</v>
      </c>
      <c r="E73" s="155" t="s">
        <v>448</v>
      </c>
    </row>
    <row r="74" spans="1:5" x14ac:dyDescent="0.25">
      <c r="A74" s="46">
        <v>251</v>
      </c>
      <c r="B74" s="143" t="s">
        <v>284</v>
      </c>
      <c r="C74" s="146" t="s">
        <v>471</v>
      </c>
      <c r="D74" s="148">
        <v>1.4999999999999999E-2</v>
      </c>
      <c r="E74" s="145" t="s">
        <v>450</v>
      </c>
    </row>
    <row r="75" spans="1:5" x14ac:dyDescent="0.25">
      <c r="A75" s="46">
        <v>251</v>
      </c>
      <c r="B75" s="143" t="s">
        <v>284</v>
      </c>
      <c r="C75" s="146" t="s">
        <v>472</v>
      </c>
      <c r="D75" s="148">
        <v>1.4999999999999999E-2</v>
      </c>
      <c r="E75" s="145" t="s">
        <v>450</v>
      </c>
    </row>
    <row r="76" spans="1:5" x14ac:dyDescent="0.25">
      <c r="A76" s="46">
        <v>251</v>
      </c>
      <c r="B76" s="143" t="s">
        <v>284</v>
      </c>
      <c r="C76" s="146" t="s">
        <v>473</v>
      </c>
      <c r="D76" s="148">
        <v>0.01</v>
      </c>
      <c r="E76" s="145" t="s">
        <v>450</v>
      </c>
    </row>
    <row r="77" spans="1:5" x14ac:dyDescent="0.25">
      <c r="A77" s="46">
        <v>251</v>
      </c>
      <c r="B77" s="143" t="s">
        <v>284</v>
      </c>
      <c r="C77" s="146" t="s">
        <v>474</v>
      </c>
      <c r="D77" s="148">
        <v>3.0000000000000001E-3</v>
      </c>
      <c r="E77" s="145" t="s">
        <v>450</v>
      </c>
    </row>
    <row r="78" spans="1:5" x14ac:dyDescent="0.25">
      <c r="A78" s="46">
        <v>251</v>
      </c>
      <c r="B78" s="143" t="s">
        <v>284</v>
      </c>
      <c r="C78" s="146" t="s">
        <v>475</v>
      </c>
      <c r="D78" s="148">
        <v>1.4999999999999999E-2</v>
      </c>
      <c r="E78" s="145" t="s">
        <v>450</v>
      </c>
    </row>
    <row r="79" spans="1:5" x14ac:dyDescent="0.25">
      <c r="A79" s="46">
        <v>251</v>
      </c>
      <c r="B79" s="143" t="s">
        <v>284</v>
      </c>
      <c r="C79" s="146" t="s">
        <v>476</v>
      </c>
      <c r="D79" s="148">
        <v>3.0000000000000001E-3</v>
      </c>
      <c r="E79" s="145" t="s">
        <v>450</v>
      </c>
    </row>
    <row r="80" spans="1:5" x14ac:dyDescent="0.25">
      <c r="A80" s="46">
        <v>251</v>
      </c>
      <c r="B80" s="143" t="s">
        <v>284</v>
      </c>
      <c r="C80" s="146" t="s">
        <v>477</v>
      </c>
      <c r="D80" s="148">
        <v>5.0000000000000001E-3</v>
      </c>
      <c r="E80" s="145" t="s">
        <v>450</v>
      </c>
    </row>
    <row r="81" spans="1:5" x14ac:dyDescent="0.25">
      <c r="A81" s="46">
        <v>251</v>
      </c>
      <c r="B81" s="143" t="s">
        <v>284</v>
      </c>
      <c r="C81" s="146" t="s">
        <v>478</v>
      </c>
      <c r="D81" s="148">
        <v>1.4999999999999999E-2</v>
      </c>
      <c r="E81" s="145" t="s">
        <v>448</v>
      </c>
    </row>
    <row r="82" spans="1:5" x14ac:dyDescent="0.25">
      <c r="A82" s="46">
        <v>251</v>
      </c>
      <c r="B82" s="143" t="s">
        <v>284</v>
      </c>
      <c r="C82" s="146" t="s">
        <v>479</v>
      </c>
      <c r="D82" s="148">
        <v>1E-3</v>
      </c>
      <c r="E82" s="145" t="s">
        <v>450</v>
      </c>
    </row>
    <row r="83" spans="1:5" x14ac:dyDescent="0.25">
      <c r="A83" s="46">
        <v>251</v>
      </c>
      <c r="B83" s="143" t="s">
        <v>284</v>
      </c>
      <c r="C83" s="146" t="s">
        <v>480</v>
      </c>
      <c r="D83" s="148">
        <v>1E-3</v>
      </c>
      <c r="E83" s="145" t="s">
        <v>450</v>
      </c>
    </row>
    <row r="84" spans="1:5" x14ac:dyDescent="0.25">
      <c r="A84" s="46">
        <v>251</v>
      </c>
      <c r="B84" s="143" t="s">
        <v>284</v>
      </c>
      <c r="C84" s="146" t="s">
        <v>467</v>
      </c>
      <c r="D84" s="148">
        <v>5.0000000000000001E-3</v>
      </c>
      <c r="E84" s="145" t="s">
        <v>448</v>
      </c>
    </row>
    <row r="85" spans="1:5" x14ac:dyDescent="0.25">
      <c r="A85" s="46">
        <v>251</v>
      </c>
      <c r="B85" s="143" t="s">
        <v>284</v>
      </c>
      <c r="C85" s="146" t="s">
        <v>470</v>
      </c>
      <c r="D85" s="148">
        <v>2E-3</v>
      </c>
      <c r="E85" s="145" t="s">
        <v>450</v>
      </c>
    </row>
    <row r="86" spans="1:5" x14ac:dyDescent="0.25">
      <c r="A86" s="46">
        <v>226</v>
      </c>
      <c r="B86" s="143" t="s">
        <v>22</v>
      </c>
      <c r="C86" s="89" t="s">
        <v>471</v>
      </c>
      <c r="D86" s="141">
        <v>2.5000000000000001E-2</v>
      </c>
      <c r="E86" s="145" t="s">
        <v>450</v>
      </c>
    </row>
    <row r="87" spans="1:5" x14ac:dyDescent="0.25">
      <c r="A87" s="46">
        <v>226</v>
      </c>
      <c r="B87" s="143" t="s">
        <v>22</v>
      </c>
      <c r="C87" s="89" t="s">
        <v>921</v>
      </c>
      <c r="D87" s="141">
        <v>2.5000000000000001E-2</v>
      </c>
      <c r="E87" s="145" t="s">
        <v>450</v>
      </c>
    </row>
    <row r="88" spans="1:5" x14ac:dyDescent="0.25">
      <c r="A88" s="46">
        <v>226</v>
      </c>
      <c r="B88" s="143" t="s">
        <v>22</v>
      </c>
      <c r="C88" s="89" t="s">
        <v>554</v>
      </c>
      <c r="D88" s="141">
        <v>1.4999999999999999E-2</v>
      </c>
      <c r="E88" s="145" t="s">
        <v>450</v>
      </c>
    </row>
    <row r="89" spans="1:5" x14ac:dyDescent="0.25">
      <c r="A89" s="46">
        <v>226</v>
      </c>
      <c r="B89" s="143" t="s">
        <v>22</v>
      </c>
      <c r="C89" s="89" t="s">
        <v>770</v>
      </c>
      <c r="D89" s="141">
        <v>1.4999999999999999E-2</v>
      </c>
      <c r="E89" s="145" t="s">
        <v>450</v>
      </c>
    </row>
    <row r="90" spans="1:5" x14ac:dyDescent="0.25">
      <c r="A90" s="46">
        <v>226</v>
      </c>
      <c r="B90" s="143" t="s">
        <v>22</v>
      </c>
      <c r="C90" s="89" t="s">
        <v>461</v>
      </c>
      <c r="D90" s="141">
        <v>1.4999999999999999E-2</v>
      </c>
      <c r="E90" s="145" t="s">
        <v>450</v>
      </c>
    </row>
    <row r="91" spans="1:5" x14ac:dyDescent="0.25">
      <c r="A91" s="46">
        <v>226</v>
      </c>
      <c r="B91" s="143" t="s">
        <v>22</v>
      </c>
      <c r="C91" s="89" t="s">
        <v>478</v>
      </c>
      <c r="D91" s="141">
        <v>8.0000000000000002E-3</v>
      </c>
      <c r="E91" s="141" t="s">
        <v>448</v>
      </c>
    </row>
    <row r="92" spans="1:5" x14ac:dyDescent="0.25">
      <c r="A92" s="46">
        <v>226</v>
      </c>
      <c r="B92" s="143" t="s">
        <v>22</v>
      </c>
      <c r="C92" s="89" t="s">
        <v>470</v>
      </c>
      <c r="D92" s="141">
        <v>3.0000000000000001E-3</v>
      </c>
      <c r="E92" s="145" t="s">
        <v>450</v>
      </c>
    </row>
    <row r="93" spans="1:5" x14ac:dyDescent="0.25">
      <c r="A93" s="46">
        <v>226</v>
      </c>
      <c r="B93" s="143" t="s">
        <v>22</v>
      </c>
      <c r="C93" s="89" t="s">
        <v>516</v>
      </c>
      <c r="D93" s="141">
        <v>1E-3</v>
      </c>
      <c r="E93" s="145" t="s">
        <v>450</v>
      </c>
    </row>
    <row r="94" spans="1:5" x14ac:dyDescent="0.25">
      <c r="A94" s="46">
        <v>226</v>
      </c>
      <c r="B94" s="143" t="s">
        <v>22</v>
      </c>
      <c r="C94" s="143" t="s">
        <v>864</v>
      </c>
      <c r="D94" s="141">
        <v>3.5000000000000003E-2</v>
      </c>
      <c r="E94" s="145" t="s">
        <v>450</v>
      </c>
    </row>
    <row r="95" spans="1:5" x14ac:dyDescent="0.25">
      <c r="A95" s="46"/>
      <c r="B95" s="98" t="s">
        <v>376</v>
      </c>
      <c r="C95" s="89" t="s">
        <v>472</v>
      </c>
      <c r="D95" s="141">
        <v>1</v>
      </c>
      <c r="E95" s="150" t="s">
        <v>450</v>
      </c>
    </row>
    <row r="96" spans="1:5" x14ac:dyDescent="0.25">
      <c r="A96" s="46">
        <v>232</v>
      </c>
      <c r="B96" s="143" t="s">
        <v>23</v>
      </c>
      <c r="C96" s="152" t="s">
        <v>512</v>
      </c>
      <c r="D96" s="141">
        <v>8.5000000000000006E-2</v>
      </c>
      <c r="E96" s="145" t="s">
        <v>450</v>
      </c>
    </row>
    <row r="97" spans="1:8" x14ac:dyDescent="0.25">
      <c r="A97" s="46">
        <v>232</v>
      </c>
      <c r="B97" s="143" t="s">
        <v>23</v>
      </c>
      <c r="C97" s="143" t="s">
        <v>578</v>
      </c>
      <c r="D97" s="141">
        <v>2E-3</v>
      </c>
      <c r="E97" s="145" t="s">
        <v>448</v>
      </c>
    </row>
    <row r="98" spans="1:8" x14ac:dyDescent="0.25">
      <c r="A98" s="46">
        <v>232</v>
      </c>
      <c r="B98" s="143" t="s">
        <v>23</v>
      </c>
      <c r="C98" s="139" t="s">
        <v>575</v>
      </c>
      <c r="D98" s="141">
        <v>8.0000000000000002E-3</v>
      </c>
      <c r="E98" s="145" t="s">
        <v>450</v>
      </c>
    </row>
    <row r="99" spans="1:8" x14ac:dyDescent="0.25">
      <c r="A99" s="46">
        <v>232</v>
      </c>
      <c r="B99" s="143" t="s">
        <v>23</v>
      </c>
      <c r="C99" s="89" t="s">
        <v>542</v>
      </c>
      <c r="D99" s="141">
        <v>3.5000000000000003E-2</v>
      </c>
      <c r="E99" s="145" t="s">
        <v>450</v>
      </c>
    </row>
    <row r="100" spans="1:8" x14ac:dyDescent="0.25">
      <c r="A100" s="46">
        <v>232</v>
      </c>
      <c r="B100" s="143" t="s">
        <v>23</v>
      </c>
      <c r="C100" s="89" t="s">
        <v>478</v>
      </c>
      <c r="D100" s="141">
        <v>2E-3</v>
      </c>
      <c r="E100" s="141" t="s">
        <v>448</v>
      </c>
    </row>
    <row r="101" spans="1:8" x14ac:dyDescent="0.25">
      <c r="A101" s="46">
        <v>232</v>
      </c>
      <c r="B101" s="143" t="s">
        <v>23</v>
      </c>
      <c r="C101" s="89" t="s">
        <v>470</v>
      </c>
      <c r="D101" s="141">
        <v>1E-3</v>
      </c>
      <c r="E101" s="145" t="s">
        <v>450</v>
      </c>
    </row>
    <row r="102" spans="1:8" x14ac:dyDescent="0.25">
      <c r="A102" s="46">
        <v>232</v>
      </c>
      <c r="B102" s="143" t="s">
        <v>23</v>
      </c>
      <c r="C102" s="89" t="s">
        <v>516</v>
      </c>
      <c r="D102" s="141">
        <v>1E-3</v>
      </c>
      <c r="E102" s="145" t="s">
        <v>450</v>
      </c>
    </row>
    <row r="103" spans="1:8" x14ac:dyDescent="0.25">
      <c r="A103" s="46"/>
      <c r="B103" s="98" t="s">
        <v>378</v>
      </c>
      <c r="C103" s="89" t="s">
        <v>806</v>
      </c>
      <c r="D103" s="141">
        <v>1</v>
      </c>
      <c r="E103" s="150" t="s">
        <v>450</v>
      </c>
    </row>
    <row r="104" spans="1:8" x14ac:dyDescent="0.25">
      <c r="A104" s="46"/>
      <c r="B104" s="98" t="s">
        <v>377</v>
      </c>
      <c r="C104" s="89" t="s">
        <v>1530</v>
      </c>
      <c r="D104" s="141">
        <v>1</v>
      </c>
      <c r="E104" s="150" t="s">
        <v>450</v>
      </c>
    </row>
    <row r="105" spans="1:8" x14ac:dyDescent="0.25">
      <c r="A105" s="46"/>
      <c r="B105" s="98" t="s">
        <v>379</v>
      </c>
      <c r="C105" s="89" t="s">
        <v>1531</v>
      </c>
      <c r="D105" s="141">
        <v>1</v>
      </c>
      <c r="E105" s="150" t="s">
        <v>450</v>
      </c>
      <c r="H105" s="45">
        <f>Table5[[#This Row],[Qtdade]]*60</f>
        <v>60</v>
      </c>
    </row>
    <row r="106" spans="1:8" x14ac:dyDescent="0.25">
      <c r="A106" s="47">
        <v>266</v>
      </c>
      <c r="B106" s="143" t="s">
        <v>297</v>
      </c>
      <c r="C106" s="89" t="s">
        <v>541</v>
      </c>
      <c r="D106" s="141">
        <v>8.5000000000000006E-2</v>
      </c>
      <c r="E106" s="145" t="s">
        <v>450</v>
      </c>
      <c r="H106" s="45">
        <f>Table5[[#This Row],[Qtdade]]*60</f>
        <v>5.1000000000000005</v>
      </c>
    </row>
    <row r="107" spans="1:8" x14ac:dyDescent="0.25">
      <c r="A107" s="47">
        <v>266</v>
      </c>
      <c r="B107" s="143" t="s">
        <v>297</v>
      </c>
      <c r="C107" s="89" t="s">
        <v>542</v>
      </c>
      <c r="D107" s="141">
        <v>0.02</v>
      </c>
      <c r="E107" s="145" t="s">
        <v>450</v>
      </c>
      <c r="H107" s="45">
        <f>Table5[[#This Row],[Qtdade]]*60</f>
        <v>1.2</v>
      </c>
    </row>
    <row r="108" spans="1:8" x14ac:dyDescent="0.25">
      <c r="A108" s="47">
        <v>266</v>
      </c>
      <c r="B108" s="143" t="s">
        <v>297</v>
      </c>
      <c r="C108" s="89" t="s">
        <v>543</v>
      </c>
      <c r="D108" s="141">
        <v>0.03</v>
      </c>
      <c r="E108" s="145" t="s">
        <v>450</v>
      </c>
      <c r="H108" s="45">
        <f>Table5[[#This Row],[Qtdade]]*60</f>
        <v>1.7999999999999998</v>
      </c>
    </row>
    <row r="109" spans="1:8" x14ac:dyDescent="0.25">
      <c r="A109" s="47">
        <v>266</v>
      </c>
      <c r="B109" s="143" t="s">
        <v>297</v>
      </c>
      <c r="C109" s="89" t="s">
        <v>544</v>
      </c>
      <c r="D109" s="141">
        <v>1.4999999999999999E-2</v>
      </c>
      <c r="E109" s="145" t="s">
        <v>450</v>
      </c>
      <c r="H109" s="45">
        <f>Table5[[#This Row],[Qtdade]]*60</f>
        <v>0.89999999999999991</v>
      </c>
    </row>
    <row r="110" spans="1:8" x14ac:dyDescent="0.25">
      <c r="A110" s="47">
        <v>266</v>
      </c>
      <c r="B110" s="143" t="s">
        <v>297</v>
      </c>
      <c r="C110" s="89" t="s">
        <v>545</v>
      </c>
      <c r="D110" s="141">
        <v>0.05</v>
      </c>
      <c r="E110" s="145" t="s">
        <v>450</v>
      </c>
      <c r="H110" s="45">
        <f>Table5[[#This Row],[Qtdade]]*60</f>
        <v>3</v>
      </c>
    </row>
    <row r="111" spans="1:8" x14ac:dyDescent="0.25">
      <c r="A111" s="47">
        <v>266</v>
      </c>
      <c r="B111" s="143" t="s">
        <v>297</v>
      </c>
      <c r="C111" s="89" t="s">
        <v>493</v>
      </c>
      <c r="D111" s="141">
        <v>1E-3</v>
      </c>
      <c r="E111" s="145" t="s">
        <v>450</v>
      </c>
      <c r="H111" s="45">
        <f>Table5[[#This Row],[Qtdade]]*60</f>
        <v>0.06</v>
      </c>
    </row>
    <row r="112" spans="1:8" x14ac:dyDescent="0.25">
      <c r="A112" s="47">
        <v>266</v>
      </c>
      <c r="B112" s="143" t="s">
        <v>297</v>
      </c>
      <c r="C112" s="89" t="s">
        <v>534</v>
      </c>
      <c r="D112" s="141">
        <v>1E-3</v>
      </c>
      <c r="E112" s="145" t="s">
        <v>450</v>
      </c>
      <c r="H112" s="45">
        <f>Table5[[#This Row],[Qtdade]]*60</f>
        <v>0.06</v>
      </c>
    </row>
    <row r="113" spans="1:8" x14ac:dyDescent="0.25">
      <c r="A113" s="47">
        <v>266</v>
      </c>
      <c r="B113" s="143" t="s">
        <v>297</v>
      </c>
      <c r="C113" s="89" t="s">
        <v>480</v>
      </c>
      <c r="D113" s="141">
        <v>3.0000000000000001E-3</v>
      </c>
      <c r="E113" s="145" t="s">
        <v>450</v>
      </c>
      <c r="H113" s="45">
        <f>Table5[[#This Row],[Qtdade]]*60</f>
        <v>0.18</v>
      </c>
    </row>
    <row r="114" spans="1:8" x14ac:dyDescent="0.25">
      <c r="A114" s="47">
        <v>266</v>
      </c>
      <c r="B114" s="143" t="s">
        <v>297</v>
      </c>
      <c r="C114" s="89" t="s">
        <v>546</v>
      </c>
      <c r="D114" s="141">
        <v>1E-3</v>
      </c>
      <c r="E114" s="145" t="s">
        <v>450</v>
      </c>
      <c r="H114" s="45">
        <f>Table5[[#This Row],[Qtdade]]*60</f>
        <v>0.06</v>
      </c>
    </row>
    <row r="115" spans="1:8" x14ac:dyDescent="0.25">
      <c r="A115" s="47">
        <v>266</v>
      </c>
      <c r="B115" s="143" t="s">
        <v>297</v>
      </c>
      <c r="C115" s="89" t="s">
        <v>547</v>
      </c>
      <c r="D115" s="141">
        <v>0.05</v>
      </c>
      <c r="E115" s="145" t="s">
        <v>450</v>
      </c>
      <c r="H115" s="45">
        <f>Table5[[#This Row],[Qtdade]]*60</f>
        <v>3</v>
      </c>
    </row>
    <row r="116" spans="1:8" x14ac:dyDescent="0.25">
      <c r="A116" s="47">
        <v>266</v>
      </c>
      <c r="B116" s="143" t="s">
        <v>297</v>
      </c>
      <c r="C116" s="89" t="s">
        <v>509</v>
      </c>
      <c r="D116" s="141">
        <v>1E-3</v>
      </c>
      <c r="E116" s="145" t="s">
        <v>450</v>
      </c>
      <c r="H116" s="45">
        <f>Table5[[#This Row],[Qtdade]]*60</f>
        <v>0.06</v>
      </c>
    </row>
    <row r="117" spans="1:8" x14ac:dyDescent="0.25">
      <c r="A117" s="47">
        <v>266</v>
      </c>
      <c r="B117" s="143" t="s">
        <v>297</v>
      </c>
      <c r="C117" s="89" t="s">
        <v>478</v>
      </c>
      <c r="D117" s="141">
        <v>0.05</v>
      </c>
      <c r="E117" s="145" t="s">
        <v>448</v>
      </c>
    </row>
    <row r="118" spans="1:8" x14ac:dyDescent="0.25">
      <c r="A118" s="47">
        <v>266</v>
      </c>
      <c r="B118" s="143" t="s">
        <v>297</v>
      </c>
      <c r="C118" s="143" t="s">
        <v>500</v>
      </c>
      <c r="D118" s="141">
        <v>1E-3</v>
      </c>
      <c r="E118" s="145" t="s">
        <v>450</v>
      </c>
    </row>
    <row r="119" spans="1:8" x14ac:dyDescent="0.25">
      <c r="A119" s="47">
        <v>266</v>
      </c>
      <c r="B119" s="143" t="s">
        <v>297</v>
      </c>
      <c r="C119" s="89" t="s">
        <v>548</v>
      </c>
      <c r="D119" s="141">
        <v>1E-3</v>
      </c>
      <c r="E119" s="145" t="s">
        <v>450</v>
      </c>
    </row>
    <row r="120" spans="1:8" x14ac:dyDescent="0.25">
      <c r="A120" s="47">
        <v>266</v>
      </c>
      <c r="B120" s="143" t="s">
        <v>297</v>
      </c>
      <c r="C120" s="89" t="s">
        <v>504</v>
      </c>
      <c r="D120" s="141">
        <v>0.01</v>
      </c>
      <c r="E120" s="145" t="s">
        <v>450</v>
      </c>
    </row>
    <row r="121" spans="1:8" x14ac:dyDescent="0.25">
      <c r="A121" s="46">
        <v>42</v>
      </c>
      <c r="B121" s="143" t="s">
        <v>71</v>
      </c>
      <c r="C121" s="146" t="s">
        <v>1506</v>
      </c>
      <c r="D121" s="148">
        <v>0.05</v>
      </c>
      <c r="E121" s="145" t="s">
        <v>450</v>
      </c>
    </row>
    <row r="122" spans="1:8" x14ac:dyDescent="0.25">
      <c r="A122" s="46">
        <v>42</v>
      </c>
      <c r="B122" s="143" t="s">
        <v>71</v>
      </c>
      <c r="C122" s="143" t="s">
        <v>566</v>
      </c>
      <c r="D122" s="148">
        <v>0.13</v>
      </c>
      <c r="E122" s="145" t="s">
        <v>450</v>
      </c>
    </row>
    <row r="123" spans="1:8" x14ac:dyDescent="0.25">
      <c r="A123" s="46">
        <v>42</v>
      </c>
      <c r="B123" s="143" t="s">
        <v>71</v>
      </c>
      <c r="C123" s="146" t="s">
        <v>488</v>
      </c>
      <c r="D123" s="148">
        <v>4.0000000000000001E-3</v>
      </c>
      <c r="E123" s="145" t="s">
        <v>450</v>
      </c>
    </row>
    <row r="124" spans="1:8" x14ac:dyDescent="0.25">
      <c r="A124" s="46">
        <v>42</v>
      </c>
      <c r="B124" s="143" t="s">
        <v>71</v>
      </c>
      <c r="C124" s="146" t="s">
        <v>480</v>
      </c>
      <c r="D124" s="148">
        <v>5.0000000000000001E-4</v>
      </c>
      <c r="E124" s="145"/>
    </row>
    <row r="125" spans="1:8" x14ac:dyDescent="0.25">
      <c r="A125" s="46">
        <v>42</v>
      </c>
      <c r="B125" s="143" t="s">
        <v>71</v>
      </c>
      <c r="C125" s="146" t="s">
        <v>509</v>
      </c>
      <c r="D125" s="148">
        <v>1E-3</v>
      </c>
      <c r="E125" s="145"/>
    </row>
    <row r="126" spans="1:8" x14ac:dyDescent="0.25">
      <c r="A126" s="46">
        <v>42</v>
      </c>
      <c r="B126" s="143" t="s">
        <v>71</v>
      </c>
      <c r="C126" s="146" t="s">
        <v>627</v>
      </c>
      <c r="D126" s="151">
        <v>1</v>
      </c>
      <c r="E126" s="145" t="s">
        <v>749</v>
      </c>
    </row>
    <row r="127" spans="1:8" x14ac:dyDescent="0.25">
      <c r="A127" s="46">
        <v>205</v>
      </c>
      <c r="B127" s="143" t="s">
        <v>264</v>
      </c>
      <c r="C127" s="156" t="s">
        <v>646</v>
      </c>
      <c r="D127" s="148">
        <v>0.08</v>
      </c>
      <c r="E127" s="145" t="s">
        <v>450</v>
      </c>
    </row>
    <row r="128" spans="1:8" x14ac:dyDescent="0.25">
      <c r="A128" s="46">
        <v>205</v>
      </c>
      <c r="B128" s="143" t="s">
        <v>264</v>
      </c>
      <c r="C128" s="143" t="s">
        <v>529</v>
      </c>
      <c r="D128" s="148">
        <v>8.0000000000000002E-3</v>
      </c>
      <c r="E128" s="145" t="s">
        <v>450</v>
      </c>
    </row>
    <row r="129" spans="1:5" x14ac:dyDescent="0.25">
      <c r="A129" s="46">
        <v>205</v>
      </c>
      <c r="B129" s="143" t="s">
        <v>264</v>
      </c>
      <c r="C129" s="143" t="s">
        <v>882</v>
      </c>
      <c r="D129" s="148">
        <v>1.4999999999999999E-2</v>
      </c>
      <c r="E129" s="145" t="s">
        <v>450</v>
      </c>
    </row>
    <row r="130" spans="1:5" x14ac:dyDescent="0.25">
      <c r="A130" s="46">
        <v>205</v>
      </c>
      <c r="B130" s="143" t="s">
        <v>264</v>
      </c>
      <c r="C130" s="143" t="s">
        <v>647</v>
      </c>
      <c r="D130" s="148">
        <v>1.4999999999999999E-2</v>
      </c>
      <c r="E130" s="145" t="s">
        <v>450</v>
      </c>
    </row>
    <row r="131" spans="1:5" x14ac:dyDescent="0.25">
      <c r="A131" s="46">
        <v>205</v>
      </c>
      <c r="B131" s="143" t="s">
        <v>264</v>
      </c>
      <c r="C131" s="143" t="s">
        <v>527</v>
      </c>
      <c r="D131" s="148">
        <v>1.4999999999999999E-2</v>
      </c>
      <c r="E131" s="145" t="s">
        <v>450</v>
      </c>
    </row>
    <row r="132" spans="1:5" x14ac:dyDescent="0.25">
      <c r="A132" s="46">
        <v>205</v>
      </c>
      <c r="B132" s="143" t="s">
        <v>264</v>
      </c>
      <c r="C132" s="143" t="s">
        <v>509</v>
      </c>
      <c r="D132" s="148">
        <v>2E-3</v>
      </c>
      <c r="E132" s="145" t="s">
        <v>450</v>
      </c>
    </row>
    <row r="133" spans="1:5" x14ac:dyDescent="0.25">
      <c r="A133" s="46">
        <v>205</v>
      </c>
      <c r="B133" s="143" t="s">
        <v>264</v>
      </c>
      <c r="C133" s="143" t="s">
        <v>480</v>
      </c>
      <c r="D133" s="148">
        <v>2E-3</v>
      </c>
      <c r="E133" s="145" t="s">
        <v>450</v>
      </c>
    </row>
    <row r="134" spans="1:5" x14ac:dyDescent="0.25">
      <c r="A134" s="46">
        <v>205</v>
      </c>
      <c r="B134" s="143" t="s">
        <v>264</v>
      </c>
      <c r="C134" s="143" t="s">
        <v>516</v>
      </c>
      <c r="D134" s="148">
        <v>1E-3</v>
      </c>
      <c r="E134" s="145" t="s">
        <v>450</v>
      </c>
    </row>
    <row r="135" spans="1:5" x14ac:dyDescent="0.25">
      <c r="A135" s="46">
        <v>205</v>
      </c>
      <c r="B135" s="143" t="s">
        <v>264</v>
      </c>
      <c r="C135" s="143" t="s">
        <v>469</v>
      </c>
      <c r="D135" s="148">
        <v>3.0000000000000001E-3</v>
      </c>
      <c r="E135" s="145" t="s">
        <v>448</v>
      </c>
    </row>
    <row r="136" spans="1:5" x14ac:dyDescent="0.25">
      <c r="A136" s="46">
        <v>174</v>
      </c>
      <c r="B136" s="143" t="s">
        <v>242</v>
      </c>
      <c r="C136" s="146" t="s">
        <v>641</v>
      </c>
      <c r="D136" s="148">
        <v>0.11</v>
      </c>
      <c r="E136" s="145" t="s">
        <v>458</v>
      </c>
    </row>
    <row r="137" spans="1:5" x14ac:dyDescent="0.25">
      <c r="A137" s="46">
        <v>174</v>
      </c>
      <c r="B137" s="143" t="s">
        <v>242</v>
      </c>
      <c r="C137" s="146" t="s">
        <v>634</v>
      </c>
      <c r="D137" s="148">
        <v>0.01</v>
      </c>
      <c r="E137" s="145" t="s">
        <v>458</v>
      </c>
    </row>
    <row r="138" spans="1:5" x14ac:dyDescent="0.25">
      <c r="A138" s="46">
        <v>174</v>
      </c>
      <c r="B138" s="143" t="s">
        <v>242</v>
      </c>
      <c r="C138" s="146" t="s">
        <v>822</v>
      </c>
      <c r="D138" s="148">
        <v>1.4999999999999999E-2</v>
      </c>
      <c r="E138" s="145" t="s">
        <v>458</v>
      </c>
    </row>
    <row r="139" spans="1:5" x14ac:dyDescent="0.25">
      <c r="A139" s="46">
        <v>174</v>
      </c>
      <c r="B139" s="143" t="s">
        <v>242</v>
      </c>
      <c r="C139" s="146" t="s">
        <v>825</v>
      </c>
      <c r="D139" s="148">
        <v>0.01</v>
      </c>
      <c r="E139" s="145" t="s">
        <v>458</v>
      </c>
    </row>
    <row r="140" spans="1:5" x14ac:dyDescent="0.25">
      <c r="A140" s="46">
        <v>174</v>
      </c>
      <c r="B140" s="143" t="s">
        <v>242</v>
      </c>
      <c r="C140" s="146" t="s">
        <v>404</v>
      </c>
      <c r="D140" s="148">
        <v>0.02</v>
      </c>
      <c r="E140" s="145" t="s">
        <v>458</v>
      </c>
    </row>
    <row r="141" spans="1:5" x14ac:dyDescent="0.25">
      <c r="A141" s="46">
        <v>174</v>
      </c>
      <c r="B141" s="143" t="s">
        <v>242</v>
      </c>
      <c r="C141" s="146" t="s">
        <v>488</v>
      </c>
      <c r="D141" s="148">
        <v>4.0000000000000001E-3</v>
      </c>
      <c r="E141" s="145" t="s">
        <v>458</v>
      </c>
    </row>
    <row r="142" spans="1:5" x14ac:dyDescent="0.25">
      <c r="A142" s="46">
        <v>174</v>
      </c>
      <c r="B142" s="143" t="s">
        <v>242</v>
      </c>
      <c r="C142" s="146" t="s">
        <v>487</v>
      </c>
      <c r="D142" s="149">
        <v>5.0000000000000001E-4</v>
      </c>
      <c r="E142" s="145" t="s">
        <v>458</v>
      </c>
    </row>
    <row r="143" spans="1:5" x14ac:dyDescent="0.25">
      <c r="A143" s="46">
        <v>174</v>
      </c>
      <c r="B143" s="143" t="s">
        <v>242</v>
      </c>
      <c r="C143" s="146" t="s">
        <v>776</v>
      </c>
      <c r="D143" s="151">
        <v>1</v>
      </c>
      <c r="E143" s="145" t="s">
        <v>579</v>
      </c>
    </row>
    <row r="144" spans="1:5" x14ac:dyDescent="0.25">
      <c r="A144" s="46">
        <v>174</v>
      </c>
      <c r="B144" s="143" t="s">
        <v>242</v>
      </c>
      <c r="C144" s="146" t="s">
        <v>826</v>
      </c>
      <c r="D144" s="151">
        <v>3.0000000000000001E-3</v>
      </c>
      <c r="E144" s="145" t="s">
        <v>458</v>
      </c>
    </row>
    <row r="145" spans="1:5" x14ac:dyDescent="0.25">
      <c r="A145" s="46">
        <v>174</v>
      </c>
      <c r="B145" s="143" t="s">
        <v>242</v>
      </c>
      <c r="C145" s="146" t="s">
        <v>480</v>
      </c>
      <c r="D145" s="157">
        <v>2E-3</v>
      </c>
      <c r="E145" s="145" t="s">
        <v>458</v>
      </c>
    </row>
    <row r="146" spans="1:5" x14ac:dyDescent="0.25">
      <c r="A146" s="46">
        <v>50</v>
      </c>
      <c r="B146" s="143" t="s">
        <v>182</v>
      </c>
      <c r="C146" s="146" t="s">
        <v>641</v>
      </c>
      <c r="D146" s="148">
        <v>0.1</v>
      </c>
      <c r="E146" s="145" t="s">
        <v>458</v>
      </c>
    </row>
    <row r="147" spans="1:5" x14ac:dyDescent="0.25">
      <c r="A147" s="46">
        <v>50</v>
      </c>
      <c r="B147" s="143" t="s">
        <v>182</v>
      </c>
      <c r="C147" s="146" t="s">
        <v>634</v>
      </c>
      <c r="D147" s="148">
        <v>0.01</v>
      </c>
      <c r="E147" s="145" t="s">
        <v>458</v>
      </c>
    </row>
    <row r="148" spans="1:5" x14ac:dyDescent="0.25">
      <c r="A148" s="46">
        <v>50</v>
      </c>
      <c r="B148" s="143" t="s">
        <v>182</v>
      </c>
      <c r="C148" s="146" t="s">
        <v>650</v>
      </c>
      <c r="D148" s="148">
        <v>1.4999999999999999E-2</v>
      </c>
      <c r="E148" s="145" t="s">
        <v>458</v>
      </c>
    </row>
    <row r="149" spans="1:5" x14ac:dyDescent="0.25">
      <c r="A149" s="46">
        <v>50</v>
      </c>
      <c r="B149" s="143" t="s">
        <v>182</v>
      </c>
      <c r="C149" s="146" t="s">
        <v>480</v>
      </c>
      <c r="D149" s="148">
        <v>2E-3</v>
      </c>
      <c r="E149" s="145" t="s">
        <v>458</v>
      </c>
    </row>
    <row r="150" spans="1:5" x14ac:dyDescent="0.25">
      <c r="A150" s="46">
        <v>50</v>
      </c>
      <c r="B150" s="143" t="s">
        <v>182</v>
      </c>
      <c r="C150" s="146" t="s">
        <v>651</v>
      </c>
      <c r="D150" s="149">
        <v>2.0000000000000001E-4</v>
      </c>
      <c r="E150" s="145" t="s">
        <v>458</v>
      </c>
    </row>
    <row r="151" spans="1:5" x14ac:dyDescent="0.25">
      <c r="A151" s="46">
        <v>50</v>
      </c>
      <c r="B151" s="143" t="s">
        <v>182</v>
      </c>
      <c r="C151" s="146" t="s">
        <v>652</v>
      </c>
      <c r="D151" s="148">
        <v>1E-3</v>
      </c>
      <c r="E151" s="145" t="s">
        <v>653</v>
      </c>
    </row>
    <row r="152" spans="1:5" x14ac:dyDescent="0.25">
      <c r="A152" s="46">
        <v>50</v>
      </c>
      <c r="B152" s="143" t="s">
        <v>182</v>
      </c>
      <c r="C152" s="146" t="s">
        <v>488</v>
      </c>
      <c r="D152" s="157">
        <v>2E-3</v>
      </c>
      <c r="E152" s="145" t="s">
        <v>458</v>
      </c>
    </row>
    <row r="153" spans="1:5" x14ac:dyDescent="0.25">
      <c r="A153" s="46">
        <v>50</v>
      </c>
      <c r="B153" s="143" t="s">
        <v>182</v>
      </c>
      <c r="C153" s="146" t="s">
        <v>502</v>
      </c>
      <c r="D153" s="157">
        <v>1E-3</v>
      </c>
      <c r="E153" s="145" t="s">
        <v>458</v>
      </c>
    </row>
    <row r="154" spans="1:5" x14ac:dyDescent="0.25">
      <c r="A154" s="46">
        <v>123</v>
      </c>
      <c r="B154" s="143" t="s">
        <v>217</v>
      </c>
      <c r="C154" s="156" t="s">
        <v>646</v>
      </c>
      <c r="D154" s="141">
        <v>0.1</v>
      </c>
      <c r="E154" s="141" t="s">
        <v>458</v>
      </c>
    </row>
    <row r="155" spans="1:5" x14ac:dyDescent="0.25">
      <c r="A155" s="46">
        <v>123</v>
      </c>
      <c r="B155" s="143" t="s">
        <v>217</v>
      </c>
      <c r="C155" s="89" t="s">
        <v>647</v>
      </c>
      <c r="D155" s="141">
        <v>2E-3</v>
      </c>
      <c r="E155" s="141" t="s">
        <v>458</v>
      </c>
    </row>
    <row r="156" spans="1:5" x14ac:dyDescent="0.25">
      <c r="A156" s="46">
        <v>123</v>
      </c>
      <c r="B156" s="143" t="s">
        <v>217</v>
      </c>
      <c r="C156" s="146" t="s">
        <v>612</v>
      </c>
      <c r="D156" s="141">
        <v>0.01</v>
      </c>
      <c r="E156" s="141" t="s">
        <v>458</v>
      </c>
    </row>
    <row r="157" spans="1:5" x14ac:dyDescent="0.25">
      <c r="A157" s="46">
        <v>123</v>
      </c>
      <c r="B157" s="143" t="s">
        <v>217</v>
      </c>
      <c r="C157" s="89" t="s">
        <v>648</v>
      </c>
      <c r="D157" s="141">
        <v>5.0000000000000001E-3</v>
      </c>
      <c r="E157" s="141" t="s">
        <v>458</v>
      </c>
    </row>
    <row r="158" spans="1:5" x14ac:dyDescent="0.25">
      <c r="A158" s="46">
        <v>123</v>
      </c>
      <c r="B158" s="143" t="s">
        <v>217</v>
      </c>
      <c r="C158" s="89" t="s">
        <v>488</v>
      </c>
      <c r="D158" s="141">
        <v>2E-3</v>
      </c>
      <c r="E158" s="141" t="s">
        <v>458</v>
      </c>
    </row>
    <row r="159" spans="1:5" x14ac:dyDescent="0.25">
      <c r="A159" s="46">
        <v>123</v>
      </c>
      <c r="B159" s="143" t="s">
        <v>217</v>
      </c>
      <c r="C159" s="89" t="s">
        <v>487</v>
      </c>
      <c r="D159" s="158">
        <v>5.0000000000000001E-4</v>
      </c>
      <c r="E159" s="141" t="s">
        <v>458</v>
      </c>
    </row>
    <row r="160" spans="1:5" x14ac:dyDescent="0.25">
      <c r="A160" s="46">
        <v>123</v>
      </c>
      <c r="B160" s="143" t="s">
        <v>217</v>
      </c>
      <c r="C160" s="89" t="s">
        <v>480</v>
      </c>
      <c r="D160" s="158">
        <v>1E-4</v>
      </c>
      <c r="E160" s="141" t="s">
        <v>458</v>
      </c>
    </row>
    <row r="161" spans="1:5" x14ac:dyDescent="0.25">
      <c r="A161" s="46">
        <v>123</v>
      </c>
      <c r="B161" s="143" t="s">
        <v>217</v>
      </c>
      <c r="C161" s="89" t="s">
        <v>509</v>
      </c>
      <c r="D161" s="141">
        <v>3.0000000000000001E-3</v>
      </c>
      <c r="E161" s="141" t="s">
        <v>458</v>
      </c>
    </row>
    <row r="162" spans="1:5" x14ac:dyDescent="0.25">
      <c r="A162" s="46">
        <v>123</v>
      </c>
      <c r="B162" s="143" t="s">
        <v>217</v>
      </c>
      <c r="C162" s="89" t="s">
        <v>504</v>
      </c>
      <c r="D162" s="141">
        <v>8.0000000000000002E-3</v>
      </c>
      <c r="E162" s="141" t="s">
        <v>458</v>
      </c>
    </row>
    <row r="163" spans="1:5" x14ac:dyDescent="0.25">
      <c r="A163" s="46">
        <v>123</v>
      </c>
      <c r="B163" s="143" t="s">
        <v>217</v>
      </c>
      <c r="C163" s="89" t="s">
        <v>776</v>
      </c>
      <c r="D163" s="141">
        <v>1</v>
      </c>
      <c r="E163" s="141" t="s">
        <v>579</v>
      </c>
    </row>
    <row r="164" spans="1:5" x14ac:dyDescent="0.25">
      <c r="A164" s="46">
        <v>47</v>
      </c>
      <c r="B164" s="143" t="s">
        <v>180</v>
      </c>
      <c r="C164" s="156" t="s">
        <v>646</v>
      </c>
      <c r="D164" s="148">
        <v>0.1</v>
      </c>
      <c r="E164" s="145" t="s">
        <v>458</v>
      </c>
    </row>
    <row r="165" spans="1:5" x14ac:dyDescent="0.25">
      <c r="A165" s="46">
        <v>47</v>
      </c>
      <c r="B165" s="143" t="s">
        <v>180</v>
      </c>
      <c r="C165" s="146" t="s">
        <v>647</v>
      </c>
      <c r="D165" s="148">
        <v>5.0000000000000001E-3</v>
      </c>
      <c r="E165" s="145" t="s">
        <v>458</v>
      </c>
    </row>
    <row r="166" spans="1:5" x14ac:dyDescent="0.25">
      <c r="A166" s="46">
        <v>47</v>
      </c>
      <c r="B166" s="143" t="s">
        <v>180</v>
      </c>
      <c r="C166" s="146" t="s">
        <v>612</v>
      </c>
      <c r="D166" s="148">
        <v>2.5000000000000001E-2</v>
      </c>
      <c r="E166" s="145" t="s">
        <v>458</v>
      </c>
    </row>
    <row r="167" spans="1:5" x14ac:dyDescent="0.25">
      <c r="A167" s="46">
        <v>47</v>
      </c>
      <c r="B167" s="143" t="s">
        <v>180</v>
      </c>
      <c r="C167" s="146" t="s">
        <v>648</v>
      </c>
      <c r="D167" s="148">
        <v>0.01</v>
      </c>
      <c r="E167" s="145" t="s">
        <v>458</v>
      </c>
    </row>
    <row r="168" spans="1:5" x14ac:dyDescent="0.25">
      <c r="A168" s="46">
        <v>47</v>
      </c>
      <c r="B168" s="143" t="s">
        <v>180</v>
      </c>
      <c r="C168" s="146" t="s">
        <v>488</v>
      </c>
      <c r="D168" s="148">
        <v>2E-3</v>
      </c>
      <c r="E168" s="145" t="s">
        <v>458</v>
      </c>
    </row>
    <row r="169" spans="1:5" x14ac:dyDescent="0.25">
      <c r="A169" s="46">
        <v>47</v>
      </c>
      <c r="B169" s="143" t="s">
        <v>180</v>
      </c>
      <c r="C169" s="143" t="s">
        <v>487</v>
      </c>
      <c r="D169" s="149">
        <v>5.0000000000000001E-4</v>
      </c>
      <c r="E169" s="145" t="s">
        <v>458</v>
      </c>
    </row>
    <row r="170" spans="1:5" x14ac:dyDescent="0.25">
      <c r="A170" s="46">
        <v>47</v>
      </c>
      <c r="B170" s="143" t="s">
        <v>180</v>
      </c>
      <c r="C170" s="143" t="s">
        <v>509</v>
      </c>
      <c r="D170" s="148">
        <v>2E-3</v>
      </c>
      <c r="E170" s="145" t="s">
        <v>458</v>
      </c>
    </row>
    <row r="171" spans="1:5" x14ac:dyDescent="0.25">
      <c r="A171" s="46">
        <v>47</v>
      </c>
      <c r="B171" s="143" t="s">
        <v>180</v>
      </c>
      <c r="C171" s="143" t="s">
        <v>480</v>
      </c>
      <c r="D171" s="148">
        <v>1E-3</v>
      </c>
      <c r="E171" s="145" t="s">
        <v>458</v>
      </c>
    </row>
    <row r="172" spans="1:5" x14ac:dyDescent="0.25">
      <c r="A172" s="46">
        <v>47</v>
      </c>
      <c r="B172" s="143" t="s">
        <v>180</v>
      </c>
      <c r="C172" s="143" t="s">
        <v>479</v>
      </c>
      <c r="D172" s="148">
        <v>0.04</v>
      </c>
      <c r="E172" s="145" t="s">
        <v>458</v>
      </c>
    </row>
    <row r="173" spans="1:5" x14ac:dyDescent="0.25">
      <c r="A173" s="46">
        <v>47</v>
      </c>
      <c r="B173" s="143" t="s">
        <v>180</v>
      </c>
      <c r="C173" s="143" t="s">
        <v>649</v>
      </c>
      <c r="D173" s="148">
        <v>1E-4</v>
      </c>
      <c r="E173" s="145" t="s">
        <v>458</v>
      </c>
    </row>
    <row r="174" spans="1:5" x14ac:dyDescent="0.25">
      <c r="A174" s="46">
        <v>47</v>
      </c>
      <c r="B174" s="143" t="s">
        <v>180</v>
      </c>
      <c r="C174" s="146" t="s">
        <v>613</v>
      </c>
      <c r="D174" s="159">
        <v>1</v>
      </c>
      <c r="E174" s="145" t="s">
        <v>579</v>
      </c>
    </row>
    <row r="175" spans="1:5" x14ac:dyDescent="0.25">
      <c r="A175" s="46">
        <v>304</v>
      </c>
      <c r="B175" s="143" t="s">
        <v>60</v>
      </c>
      <c r="C175" s="89" t="s">
        <v>999</v>
      </c>
      <c r="D175" s="141">
        <v>0.12</v>
      </c>
      <c r="E175" s="160" t="s">
        <v>450</v>
      </c>
    </row>
    <row r="176" spans="1:5" x14ac:dyDescent="0.25">
      <c r="A176" s="46">
        <v>304</v>
      </c>
      <c r="B176" s="143" t="s">
        <v>60</v>
      </c>
      <c r="C176" s="89" t="s">
        <v>466</v>
      </c>
      <c r="D176" s="141">
        <v>5.0000000000000001E-3</v>
      </c>
      <c r="E176" s="160" t="s">
        <v>450</v>
      </c>
    </row>
    <row r="177" spans="1:5" x14ac:dyDescent="0.25">
      <c r="A177" s="46">
        <v>304</v>
      </c>
      <c r="B177" s="143" t="s">
        <v>60</v>
      </c>
      <c r="C177" s="89" t="s">
        <v>459</v>
      </c>
      <c r="D177" s="141">
        <v>2.5000000000000001E-3</v>
      </c>
      <c r="E177" s="160" t="s">
        <v>450</v>
      </c>
    </row>
    <row r="178" spans="1:5" x14ac:dyDescent="0.25">
      <c r="A178" s="46">
        <v>304</v>
      </c>
      <c r="B178" s="143" t="s">
        <v>60</v>
      </c>
      <c r="C178" s="89" t="s">
        <v>453</v>
      </c>
      <c r="D178" s="141">
        <v>2.5000000000000001E-3</v>
      </c>
      <c r="E178" s="160" t="s">
        <v>450</v>
      </c>
    </row>
    <row r="179" spans="1:5" x14ac:dyDescent="0.25">
      <c r="A179" s="46">
        <v>304</v>
      </c>
      <c r="B179" s="143" t="s">
        <v>60</v>
      </c>
      <c r="C179" s="139" t="s">
        <v>455</v>
      </c>
      <c r="D179" s="141">
        <v>1E-3</v>
      </c>
      <c r="E179" s="160" t="s">
        <v>450</v>
      </c>
    </row>
    <row r="180" spans="1:5" x14ac:dyDescent="0.25">
      <c r="A180" s="46">
        <v>304</v>
      </c>
      <c r="B180" s="143" t="s">
        <v>60</v>
      </c>
      <c r="C180" s="89" t="s">
        <v>996</v>
      </c>
      <c r="D180" s="141">
        <v>1E-3</v>
      </c>
      <c r="E180" s="160" t="s">
        <v>450</v>
      </c>
    </row>
    <row r="181" spans="1:5" x14ac:dyDescent="0.25">
      <c r="A181" s="46">
        <v>304</v>
      </c>
      <c r="B181" s="143" t="s">
        <v>60</v>
      </c>
      <c r="C181" s="89" t="s">
        <v>651</v>
      </c>
      <c r="D181" s="141">
        <v>1E-3</v>
      </c>
      <c r="E181" s="160" t="s">
        <v>450</v>
      </c>
    </row>
    <row r="182" spans="1:5" x14ac:dyDescent="0.25">
      <c r="A182" s="46">
        <v>304</v>
      </c>
      <c r="B182" s="143" t="s">
        <v>60</v>
      </c>
      <c r="C182" s="89" t="s">
        <v>449</v>
      </c>
      <c r="D182" s="141">
        <v>1E-3</v>
      </c>
      <c r="E182" s="89"/>
    </row>
    <row r="183" spans="1:5" x14ac:dyDescent="0.25">
      <c r="A183" s="46">
        <v>304</v>
      </c>
      <c r="B183" s="143" t="s">
        <v>60</v>
      </c>
      <c r="C183" s="89" t="s">
        <v>614</v>
      </c>
      <c r="D183" s="141">
        <v>1E-3</v>
      </c>
      <c r="E183" s="89"/>
    </row>
    <row r="184" spans="1:5" x14ac:dyDescent="0.25">
      <c r="A184" s="46">
        <v>304</v>
      </c>
      <c r="B184" s="143" t="s">
        <v>60</v>
      </c>
      <c r="C184" s="89" t="s">
        <v>694</v>
      </c>
      <c r="D184" s="141">
        <v>1E-3</v>
      </c>
      <c r="E184" s="89"/>
    </row>
    <row r="185" spans="1:5" x14ac:dyDescent="0.25">
      <c r="A185" s="46">
        <v>304</v>
      </c>
      <c r="B185" s="143" t="s">
        <v>60</v>
      </c>
      <c r="C185" s="161" t="s">
        <v>745</v>
      </c>
      <c r="D185" s="141">
        <v>1E-3</v>
      </c>
      <c r="E185" s="89"/>
    </row>
    <row r="186" spans="1:5" x14ac:dyDescent="0.25">
      <c r="A186" s="46">
        <v>175</v>
      </c>
      <c r="B186" s="143" t="s">
        <v>243</v>
      </c>
      <c r="C186" s="152" t="s">
        <v>474</v>
      </c>
      <c r="D186" s="148">
        <v>0.05</v>
      </c>
      <c r="E186" s="145" t="s">
        <v>450</v>
      </c>
    </row>
    <row r="187" spans="1:5" x14ac:dyDescent="0.25">
      <c r="A187" s="46">
        <v>175</v>
      </c>
      <c r="B187" s="143" t="s">
        <v>243</v>
      </c>
      <c r="C187" s="143" t="s">
        <v>566</v>
      </c>
      <c r="D187" s="148">
        <v>0.15</v>
      </c>
      <c r="E187" s="145" t="s">
        <v>450</v>
      </c>
    </row>
    <row r="188" spans="1:5" x14ac:dyDescent="0.25">
      <c r="A188" s="46">
        <v>175</v>
      </c>
      <c r="B188" s="143" t="s">
        <v>243</v>
      </c>
      <c r="C188" s="146" t="s">
        <v>488</v>
      </c>
      <c r="D188" s="148">
        <v>5.0000000000000001E-3</v>
      </c>
      <c r="E188" s="145" t="s">
        <v>450</v>
      </c>
    </row>
    <row r="189" spans="1:5" x14ac:dyDescent="0.25">
      <c r="A189" s="46">
        <v>175</v>
      </c>
      <c r="B189" s="143" t="s">
        <v>243</v>
      </c>
      <c r="C189" s="146" t="s">
        <v>465</v>
      </c>
      <c r="D189" s="148">
        <v>5.0000000000000001E-3</v>
      </c>
      <c r="E189" s="145" t="s">
        <v>450</v>
      </c>
    </row>
    <row r="190" spans="1:5" x14ac:dyDescent="0.25">
      <c r="A190" s="46">
        <v>175</v>
      </c>
      <c r="B190" s="143" t="s">
        <v>243</v>
      </c>
      <c r="C190" s="146" t="s">
        <v>765</v>
      </c>
      <c r="D190" s="148">
        <v>3.0000000000000001E-3</v>
      </c>
      <c r="E190" s="145" t="s">
        <v>450</v>
      </c>
    </row>
    <row r="191" spans="1:5" x14ac:dyDescent="0.25">
      <c r="A191" s="46">
        <v>175</v>
      </c>
      <c r="B191" s="143" t="s">
        <v>243</v>
      </c>
      <c r="C191" s="146" t="s">
        <v>726</v>
      </c>
      <c r="D191" s="148">
        <v>8.0000000000000002E-3</v>
      </c>
      <c r="E191" s="145" t="s">
        <v>458</v>
      </c>
    </row>
    <row r="192" spans="1:5" x14ac:dyDescent="0.25">
      <c r="A192" s="46">
        <v>175</v>
      </c>
      <c r="B192" s="143" t="s">
        <v>243</v>
      </c>
      <c r="C192" s="146" t="s">
        <v>827</v>
      </c>
      <c r="D192" s="148">
        <v>6.0000000000000001E-3</v>
      </c>
      <c r="E192" s="145" t="s">
        <v>458</v>
      </c>
    </row>
    <row r="193" spans="1:5" x14ac:dyDescent="0.25">
      <c r="A193" s="46">
        <v>175</v>
      </c>
      <c r="B193" s="143" t="s">
        <v>243</v>
      </c>
      <c r="C193" s="146" t="s">
        <v>828</v>
      </c>
      <c r="D193" s="157">
        <v>2E-3</v>
      </c>
      <c r="E193" s="145" t="s">
        <v>450</v>
      </c>
    </row>
    <row r="194" spans="1:5" x14ac:dyDescent="0.25">
      <c r="A194" s="46">
        <v>175</v>
      </c>
      <c r="B194" s="143" t="s">
        <v>243</v>
      </c>
      <c r="C194" s="146" t="s">
        <v>829</v>
      </c>
      <c r="D194" s="157">
        <v>2E-3</v>
      </c>
      <c r="E194" s="145" t="s">
        <v>450</v>
      </c>
    </row>
    <row r="195" spans="1:5" x14ac:dyDescent="0.25">
      <c r="A195" s="46">
        <v>219</v>
      </c>
      <c r="B195" s="143" t="s">
        <v>272</v>
      </c>
      <c r="C195" s="89" t="s">
        <v>470</v>
      </c>
      <c r="D195" s="141">
        <v>2E-3</v>
      </c>
      <c r="E195" s="145" t="s">
        <v>450</v>
      </c>
    </row>
    <row r="196" spans="1:5" x14ac:dyDescent="0.25">
      <c r="A196" s="46">
        <v>219</v>
      </c>
      <c r="B196" s="143" t="s">
        <v>272</v>
      </c>
      <c r="C196" s="89" t="s">
        <v>516</v>
      </c>
      <c r="D196" s="141">
        <v>1E-3</v>
      </c>
      <c r="E196" s="145" t="s">
        <v>450</v>
      </c>
    </row>
    <row r="197" spans="1:5" x14ac:dyDescent="0.25">
      <c r="A197" s="46">
        <v>219</v>
      </c>
      <c r="B197" s="143" t="s">
        <v>272</v>
      </c>
      <c r="C197" s="152" t="s">
        <v>474</v>
      </c>
      <c r="D197" s="141">
        <v>0.08</v>
      </c>
      <c r="E197" s="141" t="s">
        <v>450</v>
      </c>
    </row>
    <row r="198" spans="1:5" x14ac:dyDescent="0.25">
      <c r="A198" s="46">
        <v>219</v>
      </c>
      <c r="B198" s="143" t="s">
        <v>272</v>
      </c>
      <c r="C198" s="89" t="s">
        <v>480</v>
      </c>
      <c r="D198" s="141">
        <v>1E-3</v>
      </c>
      <c r="E198" s="141" t="s">
        <v>450</v>
      </c>
    </row>
    <row r="199" spans="1:5" x14ac:dyDescent="0.25">
      <c r="A199" s="46">
        <v>219</v>
      </c>
      <c r="B199" s="143" t="s">
        <v>272</v>
      </c>
      <c r="C199" s="89" t="s">
        <v>509</v>
      </c>
      <c r="D199" s="141">
        <v>2E-3</v>
      </c>
      <c r="E199" s="141" t="s">
        <v>450</v>
      </c>
    </row>
    <row r="200" spans="1:5" x14ac:dyDescent="0.25">
      <c r="A200" s="46">
        <v>219</v>
      </c>
      <c r="B200" s="143" t="s">
        <v>272</v>
      </c>
      <c r="C200" s="89" t="s">
        <v>624</v>
      </c>
      <c r="D200" s="141">
        <v>1E-3</v>
      </c>
      <c r="E200" s="141" t="s">
        <v>450</v>
      </c>
    </row>
    <row r="201" spans="1:5" x14ac:dyDescent="0.25">
      <c r="A201" s="46">
        <v>219</v>
      </c>
      <c r="B201" s="143" t="s">
        <v>272</v>
      </c>
      <c r="C201" s="89" t="s">
        <v>493</v>
      </c>
      <c r="D201" s="141">
        <v>1E-3</v>
      </c>
      <c r="E201" s="141" t="s">
        <v>450</v>
      </c>
    </row>
    <row r="202" spans="1:5" x14ac:dyDescent="0.25">
      <c r="A202" s="46">
        <v>219</v>
      </c>
      <c r="B202" s="143" t="s">
        <v>272</v>
      </c>
      <c r="C202" s="89" t="s">
        <v>495</v>
      </c>
      <c r="D202" s="141">
        <v>1E-3</v>
      </c>
      <c r="E202" s="141" t="s">
        <v>450</v>
      </c>
    </row>
    <row r="203" spans="1:5" x14ac:dyDescent="0.25">
      <c r="A203" s="46">
        <v>219</v>
      </c>
      <c r="B203" s="143" t="s">
        <v>272</v>
      </c>
      <c r="C203" s="89" t="s">
        <v>478</v>
      </c>
      <c r="D203" s="141">
        <v>3.0000000000000001E-3</v>
      </c>
      <c r="E203" s="141" t="s">
        <v>448</v>
      </c>
    </row>
    <row r="204" spans="1:5" x14ac:dyDescent="0.25">
      <c r="A204" s="46">
        <v>219</v>
      </c>
      <c r="B204" s="143" t="s">
        <v>272</v>
      </c>
      <c r="C204" s="89" t="s">
        <v>776</v>
      </c>
      <c r="D204" s="141">
        <v>1E-3</v>
      </c>
      <c r="E204" s="141" t="s">
        <v>450</v>
      </c>
    </row>
    <row r="205" spans="1:5" x14ac:dyDescent="0.25">
      <c r="A205" s="46">
        <v>219</v>
      </c>
      <c r="B205" s="143" t="s">
        <v>272</v>
      </c>
      <c r="C205" s="89" t="s">
        <v>501</v>
      </c>
      <c r="D205" s="141">
        <v>1.4999999999999999E-2</v>
      </c>
      <c r="E205" s="141" t="s">
        <v>450</v>
      </c>
    </row>
    <row r="206" spans="1:5" x14ac:dyDescent="0.25">
      <c r="A206" s="46"/>
      <c r="B206" s="98" t="s">
        <v>415</v>
      </c>
      <c r="C206" s="89" t="s">
        <v>1541</v>
      </c>
      <c r="D206" s="141">
        <v>1</v>
      </c>
      <c r="E206" s="150" t="s">
        <v>450</v>
      </c>
    </row>
    <row r="207" spans="1:5" x14ac:dyDescent="0.25">
      <c r="A207" s="46"/>
      <c r="B207" s="98" t="s">
        <v>418</v>
      </c>
      <c r="C207" s="89" t="s">
        <v>1537</v>
      </c>
      <c r="D207" s="141">
        <v>1</v>
      </c>
      <c r="E207" s="150" t="s">
        <v>450</v>
      </c>
    </row>
    <row r="208" spans="1:5" x14ac:dyDescent="0.25">
      <c r="A208" s="46">
        <v>216</v>
      </c>
      <c r="B208" s="143" t="s">
        <v>269</v>
      </c>
      <c r="C208" s="89" t="s">
        <v>911</v>
      </c>
      <c r="D208" s="141">
        <v>7.0000000000000007E-2</v>
      </c>
      <c r="E208" s="145" t="s">
        <v>450</v>
      </c>
    </row>
    <row r="209" spans="1:5" x14ac:dyDescent="0.25">
      <c r="A209" s="46">
        <v>216</v>
      </c>
      <c r="B209" s="143" t="s">
        <v>269</v>
      </c>
      <c r="C209" s="89" t="s">
        <v>912</v>
      </c>
      <c r="D209" s="141">
        <v>0.02</v>
      </c>
      <c r="E209" s="145" t="s">
        <v>450</v>
      </c>
    </row>
    <row r="210" spans="1:5" x14ac:dyDescent="0.25">
      <c r="A210" s="46">
        <v>216</v>
      </c>
      <c r="B210" s="143" t="s">
        <v>269</v>
      </c>
      <c r="C210" s="89" t="s">
        <v>470</v>
      </c>
      <c r="D210" s="141">
        <v>2E-3</v>
      </c>
      <c r="E210" s="145" t="s">
        <v>450</v>
      </c>
    </row>
    <row r="211" spans="1:5" x14ac:dyDescent="0.25">
      <c r="A211" s="46">
        <v>216</v>
      </c>
      <c r="B211" s="143" t="s">
        <v>269</v>
      </c>
      <c r="C211" s="89" t="s">
        <v>516</v>
      </c>
      <c r="D211" s="141">
        <v>1E-3</v>
      </c>
      <c r="E211" s="145" t="s">
        <v>450</v>
      </c>
    </row>
    <row r="212" spans="1:5" x14ac:dyDescent="0.25">
      <c r="A212" s="46">
        <v>216</v>
      </c>
      <c r="B212" s="143" t="s">
        <v>269</v>
      </c>
      <c r="C212" s="89" t="s">
        <v>776</v>
      </c>
      <c r="D212" s="141">
        <v>1E-3</v>
      </c>
      <c r="E212" s="145" t="s">
        <v>450</v>
      </c>
    </row>
    <row r="213" spans="1:5" x14ac:dyDescent="0.25">
      <c r="A213" s="46">
        <v>216</v>
      </c>
      <c r="B213" s="143" t="s">
        <v>269</v>
      </c>
      <c r="C213" s="89" t="s">
        <v>569</v>
      </c>
      <c r="D213" s="141">
        <v>2E-3</v>
      </c>
      <c r="E213" s="145" t="s">
        <v>458</v>
      </c>
    </row>
    <row r="214" spans="1:5" x14ac:dyDescent="0.25">
      <c r="A214" s="46">
        <v>216</v>
      </c>
      <c r="B214" s="143" t="s">
        <v>269</v>
      </c>
      <c r="C214" s="89" t="s">
        <v>583</v>
      </c>
      <c r="D214" s="141">
        <v>2E-3</v>
      </c>
      <c r="E214" s="145" t="s">
        <v>458</v>
      </c>
    </row>
    <row r="215" spans="1:5" x14ac:dyDescent="0.25">
      <c r="A215" s="46">
        <v>216</v>
      </c>
      <c r="B215" s="143" t="s">
        <v>269</v>
      </c>
      <c r="C215" s="89" t="s">
        <v>465</v>
      </c>
      <c r="D215" s="141">
        <v>5.0000000000000001E-3</v>
      </c>
      <c r="E215" s="145" t="s">
        <v>458</v>
      </c>
    </row>
    <row r="216" spans="1:5" x14ac:dyDescent="0.25">
      <c r="A216" s="46">
        <v>216</v>
      </c>
      <c r="B216" s="143" t="s">
        <v>269</v>
      </c>
      <c r="C216" s="89" t="s">
        <v>913</v>
      </c>
      <c r="D216" s="141">
        <v>0.01</v>
      </c>
      <c r="E216" s="145" t="s">
        <v>458</v>
      </c>
    </row>
    <row r="217" spans="1:5" x14ac:dyDescent="0.25">
      <c r="A217" s="46">
        <v>216</v>
      </c>
      <c r="B217" s="143" t="s">
        <v>269</v>
      </c>
      <c r="C217" s="89" t="s">
        <v>484</v>
      </c>
      <c r="D217" s="141" t="s">
        <v>723</v>
      </c>
      <c r="E217" s="145" t="s">
        <v>458</v>
      </c>
    </row>
    <row r="218" spans="1:5" x14ac:dyDescent="0.25">
      <c r="A218" s="46">
        <v>216</v>
      </c>
      <c r="B218" s="143" t="s">
        <v>269</v>
      </c>
      <c r="C218" s="89" t="s">
        <v>480</v>
      </c>
      <c r="D218" s="141">
        <v>3.0000000000000001E-3</v>
      </c>
      <c r="E218" s="145" t="s">
        <v>450</v>
      </c>
    </row>
    <row r="219" spans="1:5" x14ac:dyDescent="0.25">
      <c r="A219" s="46">
        <v>75</v>
      </c>
      <c r="B219" s="143" t="s">
        <v>197</v>
      </c>
      <c r="C219" s="143" t="s">
        <v>722</v>
      </c>
      <c r="D219" s="144">
        <v>2</v>
      </c>
      <c r="E219" s="145" t="s">
        <v>749</v>
      </c>
    </row>
    <row r="220" spans="1:5" x14ac:dyDescent="0.25">
      <c r="A220" s="46">
        <v>75</v>
      </c>
      <c r="B220" s="143" t="s">
        <v>197</v>
      </c>
      <c r="C220" s="143" t="s">
        <v>703</v>
      </c>
      <c r="D220" s="144">
        <v>0.04</v>
      </c>
      <c r="E220" s="142" t="s">
        <v>450</v>
      </c>
    </row>
    <row r="221" spans="1:5" x14ac:dyDescent="0.25">
      <c r="A221" s="46">
        <v>75</v>
      </c>
      <c r="B221" s="143" t="s">
        <v>197</v>
      </c>
      <c r="C221" s="143" t="s">
        <v>625</v>
      </c>
      <c r="D221" s="144">
        <v>1</v>
      </c>
      <c r="E221" s="145" t="s">
        <v>749</v>
      </c>
    </row>
    <row r="222" spans="1:5" x14ac:dyDescent="0.25">
      <c r="A222" s="46">
        <v>75</v>
      </c>
      <c r="B222" s="143" t="s">
        <v>197</v>
      </c>
      <c r="C222" s="152" t="s">
        <v>512</v>
      </c>
      <c r="D222" s="144" t="s">
        <v>723</v>
      </c>
      <c r="E222" s="142" t="s">
        <v>458</v>
      </c>
    </row>
    <row r="223" spans="1:5" x14ac:dyDescent="0.25">
      <c r="A223" s="46">
        <v>75</v>
      </c>
      <c r="B223" s="143" t="s">
        <v>197</v>
      </c>
      <c r="C223" s="143" t="s">
        <v>673</v>
      </c>
      <c r="D223" s="144">
        <v>5.0000000000000001E-3</v>
      </c>
      <c r="E223" s="142" t="s">
        <v>458</v>
      </c>
    </row>
    <row r="224" spans="1:5" x14ac:dyDescent="0.25">
      <c r="A224" s="46">
        <v>75</v>
      </c>
      <c r="B224" s="143" t="s">
        <v>197</v>
      </c>
      <c r="C224" s="143" t="s">
        <v>724</v>
      </c>
      <c r="D224" s="144">
        <v>0.02</v>
      </c>
      <c r="E224" s="142" t="s">
        <v>450</v>
      </c>
    </row>
    <row r="225" spans="1:5" x14ac:dyDescent="0.25">
      <c r="A225" s="46">
        <v>75</v>
      </c>
      <c r="B225" s="143" t="s">
        <v>197</v>
      </c>
      <c r="C225" s="143" t="s">
        <v>488</v>
      </c>
      <c r="D225" s="144">
        <v>1E-3</v>
      </c>
      <c r="E225" s="142" t="s">
        <v>450</v>
      </c>
    </row>
    <row r="226" spans="1:5" x14ac:dyDescent="0.25">
      <c r="A226" s="46">
        <v>75</v>
      </c>
      <c r="B226" s="143" t="s">
        <v>197</v>
      </c>
      <c r="C226" s="143" t="s">
        <v>467</v>
      </c>
      <c r="D226" s="144">
        <v>1E-3</v>
      </c>
      <c r="E226" s="142" t="s">
        <v>450</v>
      </c>
    </row>
    <row r="227" spans="1:5" x14ac:dyDescent="0.25">
      <c r="A227" s="46">
        <v>75</v>
      </c>
      <c r="B227" s="143" t="s">
        <v>197</v>
      </c>
      <c r="C227" s="143" t="s">
        <v>523</v>
      </c>
      <c r="D227" s="144">
        <v>0.01</v>
      </c>
      <c r="E227" s="142" t="s">
        <v>450</v>
      </c>
    </row>
    <row r="228" spans="1:5" x14ac:dyDescent="0.25">
      <c r="A228" s="46"/>
      <c r="B228" s="98" t="s">
        <v>1468</v>
      </c>
      <c r="C228" s="89" t="s">
        <v>1036</v>
      </c>
      <c r="D228" s="141">
        <v>1</v>
      </c>
      <c r="E228" s="150" t="s">
        <v>450</v>
      </c>
    </row>
    <row r="229" spans="1:5" x14ac:dyDescent="0.25">
      <c r="A229" s="46">
        <v>34</v>
      </c>
      <c r="B229" s="143" t="s">
        <v>171</v>
      </c>
      <c r="C229" s="89" t="s">
        <v>601</v>
      </c>
      <c r="D229" s="144">
        <v>0.16500000000000001</v>
      </c>
      <c r="E229" s="142" t="s">
        <v>450</v>
      </c>
    </row>
    <row r="230" spans="1:5" x14ac:dyDescent="0.25">
      <c r="A230" s="46">
        <v>34</v>
      </c>
      <c r="B230" s="143" t="s">
        <v>171</v>
      </c>
      <c r="C230" s="143" t="s">
        <v>625</v>
      </c>
      <c r="D230" s="144">
        <v>1</v>
      </c>
      <c r="E230" s="145" t="s">
        <v>749</v>
      </c>
    </row>
    <row r="231" spans="1:5" x14ac:dyDescent="0.25">
      <c r="A231" s="46">
        <v>34</v>
      </c>
      <c r="B231" s="143" t="s">
        <v>171</v>
      </c>
      <c r="C231" s="143" t="s">
        <v>502</v>
      </c>
      <c r="D231" s="144">
        <v>5.0000000000000001E-3</v>
      </c>
      <c r="E231" s="142" t="s">
        <v>450</v>
      </c>
    </row>
    <row r="232" spans="1:5" x14ac:dyDescent="0.25">
      <c r="A232" s="46">
        <v>34</v>
      </c>
      <c r="B232" s="143" t="s">
        <v>171</v>
      </c>
      <c r="C232" s="143" t="s">
        <v>488</v>
      </c>
      <c r="D232" s="144">
        <v>2E-3</v>
      </c>
      <c r="E232" s="142" t="s">
        <v>450</v>
      </c>
    </row>
    <row r="233" spans="1:5" x14ac:dyDescent="0.25">
      <c r="A233" s="46">
        <v>34</v>
      </c>
      <c r="B233" s="143" t="s">
        <v>171</v>
      </c>
      <c r="C233" s="143" t="s">
        <v>467</v>
      </c>
      <c r="D233" s="144">
        <v>2E-3</v>
      </c>
      <c r="E233" s="142" t="s">
        <v>448</v>
      </c>
    </row>
    <row r="234" spans="1:5" x14ac:dyDescent="0.25">
      <c r="A234" s="46">
        <v>34</v>
      </c>
      <c r="B234" s="143" t="s">
        <v>171</v>
      </c>
      <c r="C234" s="143" t="s">
        <v>487</v>
      </c>
      <c r="D234" s="144">
        <v>1E-3</v>
      </c>
      <c r="E234" s="142" t="s">
        <v>450</v>
      </c>
    </row>
    <row r="235" spans="1:5" x14ac:dyDescent="0.25">
      <c r="A235" s="46">
        <v>270</v>
      </c>
      <c r="B235" s="143" t="s">
        <v>300</v>
      </c>
      <c r="C235" s="89" t="s">
        <v>956</v>
      </c>
      <c r="D235" s="162">
        <v>0.5</v>
      </c>
      <c r="E235" s="145" t="s">
        <v>749</v>
      </c>
    </row>
    <row r="236" spans="1:5" x14ac:dyDescent="0.25">
      <c r="A236" s="46">
        <v>270</v>
      </c>
      <c r="B236" s="143" t="s">
        <v>300</v>
      </c>
      <c r="C236" s="89" t="s">
        <v>961</v>
      </c>
      <c r="D236" s="141">
        <v>7.0000000000000007E-2</v>
      </c>
      <c r="E236" s="89" t="s">
        <v>458</v>
      </c>
    </row>
    <row r="237" spans="1:5" x14ac:dyDescent="0.25">
      <c r="A237" s="46">
        <v>270</v>
      </c>
      <c r="B237" s="143" t="s">
        <v>300</v>
      </c>
      <c r="C237" s="143" t="s">
        <v>500</v>
      </c>
      <c r="D237" s="141">
        <v>1.4999999999999999E-2</v>
      </c>
      <c r="E237" s="89" t="s">
        <v>458</v>
      </c>
    </row>
    <row r="238" spans="1:5" x14ac:dyDescent="0.25">
      <c r="A238" s="46">
        <v>270</v>
      </c>
      <c r="B238" s="143" t="s">
        <v>300</v>
      </c>
      <c r="C238" s="143" t="s">
        <v>460</v>
      </c>
      <c r="D238" s="141">
        <v>5.0000000000000001E-3</v>
      </c>
      <c r="E238" s="89" t="s">
        <v>458</v>
      </c>
    </row>
    <row r="239" spans="1:5" x14ac:dyDescent="0.25">
      <c r="A239" s="46">
        <v>270</v>
      </c>
      <c r="B239" s="143" t="s">
        <v>300</v>
      </c>
      <c r="C239" s="89" t="s">
        <v>827</v>
      </c>
      <c r="D239" s="141">
        <v>0.01</v>
      </c>
      <c r="E239" s="89" t="s">
        <v>458</v>
      </c>
    </row>
    <row r="240" spans="1:5" x14ac:dyDescent="0.25">
      <c r="A240" s="46">
        <v>270</v>
      </c>
      <c r="B240" s="143" t="s">
        <v>300</v>
      </c>
      <c r="C240" s="89" t="s">
        <v>891</v>
      </c>
      <c r="D240" s="141">
        <v>0.01</v>
      </c>
      <c r="E240" s="89" t="s">
        <v>458</v>
      </c>
    </row>
    <row r="241" spans="1:5" x14ac:dyDescent="0.25">
      <c r="A241" s="46">
        <v>270</v>
      </c>
      <c r="B241" s="143" t="s">
        <v>300</v>
      </c>
      <c r="C241" s="89" t="s">
        <v>962</v>
      </c>
      <c r="D241" s="141">
        <v>1.4999999999999999E-2</v>
      </c>
      <c r="E241" s="89" t="s">
        <v>458</v>
      </c>
    </row>
    <row r="242" spans="1:5" x14ac:dyDescent="0.25">
      <c r="A242" s="46">
        <v>270</v>
      </c>
      <c r="B242" s="143" t="s">
        <v>300</v>
      </c>
      <c r="C242" s="89" t="s">
        <v>470</v>
      </c>
      <c r="D242" s="141">
        <v>1E-3</v>
      </c>
      <c r="E242" s="89" t="s">
        <v>458</v>
      </c>
    </row>
    <row r="243" spans="1:5" x14ac:dyDescent="0.25">
      <c r="A243" s="46">
        <v>270</v>
      </c>
      <c r="B243" s="143" t="s">
        <v>300</v>
      </c>
      <c r="C243" s="89" t="s">
        <v>516</v>
      </c>
      <c r="D243" s="141">
        <v>1E-4</v>
      </c>
      <c r="E243" s="89" t="s">
        <v>458</v>
      </c>
    </row>
    <row r="244" spans="1:5" x14ac:dyDescent="0.25">
      <c r="A244" s="46">
        <v>271</v>
      </c>
      <c r="B244" s="143" t="s">
        <v>301</v>
      </c>
      <c r="C244" s="89" t="s">
        <v>956</v>
      </c>
      <c r="D244" s="162">
        <v>0.5</v>
      </c>
      <c r="E244" s="145" t="s">
        <v>749</v>
      </c>
    </row>
    <row r="245" spans="1:5" x14ac:dyDescent="0.25">
      <c r="A245" s="46">
        <v>271</v>
      </c>
      <c r="B245" s="143" t="s">
        <v>301</v>
      </c>
      <c r="C245" s="89" t="s">
        <v>957</v>
      </c>
      <c r="D245" s="163">
        <v>4.2000000000000003E-2</v>
      </c>
      <c r="E245" s="89" t="s">
        <v>458</v>
      </c>
    </row>
    <row r="246" spans="1:5" x14ac:dyDescent="0.25">
      <c r="A246" s="46">
        <v>271</v>
      </c>
      <c r="B246" s="143" t="s">
        <v>301</v>
      </c>
      <c r="C246" s="89" t="s">
        <v>764</v>
      </c>
      <c r="D246" s="141">
        <v>0.04</v>
      </c>
      <c r="E246" s="89" t="s">
        <v>458</v>
      </c>
    </row>
    <row r="247" spans="1:5" x14ac:dyDescent="0.25">
      <c r="A247" s="46">
        <v>271</v>
      </c>
      <c r="B247" s="143" t="s">
        <v>301</v>
      </c>
      <c r="C247" s="89" t="s">
        <v>593</v>
      </c>
      <c r="D247" s="141">
        <v>0.03</v>
      </c>
      <c r="E247" s="89" t="s">
        <v>458</v>
      </c>
    </row>
    <row r="248" spans="1:5" x14ac:dyDescent="0.25">
      <c r="A248" s="46">
        <v>271</v>
      </c>
      <c r="B248" s="143" t="s">
        <v>301</v>
      </c>
      <c r="C248" s="89" t="s">
        <v>958</v>
      </c>
      <c r="D248" s="141">
        <v>5.5E-2</v>
      </c>
      <c r="E248" s="89" t="s">
        <v>458</v>
      </c>
    </row>
    <row r="249" spans="1:5" x14ac:dyDescent="0.25">
      <c r="A249" s="46">
        <v>272</v>
      </c>
      <c r="B249" s="143" t="s">
        <v>302</v>
      </c>
      <c r="C249" s="89" t="s">
        <v>956</v>
      </c>
      <c r="D249" s="162">
        <v>0.5</v>
      </c>
      <c r="E249" s="89" t="s">
        <v>458</v>
      </c>
    </row>
    <row r="250" spans="1:5" x14ac:dyDescent="0.25">
      <c r="A250" s="46">
        <v>272</v>
      </c>
      <c r="B250" s="143" t="s">
        <v>302</v>
      </c>
      <c r="C250" s="164" t="s">
        <v>568</v>
      </c>
      <c r="D250" s="141">
        <v>1.4999999999999999E-2</v>
      </c>
      <c r="E250" s="89" t="s">
        <v>458</v>
      </c>
    </row>
    <row r="251" spans="1:5" x14ac:dyDescent="0.25">
      <c r="A251" s="46">
        <v>272</v>
      </c>
      <c r="B251" s="143" t="s">
        <v>302</v>
      </c>
      <c r="C251" s="152" t="s">
        <v>512</v>
      </c>
      <c r="D251" s="141">
        <v>0.01</v>
      </c>
      <c r="E251" s="89" t="s">
        <v>458</v>
      </c>
    </row>
    <row r="252" spans="1:5" x14ac:dyDescent="0.25">
      <c r="A252" s="46">
        <v>272</v>
      </c>
      <c r="B252" s="143" t="s">
        <v>302</v>
      </c>
      <c r="C252" s="89" t="s">
        <v>827</v>
      </c>
      <c r="D252" s="141">
        <v>1.4999999999999999E-2</v>
      </c>
      <c r="E252" s="89" t="s">
        <v>458</v>
      </c>
    </row>
    <row r="253" spans="1:5" x14ac:dyDescent="0.25">
      <c r="A253" s="46">
        <v>272</v>
      </c>
      <c r="B253" s="143" t="s">
        <v>302</v>
      </c>
      <c r="C253" s="89" t="s">
        <v>485</v>
      </c>
      <c r="D253" s="141">
        <v>0.01</v>
      </c>
      <c r="E253" s="89" t="s">
        <v>458</v>
      </c>
    </row>
    <row r="254" spans="1:5" x14ac:dyDescent="0.25">
      <c r="A254" s="46">
        <v>272</v>
      </c>
      <c r="B254" s="143" t="s">
        <v>302</v>
      </c>
      <c r="C254" s="89" t="s">
        <v>470</v>
      </c>
      <c r="D254" s="141">
        <v>1E-3</v>
      </c>
      <c r="E254" s="89" t="s">
        <v>458</v>
      </c>
    </row>
    <row r="255" spans="1:5" x14ac:dyDescent="0.25">
      <c r="A255" s="46">
        <v>272</v>
      </c>
      <c r="B255" s="143" t="s">
        <v>302</v>
      </c>
      <c r="C255" s="89" t="s">
        <v>516</v>
      </c>
      <c r="D255" s="141">
        <v>1E-4</v>
      </c>
      <c r="E255" s="89" t="s">
        <v>458</v>
      </c>
    </row>
    <row r="256" spans="1:5" x14ac:dyDescent="0.25">
      <c r="A256" s="46">
        <v>273</v>
      </c>
      <c r="B256" s="143" t="s">
        <v>303</v>
      </c>
      <c r="C256" s="89" t="s">
        <v>956</v>
      </c>
      <c r="D256" s="162">
        <v>0.5</v>
      </c>
      <c r="E256" s="145" t="s">
        <v>749</v>
      </c>
    </row>
    <row r="257" spans="1:5" x14ac:dyDescent="0.25">
      <c r="A257" s="46">
        <v>273</v>
      </c>
      <c r="B257" s="143" t="s">
        <v>303</v>
      </c>
      <c r="C257" s="89" t="s">
        <v>959</v>
      </c>
      <c r="D257" s="141">
        <v>4.4999999999999998E-2</v>
      </c>
      <c r="E257" s="89" t="s">
        <v>458</v>
      </c>
    </row>
    <row r="258" spans="1:5" x14ac:dyDescent="0.25">
      <c r="A258" s="46">
        <v>273</v>
      </c>
      <c r="B258" s="143" t="s">
        <v>303</v>
      </c>
      <c r="C258" s="89" t="s">
        <v>960</v>
      </c>
      <c r="D258" s="141">
        <v>0.06</v>
      </c>
      <c r="E258" s="89" t="s">
        <v>458</v>
      </c>
    </row>
    <row r="259" spans="1:5" x14ac:dyDescent="0.25">
      <c r="A259" s="46">
        <v>273</v>
      </c>
      <c r="B259" s="143" t="s">
        <v>303</v>
      </c>
      <c r="C259" s="152" t="s">
        <v>503</v>
      </c>
      <c r="D259" s="141">
        <v>1.4999999999999999E-2</v>
      </c>
      <c r="E259" s="89" t="s">
        <v>458</v>
      </c>
    </row>
    <row r="260" spans="1:5" x14ac:dyDescent="0.25">
      <c r="A260" s="46">
        <v>273</v>
      </c>
      <c r="B260" s="143" t="s">
        <v>303</v>
      </c>
      <c r="C260" s="89" t="s">
        <v>478</v>
      </c>
      <c r="D260" s="141">
        <v>1.4999999999999999E-2</v>
      </c>
      <c r="E260" s="89" t="s">
        <v>448</v>
      </c>
    </row>
    <row r="261" spans="1:5" x14ac:dyDescent="0.25">
      <c r="A261" s="46">
        <v>273</v>
      </c>
      <c r="B261" s="143" t="s">
        <v>303</v>
      </c>
      <c r="C261" s="89" t="s">
        <v>500</v>
      </c>
      <c r="D261" s="141">
        <v>5.0000000000000001E-3</v>
      </c>
      <c r="E261" s="89" t="s">
        <v>458</v>
      </c>
    </row>
    <row r="262" spans="1:5" x14ac:dyDescent="0.25">
      <c r="A262" s="46">
        <v>273</v>
      </c>
      <c r="B262" s="143" t="s">
        <v>303</v>
      </c>
      <c r="C262" s="89" t="s">
        <v>480</v>
      </c>
      <c r="D262" s="141">
        <v>1E-4</v>
      </c>
      <c r="E262" s="89" t="s">
        <v>458</v>
      </c>
    </row>
    <row r="263" spans="1:5" x14ac:dyDescent="0.25">
      <c r="A263" s="46">
        <v>273</v>
      </c>
      <c r="B263" s="143" t="s">
        <v>303</v>
      </c>
      <c r="C263" s="89" t="s">
        <v>470</v>
      </c>
      <c r="D263" s="141">
        <v>1E-3</v>
      </c>
      <c r="E263" s="89" t="s">
        <v>458</v>
      </c>
    </row>
    <row r="264" spans="1:5" x14ac:dyDescent="0.25">
      <c r="A264" s="46">
        <v>273</v>
      </c>
      <c r="B264" s="143" t="s">
        <v>303</v>
      </c>
      <c r="C264" s="89" t="s">
        <v>516</v>
      </c>
      <c r="D264" s="141">
        <v>1E-3</v>
      </c>
      <c r="E264" s="89" t="s">
        <v>458</v>
      </c>
    </row>
    <row r="265" spans="1:5" x14ac:dyDescent="0.25">
      <c r="A265" s="47">
        <v>256</v>
      </c>
      <c r="B265" s="143" t="s">
        <v>288</v>
      </c>
      <c r="C265" s="152" t="s">
        <v>494</v>
      </c>
      <c r="D265" s="148">
        <v>0.18</v>
      </c>
      <c r="E265" s="145" t="s">
        <v>450</v>
      </c>
    </row>
    <row r="266" spans="1:5" x14ac:dyDescent="0.25">
      <c r="A266" s="47">
        <v>256</v>
      </c>
      <c r="B266" s="143" t="s">
        <v>288</v>
      </c>
      <c r="C266" s="152" t="s">
        <v>459</v>
      </c>
      <c r="D266" s="148">
        <v>0.01</v>
      </c>
      <c r="E266" s="145" t="s">
        <v>450</v>
      </c>
    </row>
    <row r="267" spans="1:5" x14ac:dyDescent="0.25">
      <c r="A267" s="47">
        <v>256</v>
      </c>
      <c r="B267" s="143" t="s">
        <v>288</v>
      </c>
      <c r="C267" s="152" t="s">
        <v>493</v>
      </c>
      <c r="D267" s="148">
        <v>1E-3</v>
      </c>
      <c r="E267" s="145" t="s">
        <v>450</v>
      </c>
    </row>
    <row r="268" spans="1:5" x14ac:dyDescent="0.25">
      <c r="A268" s="47">
        <v>256</v>
      </c>
      <c r="B268" s="143" t="s">
        <v>288</v>
      </c>
      <c r="C268" s="89" t="s">
        <v>464</v>
      </c>
      <c r="D268" s="148">
        <v>1E-3</v>
      </c>
      <c r="E268" s="145" t="s">
        <v>450</v>
      </c>
    </row>
    <row r="269" spans="1:5" x14ac:dyDescent="0.25">
      <c r="A269" s="47">
        <v>256</v>
      </c>
      <c r="B269" s="143" t="s">
        <v>288</v>
      </c>
      <c r="C269" s="152" t="s">
        <v>495</v>
      </c>
      <c r="D269" s="148">
        <v>1E-3</v>
      </c>
      <c r="E269" s="145" t="s">
        <v>450</v>
      </c>
    </row>
    <row r="270" spans="1:5" x14ac:dyDescent="0.25">
      <c r="A270" s="47">
        <v>256</v>
      </c>
      <c r="B270" s="143" t="s">
        <v>288</v>
      </c>
      <c r="C270" s="152" t="s">
        <v>480</v>
      </c>
      <c r="D270" s="148">
        <v>1E-3</v>
      </c>
      <c r="E270" s="145" t="s">
        <v>450</v>
      </c>
    </row>
    <row r="271" spans="1:5" x14ac:dyDescent="0.25">
      <c r="A271" s="46">
        <v>239</v>
      </c>
      <c r="B271" s="143" t="s">
        <v>279</v>
      </c>
      <c r="C271" s="90" t="s">
        <v>702</v>
      </c>
      <c r="D271" s="141">
        <v>0.12</v>
      </c>
      <c r="E271" s="141" t="s">
        <v>450</v>
      </c>
    </row>
    <row r="272" spans="1:5" x14ac:dyDescent="0.25">
      <c r="A272" s="46">
        <v>239</v>
      </c>
      <c r="B272" s="143" t="s">
        <v>279</v>
      </c>
      <c r="C272" s="89" t="s">
        <v>559</v>
      </c>
      <c r="D272" s="141">
        <v>0.05</v>
      </c>
      <c r="E272" s="141" t="s">
        <v>450</v>
      </c>
    </row>
    <row r="273" spans="1:5" x14ac:dyDescent="0.25">
      <c r="A273" s="46">
        <v>239</v>
      </c>
      <c r="B273" s="143" t="s">
        <v>279</v>
      </c>
      <c r="C273" s="89" t="s">
        <v>558</v>
      </c>
      <c r="D273" s="141">
        <v>2E-3</v>
      </c>
      <c r="E273" s="141" t="s">
        <v>448</v>
      </c>
    </row>
    <row r="274" spans="1:5" x14ac:dyDescent="0.25">
      <c r="A274" s="46">
        <v>239</v>
      </c>
      <c r="B274" s="143" t="s">
        <v>279</v>
      </c>
      <c r="C274" s="143" t="s">
        <v>461</v>
      </c>
      <c r="D274" s="141">
        <v>3.0000000000000001E-3</v>
      </c>
      <c r="E274" s="141" t="s">
        <v>450</v>
      </c>
    </row>
    <row r="275" spans="1:5" x14ac:dyDescent="0.25">
      <c r="A275" s="46">
        <v>239</v>
      </c>
      <c r="B275" s="143" t="s">
        <v>279</v>
      </c>
      <c r="C275" s="89" t="s">
        <v>478</v>
      </c>
      <c r="D275" s="141">
        <v>3.0000000000000001E-3</v>
      </c>
      <c r="E275" s="141" t="s">
        <v>448</v>
      </c>
    </row>
    <row r="276" spans="1:5" x14ac:dyDescent="0.25">
      <c r="A276" s="46">
        <v>239</v>
      </c>
      <c r="B276" s="143" t="s">
        <v>279</v>
      </c>
      <c r="C276" s="89" t="s">
        <v>470</v>
      </c>
      <c r="D276" s="141">
        <v>1E-3</v>
      </c>
      <c r="E276" s="145" t="s">
        <v>450</v>
      </c>
    </row>
    <row r="277" spans="1:5" x14ac:dyDescent="0.25">
      <c r="A277" s="46">
        <v>239</v>
      </c>
      <c r="B277" s="143" t="s">
        <v>279</v>
      </c>
      <c r="C277" s="89" t="s">
        <v>516</v>
      </c>
      <c r="D277" s="141">
        <v>1E-3</v>
      </c>
      <c r="E277" s="145" t="s">
        <v>450</v>
      </c>
    </row>
    <row r="278" spans="1:5" x14ac:dyDescent="0.25">
      <c r="A278" s="46">
        <v>239</v>
      </c>
      <c r="B278" s="143" t="s">
        <v>279</v>
      </c>
      <c r="C278" s="89" t="s">
        <v>942</v>
      </c>
      <c r="D278" s="141">
        <v>0.02</v>
      </c>
      <c r="E278" s="141" t="s">
        <v>450</v>
      </c>
    </row>
    <row r="279" spans="1:5" x14ac:dyDescent="0.25">
      <c r="A279" s="46">
        <v>239</v>
      </c>
      <c r="B279" s="143" t="s">
        <v>279</v>
      </c>
      <c r="C279" s="89" t="s">
        <v>687</v>
      </c>
      <c r="D279" s="141">
        <v>0.05</v>
      </c>
      <c r="E279" s="141" t="s">
        <v>450</v>
      </c>
    </row>
    <row r="280" spans="1:5" x14ac:dyDescent="0.25">
      <c r="A280" s="46">
        <v>239</v>
      </c>
      <c r="B280" s="143" t="s">
        <v>279</v>
      </c>
      <c r="C280" s="89" t="s">
        <v>502</v>
      </c>
      <c r="D280" s="141">
        <v>0.05</v>
      </c>
      <c r="E280" s="141" t="s">
        <v>450</v>
      </c>
    </row>
    <row r="281" spans="1:5" x14ac:dyDescent="0.25">
      <c r="A281" s="46"/>
      <c r="B281" s="98" t="s">
        <v>400</v>
      </c>
      <c r="C281" s="89" t="s">
        <v>1546</v>
      </c>
      <c r="D281" s="141">
        <v>1</v>
      </c>
      <c r="E281" s="150" t="s">
        <v>450</v>
      </c>
    </row>
    <row r="282" spans="1:5" x14ac:dyDescent="0.25">
      <c r="A282" s="46">
        <v>46</v>
      </c>
      <c r="B282" s="143" t="s">
        <v>179</v>
      </c>
      <c r="C282" s="143" t="s">
        <v>560</v>
      </c>
      <c r="D282" s="148">
        <v>0.13</v>
      </c>
      <c r="E282" s="145" t="s">
        <v>450</v>
      </c>
    </row>
    <row r="283" spans="1:5" x14ac:dyDescent="0.25">
      <c r="A283" s="46">
        <v>46</v>
      </c>
      <c r="B283" s="143" t="s">
        <v>179</v>
      </c>
      <c r="C283" s="143" t="s">
        <v>467</v>
      </c>
      <c r="D283" s="148">
        <v>3.0000000000000001E-3</v>
      </c>
      <c r="E283" s="145" t="s">
        <v>448</v>
      </c>
    </row>
    <row r="284" spans="1:5" x14ac:dyDescent="0.25">
      <c r="A284" s="46">
        <v>46</v>
      </c>
      <c r="B284" s="143" t="s">
        <v>179</v>
      </c>
      <c r="C284" s="146" t="s">
        <v>621</v>
      </c>
      <c r="D284" s="148">
        <v>1E-3</v>
      </c>
      <c r="E284" s="145" t="s">
        <v>458</v>
      </c>
    </row>
    <row r="285" spans="1:5" x14ac:dyDescent="0.25">
      <c r="A285" s="46">
        <v>46</v>
      </c>
      <c r="B285" s="143" t="s">
        <v>179</v>
      </c>
      <c r="C285" s="146" t="s">
        <v>488</v>
      </c>
      <c r="D285" s="148">
        <v>3.0000000000000001E-3</v>
      </c>
      <c r="E285" s="145" t="s">
        <v>458</v>
      </c>
    </row>
    <row r="286" spans="1:5" x14ac:dyDescent="0.25">
      <c r="A286" s="46">
        <v>46</v>
      </c>
      <c r="B286" s="143" t="s">
        <v>179</v>
      </c>
      <c r="C286" s="89" t="s">
        <v>464</v>
      </c>
      <c r="D286" s="148">
        <v>1E-3</v>
      </c>
      <c r="E286" s="145" t="s">
        <v>458</v>
      </c>
    </row>
    <row r="287" spans="1:5" x14ac:dyDescent="0.25">
      <c r="A287" s="46">
        <v>46</v>
      </c>
      <c r="B287" s="143" t="s">
        <v>179</v>
      </c>
      <c r="C287" s="146" t="s">
        <v>504</v>
      </c>
      <c r="D287" s="148">
        <v>1.4999999999999999E-2</v>
      </c>
      <c r="E287" s="145" t="s">
        <v>458</v>
      </c>
    </row>
    <row r="288" spans="1:5" x14ac:dyDescent="0.25">
      <c r="A288" s="46">
        <v>46</v>
      </c>
      <c r="B288" s="143" t="s">
        <v>179</v>
      </c>
      <c r="C288" s="143" t="s">
        <v>487</v>
      </c>
      <c r="D288" s="149">
        <v>5.0000000000000001E-4</v>
      </c>
      <c r="E288" s="145" t="s">
        <v>458</v>
      </c>
    </row>
    <row r="289" spans="1:5" x14ac:dyDescent="0.25">
      <c r="A289" s="47">
        <v>255</v>
      </c>
      <c r="B289" s="143" t="s">
        <v>287</v>
      </c>
      <c r="C289" s="152" t="s">
        <v>492</v>
      </c>
      <c r="D289" s="148">
        <v>0.2</v>
      </c>
      <c r="E289" s="145" t="s">
        <v>450</v>
      </c>
    </row>
    <row r="290" spans="1:5" x14ac:dyDescent="0.25">
      <c r="A290" s="47">
        <v>255</v>
      </c>
      <c r="B290" s="143" t="s">
        <v>287</v>
      </c>
      <c r="C290" s="152" t="s">
        <v>469</v>
      </c>
      <c r="D290" s="148">
        <v>0.01</v>
      </c>
      <c r="E290" s="145" t="s">
        <v>448</v>
      </c>
    </row>
    <row r="291" spans="1:5" x14ac:dyDescent="0.25">
      <c r="A291" s="47">
        <v>255</v>
      </c>
      <c r="B291" s="143" t="s">
        <v>287</v>
      </c>
      <c r="C291" s="152" t="s">
        <v>470</v>
      </c>
      <c r="D291" s="148">
        <v>2E-3</v>
      </c>
      <c r="E291" s="145" t="s">
        <v>450</v>
      </c>
    </row>
    <row r="292" spans="1:5" x14ac:dyDescent="0.25">
      <c r="A292" s="47">
        <v>255</v>
      </c>
      <c r="B292" s="143" t="s">
        <v>287</v>
      </c>
      <c r="C292" s="152" t="s">
        <v>493</v>
      </c>
      <c r="D292" s="148">
        <v>1E-3</v>
      </c>
      <c r="E292" s="145" t="s">
        <v>450</v>
      </c>
    </row>
    <row r="293" spans="1:5" x14ac:dyDescent="0.25">
      <c r="A293" s="46">
        <v>222</v>
      </c>
      <c r="B293" s="143" t="s">
        <v>64</v>
      </c>
      <c r="C293" s="89" t="s">
        <v>507</v>
      </c>
      <c r="D293" s="141">
        <v>0.06</v>
      </c>
      <c r="E293" s="141" t="s">
        <v>450</v>
      </c>
    </row>
    <row r="294" spans="1:5" x14ac:dyDescent="0.25">
      <c r="A294" s="46">
        <v>222</v>
      </c>
      <c r="B294" s="143" t="s">
        <v>64</v>
      </c>
      <c r="C294" s="89" t="s">
        <v>538</v>
      </c>
      <c r="D294" s="141">
        <v>3.0000000000000001E-3</v>
      </c>
      <c r="E294" s="141" t="s">
        <v>450</v>
      </c>
    </row>
    <row r="295" spans="1:5" x14ac:dyDescent="0.25">
      <c r="A295" s="46">
        <v>222</v>
      </c>
      <c r="B295" s="143" t="s">
        <v>64</v>
      </c>
      <c r="C295" s="89" t="s">
        <v>504</v>
      </c>
      <c r="D295" s="141">
        <v>3.0000000000000001E-3</v>
      </c>
      <c r="E295" s="141" t="s">
        <v>450</v>
      </c>
    </row>
    <row r="296" spans="1:5" x14ac:dyDescent="0.25">
      <c r="A296" s="46">
        <v>222</v>
      </c>
      <c r="B296" s="143" t="s">
        <v>64</v>
      </c>
      <c r="C296" s="89" t="s">
        <v>480</v>
      </c>
      <c r="D296" s="141">
        <v>0.11</v>
      </c>
      <c r="E296" s="141" t="s">
        <v>450</v>
      </c>
    </row>
    <row r="297" spans="1:5" x14ac:dyDescent="0.25">
      <c r="A297" s="46">
        <v>222</v>
      </c>
      <c r="B297" s="143" t="s">
        <v>64</v>
      </c>
      <c r="C297" s="89" t="s">
        <v>495</v>
      </c>
      <c r="D297" s="141">
        <v>1</v>
      </c>
      <c r="E297" s="145" t="s">
        <v>749</v>
      </c>
    </row>
    <row r="298" spans="1:5" x14ac:dyDescent="0.25">
      <c r="A298" s="46">
        <v>222</v>
      </c>
      <c r="B298" s="143" t="s">
        <v>64</v>
      </c>
      <c r="C298" s="143" t="s">
        <v>500</v>
      </c>
      <c r="D298" s="141">
        <v>0.05</v>
      </c>
      <c r="E298" s="141" t="s">
        <v>450</v>
      </c>
    </row>
    <row r="299" spans="1:5" x14ac:dyDescent="0.25">
      <c r="A299" s="46">
        <v>222</v>
      </c>
      <c r="B299" s="143" t="s">
        <v>64</v>
      </c>
      <c r="C299" s="89" t="s">
        <v>470</v>
      </c>
      <c r="D299" s="141">
        <v>2E-3</v>
      </c>
      <c r="E299" s="145" t="s">
        <v>450</v>
      </c>
    </row>
    <row r="300" spans="1:5" x14ac:dyDescent="0.25">
      <c r="A300" s="46">
        <v>222</v>
      </c>
      <c r="B300" s="143" t="s">
        <v>64</v>
      </c>
      <c r="C300" s="89" t="s">
        <v>516</v>
      </c>
      <c r="D300" s="141">
        <v>1E-3</v>
      </c>
      <c r="E300" s="145" t="s">
        <v>450</v>
      </c>
    </row>
    <row r="301" spans="1:5" x14ac:dyDescent="0.25">
      <c r="A301" s="46">
        <v>222</v>
      </c>
      <c r="B301" s="143" t="s">
        <v>64</v>
      </c>
      <c r="C301" s="89" t="s">
        <v>478</v>
      </c>
      <c r="D301" s="141">
        <v>1E-3</v>
      </c>
      <c r="E301" s="145" t="s">
        <v>448</v>
      </c>
    </row>
    <row r="302" spans="1:5" x14ac:dyDescent="0.25">
      <c r="A302" s="46">
        <v>352</v>
      </c>
      <c r="B302" s="143" t="s">
        <v>373</v>
      </c>
      <c r="C302" s="165" t="s">
        <v>1093</v>
      </c>
      <c r="D302" s="148">
        <v>0.125</v>
      </c>
      <c r="E302" s="145" t="s">
        <v>458</v>
      </c>
    </row>
    <row r="303" spans="1:5" x14ac:dyDescent="0.25">
      <c r="A303" s="46">
        <v>352</v>
      </c>
      <c r="B303" s="143" t="s">
        <v>373</v>
      </c>
      <c r="C303" s="165" t="s">
        <v>500</v>
      </c>
      <c r="D303" s="148">
        <v>0.05</v>
      </c>
      <c r="E303" s="145" t="s">
        <v>458</v>
      </c>
    </row>
    <row r="304" spans="1:5" x14ac:dyDescent="0.25">
      <c r="A304" s="46">
        <v>352</v>
      </c>
      <c r="B304" s="143" t="s">
        <v>373</v>
      </c>
      <c r="C304" s="165" t="s">
        <v>509</v>
      </c>
      <c r="D304" s="148">
        <v>0.05</v>
      </c>
      <c r="E304" s="145" t="s">
        <v>458</v>
      </c>
    </row>
    <row r="305" spans="1:5" x14ac:dyDescent="0.25">
      <c r="A305" s="46">
        <v>352</v>
      </c>
      <c r="B305" s="143" t="s">
        <v>373</v>
      </c>
      <c r="C305" s="89" t="s">
        <v>488</v>
      </c>
      <c r="D305" s="141">
        <v>2E-3</v>
      </c>
      <c r="E305" s="145" t="s">
        <v>458</v>
      </c>
    </row>
    <row r="306" spans="1:5" x14ac:dyDescent="0.25">
      <c r="A306" s="46">
        <v>352</v>
      </c>
      <c r="B306" s="143" t="s">
        <v>373</v>
      </c>
      <c r="C306" s="89" t="s">
        <v>487</v>
      </c>
      <c r="D306" s="141">
        <v>1E-3</v>
      </c>
      <c r="E306" s="145" t="s">
        <v>458</v>
      </c>
    </row>
    <row r="307" spans="1:5" x14ac:dyDescent="0.25">
      <c r="A307" s="46">
        <v>352</v>
      </c>
      <c r="B307" s="143" t="s">
        <v>373</v>
      </c>
      <c r="C307" s="165" t="s">
        <v>459</v>
      </c>
      <c r="D307" s="148">
        <v>0.03</v>
      </c>
      <c r="E307" s="145" t="s">
        <v>458</v>
      </c>
    </row>
    <row r="308" spans="1:5" x14ac:dyDescent="0.25">
      <c r="A308" s="46">
        <v>224</v>
      </c>
      <c r="B308" s="143" t="s">
        <v>51</v>
      </c>
      <c r="C308" s="146" t="s">
        <v>616</v>
      </c>
      <c r="D308" s="141">
        <v>0.15</v>
      </c>
      <c r="E308" s="145" t="s">
        <v>450</v>
      </c>
    </row>
    <row r="309" spans="1:5" x14ac:dyDescent="0.25">
      <c r="A309" s="46">
        <v>224</v>
      </c>
      <c r="B309" s="143" t="s">
        <v>51</v>
      </c>
      <c r="C309" s="89" t="s">
        <v>810</v>
      </c>
      <c r="D309" s="141">
        <v>0.03</v>
      </c>
      <c r="E309" s="145" t="s">
        <v>450</v>
      </c>
    </row>
    <row r="310" spans="1:5" x14ac:dyDescent="0.25">
      <c r="A310" s="46">
        <v>224</v>
      </c>
      <c r="B310" s="143" t="s">
        <v>51</v>
      </c>
      <c r="C310" s="143" t="s">
        <v>461</v>
      </c>
      <c r="D310" s="141">
        <v>1.4999999999999999E-2</v>
      </c>
      <c r="E310" s="145" t="s">
        <v>450</v>
      </c>
    </row>
    <row r="311" spans="1:5" x14ac:dyDescent="0.25">
      <c r="A311" s="46">
        <v>224</v>
      </c>
      <c r="B311" s="143" t="s">
        <v>51</v>
      </c>
      <c r="C311" s="89" t="s">
        <v>860</v>
      </c>
      <c r="D311" s="141">
        <v>0.02</v>
      </c>
      <c r="E311" s="145" t="s">
        <v>450</v>
      </c>
    </row>
    <row r="312" spans="1:5" x14ac:dyDescent="0.25">
      <c r="A312" s="46">
        <v>224</v>
      </c>
      <c r="B312" s="143" t="s">
        <v>51</v>
      </c>
      <c r="C312" s="89" t="s">
        <v>554</v>
      </c>
      <c r="D312" s="141">
        <v>2.5000000000000001E-2</v>
      </c>
      <c r="E312" s="145" t="s">
        <v>450</v>
      </c>
    </row>
    <row r="313" spans="1:5" x14ac:dyDescent="0.25">
      <c r="A313" s="46">
        <v>224</v>
      </c>
      <c r="B313" s="143" t="s">
        <v>51</v>
      </c>
      <c r="C313" s="89" t="s">
        <v>525</v>
      </c>
      <c r="D313" s="141">
        <v>1.4999999999999999E-2</v>
      </c>
      <c r="E313" s="145" t="s">
        <v>450</v>
      </c>
    </row>
    <row r="314" spans="1:5" x14ac:dyDescent="0.25">
      <c r="A314" s="46">
        <v>224</v>
      </c>
      <c r="B314" s="143" t="s">
        <v>51</v>
      </c>
      <c r="C314" s="89" t="s">
        <v>478</v>
      </c>
      <c r="D314" s="141">
        <v>8.0000000000000002E-3</v>
      </c>
      <c r="E314" s="141" t="s">
        <v>448</v>
      </c>
    </row>
    <row r="315" spans="1:5" x14ac:dyDescent="0.25">
      <c r="A315" s="46">
        <v>224</v>
      </c>
      <c r="B315" s="143" t="s">
        <v>51</v>
      </c>
      <c r="C315" s="89" t="s">
        <v>470</v>
      </c>
      <c r="D315" s="141">
        <v>3.0000000000000001E-3</v>
      </c>
      <c r="E315" s="145" t="s">
        <v>450</v>
      </c>
    </row>
    <row r="316" spans="1:5" x14ac:dyDescent="0.25">
      <c r="A316" s="46">
        <v>224</v>
      </c>
      <c r="B316" s="143" t="s">
        <v>51</v>
      </c>
      <c r="C316" s="89" t="s">
        <v>516</v>
      </c>
      <c r="D316" s="141">
        <v>1E-3</v>
      </c>
      <c r="E316" s="145" t="s">
        <v>450</v>
      </c>
    </row>
    <row r="317" spans="1:5" x14ac:dyDescent="0.25">
      <c r="A317" s="46">
        <v>224</v>
      </c>
      <c r="B317" s="143" t="s">
        <v>51</v>
      </c>
      <c r="C317" s="89" t="s">
        <v>791</v>
      </c>
      <c r="D317" s="141">
        <v>3.0000000000000001E-3</v>
      </c>
      <c r="E317" s="145" t="s">
        <v>450</v>
      </c>
    </row>
    <row r="318" spans="1:5" x14ac:dyDescent="0.25">
      <c r="A318" s="46">
        <v>179</v>
      </c>
      <c r="B318" s="143" t="s">
        <v>247</v>
      </c>
      <c r="C318" s="89" t="s">
        <v>841</v>
      </c>
      <c r="D318" s="141">
        <v>0.125</v>
      </c>
      <c r="E318" s="145" t="s">
        <v>749</v>
      </c>
    </row>
    <row r="319" spans="1:5" x14ac:dyDescent="0.25">
      <c r="A319" s="46">
        <v>179</v>
      </c>
      <c r="B319" s="143" t="s">
        <v>247</v>
      </c>
      <c r="C319" s="143" t="s">
        <v>566</v>
      </c>
      <c r="D319" s="141">
        <v>0.05</v>
      </c>
      <c r="E319" s="141" t="s">
        <v>448</v>
      </c>
    </row>
    <row r="320" spans="1:5" x14ac:dyDescent="0.25">
      <c r="A320" s="46">
        <v>179</v>
      </c>
      <c r="B320" s="143" t="s">
        <v>247</v>
      </c>
      <c r="C320" s="89" t="s">
        <v>747</v>
      </c>
      <c r="D320" s="141">
        <v>0.08</v>
      </c>
      <c r="E320" s="141" t="s">
        <v>450</v>
      </c>
    </row>
    <row r="321" spans="1:5" x14ac:dyDescent="0.25">
      <c r="A321" s="46">
        <v>179</v>
      </c>
      <c r="B321" s="143" t="s">
        <v>247</v>
      </c>
      <c r="C321" s="89" t="s">
        <v>839</v>
      </c>
      <c r="D321" s="141">
        <v>0.05</v>
      </c>
      <c r="E321" s="141" t="s">
        <v>450</v>
      </c>
    </row>
    <row r="322" spans="1:5" x14ac:dyDescent="0.25">
      <c r="A322" s="46">
        <v>179</v>
      </c>
      <c r="B322" s="143" t="s">
        <v>247</v>
      </c>
      <c r="C322" s="89" t="s">
        <v>842</v>
      </c>
      <c r="D322" s="141">
        <v>0.02</v>
      </c>
      <c r="E322" s="141" t="s">
        <v>450</v>
      </c>
    </row>
    <row r="323" spans="1:5" x14ac:dyDescent="0.25">
      <c r="A323" s="46">
        <v>179</v>
      </c>
      <c r="B323" s="143" t="s">
        <v>247</v>
      </c>
      <c r="C323" s="89" t="s">
        <v>843</v>
      </c>
      <c r="D323" s="141">
        <v>2E-3</v>
      </c>
      <c r="E323" s="141" t="s">
        <v>450</v>
      </c>
    </row>
    <row r="324" spans="1:5" x14ac:dyDescent="0.25">
      <c r="A324" s="46">
        <v>179</v>
      </c>
      <c r="B324" s="143" t="s">
        <v>247</v>
      </c>
      <c r="C324" s="89" t="s">
        <v>844</v>
      </c>
      <c r="D324" s="141">
        <v>2E-3</v>
      </c>
      <c r="E324" s="141" t="s">
        <v>450</v>
      </c>
    </row>
    <row r="325" spans="1:5" x14ac:dyDescent="0.25">
      <c r="A325" s="46">
        <v>179</v>
      </c>
      <c r="B325" s="143" t="s">
        <v>247</v>
      </c>
      <c r="C325" s="89" t="s">
        <v>488</v>
      </c>
      <c r="D325" s="141" t="s">
        <v>811</v>
      </c>
      <c r="E325" s="141"/>
    </row>
    <row r="326" spans="1:5" x14ac:dyDescent="0.25">
      <c r="A326" s="46"/>
      <c r="B326" s="98" t="s">
        <v>1467</v>
      </c>
      <c r="C326" s="89" t="s">
        <v>1036</v>
      </c>
      <c r="D326" s="141">
        <v>1</v>
      </c>
      <c r="E326" s="150" t="s">
        <v>450</v>
      </c>
    </row>
    <row r="327" spans="1:5" x14ac:dyDescent="0.25">
      <c r="A327" s="46"/>
      <c r="B327" s="98" t="s">
        <v>385</v>
      </c>
      <c r="C327" s="89" t="s">
        <v>924</v>
      </c>
      <c r="D327" s="141">
        <v>1</v>
      </c>
      <c r="E327" s="150" t="s">
        <v>450</v>
      </c>
    </row>
    <row r="328" spans="1:5" x14ac:dyDescent="0.25">
      <c r="A328" s="46">
        <v>49</v>
      </c>
      <c r="B328" s="143" t="s">
        <v>181</v>
      </c>
      <c r="C328" s="146" t="s">
        <v>517</v>
      </c>
      <c r="D328" s="148">
        <v>0.14499999999999999</v>
      </c>
      <c r="E328" s="145" t="s">
        <v>458</v>
      </c>
    </row>
    <row r="329" spans="1:5" x14ac:dyDescent="0.25">
      <c r="A329" s="46">
        <v>49</v>
      </c>
      <c r="B329" s="143" t="s">
        <v>181</v>
      </c>
      <c r="C329" s="139" t="s">
        <v>520</v>
      </c>
      <c r="D329" s="148">
        <v>0.05</v>
      </c>
      <c r="E329" s="145" t="s">
        <v>458</v>
      </c>
    </row>
    <row r="330" spans="1:5" x14ac:dyDescent="0.25">
      <c r="A330" s="46">
        <v>49</v>
      </c>
      <c r="B330" s="143" t="s">
        <v>181</v>
      </c>
      <c r="C330" s="146" t="s">
        <v>488</v>
      </c>
      <c r="D330" s="149">
        <v>5.0000000000000001E-4</v>
      </c>
      <c r="E330" s="145" t="s">
        <v>458</v>
      </c>
    </row>
    <row r="331" spans="1:5" x14ac:dyDescent="0.25">
      <c r="A331" s="46">
        <v>49</v>
      </c>
      <c r="B331" s="143" t="s">
        <v>181</v>
      </c>
      <c r="C331" s="143" t="s">
        <v>467</v>
      </c>
      <c r="D331" s="149">
        <v>5.0000000000000001E-4</v>
      </c>
      <c r="E331" s="145" t="s">
        <v>448</v>
      </c>
    </row>
    <row r="332" spans="1:5" x14ac:dyDescent="0.25">
      <c r="A332" s="46">
        <v>49</v>
      </c>
      <c r="B332" s="143" t="s">
        <v>181</v>
      </c>
      <c r="C332" s="143" t="s">
        <v>487</v>
      </c>
      <c r="D332" s="148">
        <v>1E-3</v>
      </c>
      <c r="E332" s="145" t="s">
        <v>450</v>
      </c>
    </row>
    <row r="333" spans="1:5" x14ac:dyDescent="0.25">
      <c r="A333" s="46">
        <v>49</v>
      </c>
      <c r="B333" s="143" t="s">
        <v>181</v>
      </c>
      <c r="C333" s="146" t="s">
        <v>614</v>
      </c>
      <c r="D333" s="159">
        <v>4</v>
      </c>
      <c r="E333" s="145" t="s">
        <v>594</v>
      </c>
    </row>
    <row r="334" spans="1:5" x14ac:dyDescent="0.25">
      <c r="A334" s="47">
        <v>261</v>
      </c>
      <c r="B334" s="143" t="s">
        <v>292</v>
      </c>
      <c r="C334" s="152" t="s">
        <v>517</v>
      </c>
      <c r="D334" s="141">
        <v>0.16</v>
      </c>
      <c r="E334" s="145" t="s">
        <v>458</v>
      </c>
    </row>
    <row r="335" spans="1:5" x14ac:dyDescent="0.25">
      <c r="A335" s="47">
        <v>261</v>
      </c>
      <c r="B335" s="143" t="s">
        <v>292</v>
      </c>
      <c r="C335" s="152" t="s">
        <v>518</v>
      </c>
      <c r="D335" s="141">
        <v>3.0000000000000001E-3</v>
      </c>
      <c r="E335" s="145" t="s">
        <v>458</v>
      </c>
    </row>
    <row r="336" spans="1:5" x14ac:dyDescent="0.25">
      <c r="A336" s="47">
        <v>261</v>
      </c>
      <c r="B336" s="143" t="s">
        <v>292</v>
      </c>
      <c r="C336" s="143" t="s">
        <v>519</v>
      </c>
      <c r="D336" s="141">
        <v>0.01</v>
      </c>
      <c r="E336" s="145" t="s">
        <v>458</v>
      </c>
    </row>
    <row r="337" spans="1:5" x14ac:dyDescent="0.25">
      <c r="A337" s="47">
        <v>261</v>
      </c>
      <c r="B337" s="143" t="s">
        <v>292</v>
      </c>
      <c r="C337" s="143" t="s">
        <v>479</v>
      </c>
      <c r="D337" s="141">
        <v>6.0000000000000001E-3</v>
      </c>
      <c r="E337" s="89" t="s">
        <v>458</v>
      </c>
    </row>
    <row r="338" spans="1:5" x14ac:dyDescent="0.25">
      <c r="A338" s="47">
        <v>261</v>
      </c>
      <c r="B338" s="143" t="s">
        <v>292</v>
      </c>
      <c r="C338" s="139" t="s">
        <v>520</v>
      </c>
      <c r="D338" s="141">
        <v>0.05</v>
      </c>
      <c r="E338" s="89" t="s">
        <v>458</v>
      </c>
    </row>
    <row r="339" spans="1:5" x14ac:dyDescent="0.25">
      <c r="A339" s="47">
        <v>261</v>
      </c>
      <c r="B339" s="143" t="s">
        <v>292</v>
      </c>
      <c r="C339" s="152" t="s">
        <v>470</v>
      </c>
      <c r="D339" s="141">
        <v>2E-3</v>
      </c>
      <c r="E339" s="145" t="s">
        <v>458</v>
      </c>
    </row>
    <row r="340" spans="1:5" x14ac:dyDescent="0.25">
      <c r="A340" s="47">
        <v>261</v>
      </c>
      <c r="B340" s="143" t="s">
        <v>292</v>
      </c>
      <c r="C340" s="152" t="s">
        <v>516</v>
      </c>
      <c r="D340" s="141">
        <v>1E-3</v>
      </c>
      <c r="E340" s="145" t="s">
        <v>458</v>
      </c>
    </row>
    <row r="341" spans="1:5" x14ac:dyDescent="0.25">
      <c r="A341" s="46"/>
      <c r="B341" s="98" t="s">
        <v>386</v>
      </c>
      <c r="C341" s="89" t="s">
        <v>924</v>
      </c>
      <c r="D341" s="141">
        <v>1</v>
      </c>
      <c r="E341" s="150" t="s">
        <v>450</v>
      </c>
    </row>
    <row r="342" spans="1:5" x14ac:dyDescent="0.25">
      <c r="A342" s="46">
        <v>274</v>
      </c>
      <c r="B342" s="143" t="s">
        <v>304</v>
      </c>
      <c r="C342" s="89" t="s">
        <v>972</v>
      </c>
      <c r="D342" s="141">
        <v>2</v>
      </c>
      <c r="E342" s="145" t="s">
        <v>749</v>
      </c>
    </row>
    <row r="343" spans="1:5" x14ac:dyDescent="0.25">
      <c r="A343" s="46">
        <v>274</v>
      </c>
      <c r="B343" s="143" t="s">
        <v>304</v>
      </c>
      <c r="C343" s="89" t="s">
        <v>542</v>
      </c>
      <c r="D343" s="141">
        <v>7.4999999999999997E-2</v>
      </c>
      <c r="E343" s="89" t="s">
        <v>458</v>
      </c>
    </row>
    <row r="344" spans="1:5" x14ac:dyDescent="0.25">
      <c r="A344" s="46">
        <v>274</v>
      </c>
      <c r="B344" s="143" t="s">
        <v>304</v>
      </c>
      <c r="C344" s="89" t="s">
        <v>960</v>
      </c>
      <c r="D344" s="141">
        <v>6.5000000000000002E-2</v>
      </c>
      <c r="E344" s="89" t="s">
        <v>458</v>
      </c>
    </row>
    <row r="345" spans="1:5" x14ac:dyDescent="0.25">
      <c r="A345" s="46">
        <v>274</v>
      </c>
      <c r="B345" s="143" t="s">
        <v>304</v>
      </c>
      <c r="C345" s="89" t="s">
        <v>472</v>
      </c>
      <c r="D345" s="141">
        <v>3.2000000000000001E-2</v>
      </c>
      <c r="E345" s="89" t="s">
        <v>458</v>
      </c>
    </row>
    <row r="346" spans="1:5" x14ac:dyDescent="0.25">
      <c r="A346" s="46">
        <v>274</v>
      </c>
      <c r="B346" s="143" t="s">
        <v>304</v>
      </c>
      <c r="C346" s="89" t="s">
        <v>973</v>
      </c>
      <c r="D346" s="141">
        <v>5.0000000000000001E-3</v>
      </c>
      <c r="E346" s="89" t="s">
        <v>458</v>
      </c>
    </row>
    <row r="347" spans="1:5" x14ac:dyDescent="0.25">
      <c r="A347" s="46">
        <v>274</v>
      </c>
      <c r="B347" s="143" t="s">
        <v>304</v>
      </c>
      <c r="C347" s="89" t="s">
        <v>469</v>
      </c>
      <c r="D347" s="141">
        <v>0.01</v>
      </c>
      <c r="E347" s="89" t="s">
        <v>448</v>
      </c>
    </row>
    <row r="348" spans="1:5" x14ac:dyDescent="0.25">
      <c r="A348" s="46">
        <v>274</v>
      </c>
      <c r="B348" s="143" t="s">
        <v>304</v>
      </c>
      <c r="C348" s="89" t="s">
        <v>955</v>
      </c>
      <c r="D348" s="141">
        <v>1</v>
      </c>
      <c r="E348" s="89" t="s">
        <v>458</v>
      </c>
    </row>
    <row r="349" spans="1:5" x14ac:dyDescent="0.25">
      <c r="A349" s="46">
        <v>274</v>
      </c>
      <c r="B349" s="143" t="s">
        <v>304</v>
      </c>
      <c r="C349" s="89" t="s">
        <v>470</v>
      </c>
      <c r="D349" s="141">
        <v>1E-3</v>
      </c>
      <c r="E349" s="89" t="s">
        <v>458</v>
      </c>
    </row>
    <row r="350" spans="1:5" x14ac:dyDescent="0.25">
      <c r="A350" s="46">
        <v>274</v>
      </c>
      <c r="B350" s="143" t="s">
        <v>304</v>
      </c>
      <c r="C350" s="89" t="s">
        <v>516</v>
      </c>
      <c r="D350" s="141">
        <v>1E-4</v>
      </c>
      <c r="E350" s="89" t="s">
        <v>458</v>
      </c>
    </row>
    <row r="351" spans="1:5" x14ac:dyDescent="0.25">
      <c r="A351" s="46">
        <v>131</v>
      </c>
      <c r="B351" s="143" t="s">
        <v>82</v>
      </c>
      <c r="C351" s="89" t="s">
        <v>659</v>
      </c>
      <c r="D351" s="141">
        <v>1E-4</v>
      </c>
      <c r="E351" s="141" t="s">
        <v>458</v>
      </c>
    </row>
    <row r="352" spans="1:5" x14ac:dyDescent="0.25">
      <c r="A352" s="46">
        <v>131</v>
      </c>
      <c r="B352" s="143" t="s">
        <v>82</v>
      </c>
      <c r="C352" s="89" t="s">
        <v>768</v>
      </c>
      <c r="D352" s="141">
        <v>8.0000000000000002E-3</v>
      </c>
      <c r="E352" s="141" t="s">
        <v>458</v>
      </c>
    </row>
    <row r="353" spans="1:5" x14ac:dyDescent="0.25">
      <c r="A353" s="46">
        <v>131</v>
      </c>
      <c r="B353" s="143" t="s">
        <v>82</v>
      </c>
      <c r="C353" s="89" t="s">
        <v>509</v>
      </c>
      <c r="D353" s="141">
        <v>0.01</v>
      </c>
      <c r="E353" s="141" t="s">
        <v>458</v>
      </c>
    </row>
    <row r="354" spans="1:5" x14ac:dyDescent="0.25">
      <c r="A354" s="46">
        <v>131</v>
      </c>
      <c r="B354" s="143" t="s">
        <v>82</v>
      </c>
      <c r="C354" s="89" t="s">
        <v>550</v>
      </c>
      <c r="D354" s="141">
        <v>0.01</v>
      </c>
      <c r="E354" s="141" t="s">
        <v>458</v>
      </c>
    </row>
    <row r="355" spans="1:5" x14ac:dyDescent="0.25">
      <c r="A355" s="46">
        <v>131</v>
      </c>
      <c r="B355" s="143" t="s">
        <v>82</v>
      </c>
      <c r="C355" s="89" t="s">
        <v>779</v>
      </c>
      <c r="D355" s="141">
        <v>0.01</v>
      </c>
      <c r="E355" s="141" t="s">
        <v>458</v>
      </c>
    </row>
    <row r="356" spans="1:5" x14ac:dyDescent="0.25">
      <c r="A356" s="46">
        <v>131</v>
      </c>
      <c r="B356" s="143" t="s">
        <v>82</v>
      </c>
      <c r="C356" s="89" t="s">
        <v>693</v>
      </c>
      <c r="D356" s="141">
        <v>0.01</v>
      </c>
      <c r="E356" s="141" t="s">
        <v>458</v>
      </c>
    </row>
    <row r="357" spans="1:5" x14ac:dyDescent="0.25">
      <c r="A357" s="46">
        <v>131</v>
      </c>
      <c r="B357" s="143" t="s">
        <v>82</v>
      </c>
      <c r="C357" s="89" t="s">
        <v>780</v>
      </c>
      <c r="D357" s="141">
        <v>0.03</v>
      </c>
      <c r="E357" s="141" t="s">
        <v>653</v>
      </c>
    </row>
    <row r="358" spans="1:5" x14ac:dyDescent="0.25">
      <c r="A358" s="46">
        <v>131</v>
      </c>
      <c r="B358" s="143" t="s">
        <v>82</v>
      </c>
      <c r="C358" s="89" t="s">
        <v>480</v>
      </c>
      <c r="D358" s="141">
        <v>2E-3</v>
      </c>
      <c r="E358" s="141"/>
    </row>
    <row r="359" spans="1:5" x14ac:dyDescent="0.25">
      <c r="A359" s="46">
        <v>131</v>
      </c>
      <c r="B359" s="143" t="s">
        <v>82</v>
      </c>
      <c r="C359" s="89" t="s">
        <v>502</v>
      </c>
      <c r="D359" s="141">
        <v>5.0000000000000001E-3</v>
      </c>
      <c r="E359" s="141" t="s">
        <v>458</v>
      </c>
    </row>
    <row r="360" spans="1:5" x14ac:dyDescent="0.25">
      <c r="A360" s="46">
        <v>131</v>
      </c>
      <c r="B360" s="143" t="s">
        <v>82</v>
      </c>
      <c r="C360" s="89" t="s">
        <v>781</v>
      </c>
      <c r="D360" s="141">
        <v>0.15</v>
      </c>
      <c r="E360" s="141" t="s">
        <v>458</v>
      </c>
    </row>
    <row r="361" spans="1:5" x14ac:dyDescent="0.25">
      <c r="A361" s="46">
        <v>131</v>
      </c>
      <c r="B361" s="143" t="s">
        <v>82</v>
      </c>
      <c r="C361" s="89" t="s">
        <v>322</v>
      </c>
      <c r="D361" s="141">
        <v>0.03</v>
      </c>
      <c r="E361" s="141" t="s">
        <v>458</v>
      </c>
    </row>
    <row r="362" spans="1:5" x14ac:dyDescent="0.25">
      <c r="A362" s="46">
        <v>131</v>
      </c>
      <c r="B362" s="143" t="s">
        <v>82</v>
      </c>
      <c r="C362" s="89" t="s">
        <v>488</v>
      </c>
      <c r="D362" s="141">
        <v>2E-3</v>
      </c>
      <c r="E362" s="141" t="s">
        <v>458</v>
      </c>
    </row>
    <row r="363" spans="1:5" x14ac:dyDescent="0.25">
      <c r="A363" s="46">
        <v>131</v>
      </c>
      <c r="B363" s="143" t="s">
        <v>82</v>
      </c>
      <c r="C363" s="89" t="s">
        <v>636</v>
      </c>
      <c r="D363" s="141">
        <v>5.0000000000000001E-4</v>
      </c>
      <c r="E363" s="141" t="s">
        <v>458</v>
      </c>
    </row>
    <row r="364" spans="1:5" x14ac:dyDescent="0.25">
      <c r="A364" s="46">
        <v>131</v>
      </c>
      <c r="B364" s="143" t="s">
        <v>82</v>
      </c>
      <c r="C364" s="89" t="s">
        <v>613</v>
      </c>
      <c r="D364" s="141">
        <v>1</v>
      </c>
      <c r="E364" s="141" t="s">
        <v>579</v>
      </c>
    </row>
    <row r="365" spans="1:5" x14ac:dyDescent="0.25">
      <c r="A365" s="46">
        <v>131</v>
      </c>
      <c r="B365" s="143" t="s">
        <v>82</v>
      </c>
      <c r="C365" s="89" t="s">
        <v>557</v>
      </c>
      <c r="D365" s="141">
        <v>0.02</v>
      </c>
      <c r="E365" s="141" t="s">
        <v>458</v>
      </c>
    </row>
    <row r="366" spans="1:5" x14ac:dyDescent="0.25">
      <c r="A366" s="46">
        <v>185</v>
      </c>
      <c r="B366" s="143" t="s">
        <v>251</v>
      </c>
      <c r="C366" s="89" t="s">
        <v>601</v>
      </c>
      <c r="D366" s="148">
        <v>0.11</v>
      </c>
      <c r="E366" s="145" t="s">
        <v>458</v>
      </c>
    </row>
    <row r="367" spans="1:5" x14ac:dyDescent="0.25">
      <c r="A367" s="46">
        <v>185</v>
      </c>
      <c r="B367" s="143" t="s">
        <v>251</v>
      </c>
      <c r="C367" s="143" t="s">
        <v>762</v>
      </c>
      <c r="D367" s="148">
        <v>0.01</v>
      </c>
      <c r="E367" s="145" t="s">
        <v>458</v>
      </c>
    </row>
    <row r="368" spans="1:5" x14ac:dyDescent="0.25">
      <c r="A368" s="46">
        <v>185</v>
      </c>
      <c r="B368" s="143" t="s">
        <v>251</v>
      </c>
      <c r="C368" s="146" t="s">
        <v>770</v>
      </c>
      <c r="D368" s="148">
        <v>0.01</v>
      </c>
      <c r="E368" s="145" t="s">
        <v>458</v>
      </c>
    </row>
    <row r="369" spans="1:5" x14ac:dyDescent="0.25">
      <c r="A369" s="46">
        <v>185</v>
      </c>
      <c r="B369" s="143" t="s">
        <v>251</v>
      </c>
      <c r="C369" s="146" t="s">
        <v>451</v>
      </c>
      <c r="D369" s="148">
        <v>0.02</v>
      </c>
      <c r="E369" s="145" t="s">
        <v>458</v>
      </c>
    </row>
    <row r="370" spans="1:5" x14ac:dyDescent="0.25">
      <c r="A370" s="46">
        <v>185</v>
      </c>
      <c r="B370" s="143" t="s">
        <v>251</v>
      </c>
      <c r="C370" s="146" t="s">
        <v>851</v>
      </c>
      <c r="D370" s="148">
        <v>1.2E-2</v>
      </c>
      <c r="E370" s="145" t="s">
        <v>458</v>
      </c>
    </row>
    <row r="371" spans="1:5" x14ac:dyDescent="0.25">
      <c r="A371" s="46">
        <v>185</v>
      </c>
      <c r="B371" s="143" t="s">
        <v>251</v>
      </c>
      <c r="C371" s="146" t="s">
        <v>488</v>
      </c>
      <c r="D371" s="157">
        <v>2E-3</v>
      </c>
      <c r="E371" s="145" t="s">
        <v>458</v>
      </c>
    </row>
    <row r="372" spans="1:5" x14ac:dyDescent="0.25">
      <c r="A372" s="46">
        <v>185</v>
      </c>
      <c r="B372" s="143" t="s">
        <v>251</v>
      </c>
      <c r="C372" s="146" t="s">
        <v>636</v>
      </c>
      <c r="D372" s="153">
        <v>5.0000000000000001E-4</v>
      </c>
      <c r="E372" s="145" t="s">
        <v>458</v>
      </c>
    </row>
    <row r="373" spans="1:5" x14ac:dyDescent="0.25">
      <c r="A373" s="46">
        <v>185</v>
      </c>
      <c r="B373" s="143" t="s">
        <v>251</v>
      </c>
      <c r="C373" s="146" t="s">
        <v>635</v>
      </c>
      <c r="D373" s="157">
        <v>0.03</v>
      </c>
      <c r="E373" s="145" t="s">
        <v>458</v>
      </c>
    </row>
    <row r="374" spans="1:5" x14ac:dyDescent="0.25">
      <c r="A374" s="46">
        <v>185</v>
      </c>
      <c r="B374" s="143" t="s">
        <v>251</v>
      </c>
      <c r="C374" s="146" t="s">
        <v>687</v>
      </c>
      <c r="D374" s="153">
        <v>3.0000000000000001E-3</v>
      </c>
      <c r="E374" s="145" t="s">
        <v>458</v>
      </c>
    </row>
    <row r="375" spans="1:5" x14ac:dyDescent="0.25">
      <c r="A375" s="46">
        <v>185</v>
      </c>
      <c r="B375" s="143" t="s">
        <v>251</v>
      </c>
      <c r="C375" s="152" t="s">
        <v>503</v>
      </c>
      <c r="D375" s="153">
        <v>5.0000000000000001E-3</v>
      </c>
      <c r="E375" s="145" t="s">
        <v>458</v>
      </c>
    </row>
    <row r="376" spans="1:5" x14ac:dyDescent="0.25">
      <c r="A376" s="46">
        <v>185</v>
      </c>
      <c r="B376" s="143" t="s">
        <v>251</v>
      </c>
      <c r="C376" s="146" t="s">
        <v>504</v>
      </c>
      <c r="D376" s="153">
        <v>0.01</v>
      </c>
      <c r="E376" s="145" t="s">
        <v>458</v>
      </c>
    </row>
    <row r="377" spans="1:5" x14ac:dyDescent="0.25">
      <c r="A377" s="46">
        <v>185</v>
      </c>
      <c r="B377" s="143" t="s">
        <v>251</v>
      </c>
      <c r="C377" s="146" t="s">
        <v>545</v>
      </c>
      <c r="D377" s="153">
        <v>0.1</v>
      </c>
      <c r="E377" s="145" t="s">
        <v>458</v>
      </c>
    </row>
    <row r="378" spans="1:5" x14ac:dyDescent="0.25">
      <c r="A378" s="46">
        <v>185</v>
      </c>
      <c r="B378" s="143" t="s">
        <v>251</v>
      </c>
      <c r="C378" s="146" t="s">
        <v>480</v>
      </c>
      <c r="D378" s="153">
        <v>0.01</v>
      </c>
      <c r="E378" s="145" t="s">
        <v>458</v>
      </c>
    </row>
    <row r="379" spans="1:5" x14ac:dyDescent="0.25">
      <c r="A379" s="46">
        <v>185</v>
      </c>
      <c r="B379" s="143" t="s">
        <v>251</v>
      </c>
      <c r="C379" s="146" t="s">
        <v>509</v>
      </c>
      <c r="D379" s="166">
        <v>0.03</v>
      </c>
      <c r="E379" s="145" t="s">
        <v>458</v>
      </c>
    </row>
    <row r="380" spans="1:5" x14ac:dyDescent="0.25">
      <c r="A380" s="46">
        <v>185</v>
      </c>
      <c r="B380" s="143" t="s">
        <v>251</v>
      </c>
      <c r="C380" s="146" t="s">
        <v>467</v>
      </c>
      <c r="D380" s="153">
        <v>1E-4</v>
      </c>
      <c r="E380" s="145" t="s">
        <v>458</v>
      </c>
    </row>
    <row r="381" spans="1:5" x14ac:dyDescent="0.25">
      <c r="A381" s="46">
        <v>198</v>
      </c>
      <c r="B381" s="143" t="s">
        <v>62</v>
      </c>
      <c r="C381" s="143" t="s">
        <v>590</v>
      </c>
      <c r="D381" s="148">
        <v>0.03</v>
      </c>
      <c r="E381" s="145" t="s">
        <v>450</v>
      </c>
    </row>
    <row r="382" spans="1:5" x14ac:dyDescent="0.25">
      <c r="A382" s="46">
        <v>198</v>
      </c>
      <c r="B382" s="143" t="s">
        <v>62</v>
      </c>
      <c r="C382" s="143" t="s">
        <v>489</v>
      </c>
      <c r="D382" s="148">
        <v>0.03</v>
      </c>
      <c r="E382" s="145" t="s">
        <v>450</v>
      </c>
    </row>
    <row r="383" spans="1:5" x14ac:dyDescent="0.25">
      <c r="A383" s="46">
        <v>198</v>
      </c>
      <c r="B383" s="143" t="s">
        <v>62</v>
      </c>
      <c r="C383" s="143" t="s">
        <v>404</v>
      </c>
      <c r="D383" s="148">
        <v>0.03</v>
      </c>
      <c r="E383" s="145" t="s">
        <v>450</v>
      </c>
    </row>
    <row r="384" spans="1:5" x14ac:dyDescent="0.25">
      <c r="A384" s="46">
        <v>198</v>
      </c>
      <c r="B384" s="143" t="s">
        <v>62</v>
      </c>
      <c r="C384" s="143" t="s">
        <v>820</v>
      </c>
      <c r="D384" s="148">
        <v>0.03</v>
      </c>
      <c r="E384" s="145" t="s">
        <v>450</v>
      </c>
    </row>
    <row r="385" spans="1:5" x14ac:dyDescent="0.25">
      <c r="A385" s="46">
        <v>198</v>
      </c>
      <c r="B385" s="143" t="s">
        <v>62</v>
      </c>
      <c r="C385" s="143" t="s">
        <v>874</v>
      </c>
      <c r="D385" s="148">
        <v>0.06</v>
      </c>
      <c r="E385" s="145" t="s">
        <v>450</v>
      </c>
    </row>
    <row r="386" spans="1:5" x14ac:dyDescent="0.25">
      <c r="A386" s="46">
        <v>198</v>
      </c>
      <c r="B386" s="143" t="s">
        <v>62</v>
      </c>
      <c r="C386" s="143" t="s">
        <v>875</v>
      </c>
      <c r="D386" s="148">
        <v>5.0000000000000001E-4</v>
      </c>
      <c r="E386" s="145" t="s">
        <v>450</v>
      </c>
    </row>
    <row r="387" spans="1:5" x14ac:dyDescent="0.25">
      <c r="A387" s="46">
        <v>198</v>
      </c>
      <c r="B387" s="143" t="s">
        <v>62</v>
      </c>
      <c r="C387" s="143" t="s">
        <v>478</v>
      </c>
      <c r="D387" s="148">
        <v>3.0000000000000001E-3</v>
      </c>
      <c r="E387" s="145" t="s">
        <v>448</v>
      </c>
    </row>
    <row r="388" spans="1:5" x14ac:dyDescent="0.25">
      <c r="A388" s="46">
        <v>198</v>
      </c>
      <c r="B388" s="143" t="s">
        <v>62</v>
      </c>
      <c r="C388" s="143" t="s">
        <v>470</v>
      </c>
      <c r="D388" s="148">
        <v>2E-3</v>
      </c>
      <c r="E388" s="145" t="s">
        <v>450</v>
      </c>
    </row>
    <row r="389" spans="1:5" x14ac:dyDescent="0.25">
      <c r="A389" s="46">
        <v>198</v>
      </c>
      <c r="B389" s="143" t="s">
        <v>62</v>
      </c>
      <c r="C389" s="143" t="s">
        <v>516</v>
      </c>
      <c r="D389" s="148">
        <v>5.0000000000000001E-4</v>
      </c>
      <c r="E389" s="145" t="s">
        <v>450</v>
      </c>
    </row>
    <row r="390" spans="1:5" x14ac:dyDescent="0.25">
      <c r="A390" s="46">
        <v>198</v>
      </c>
      <c r="B390" s="143" t="s">
        <v>62</v>
      </c>
      <c r="C390" s="143" t="s">
        <v>876</v>
      </c>
      <c r="D390" s="148">
        <v>0.03</v>
      </c>
      <c r="E390" s="145" t="s">
        <v>450</v>
      </c>
    </row>
    <row r="391" spans="1:5" x14ac:dyDescent="0.25">
      <c r="A391" s="46">
        <v>198</v>
      </c>
      <c r="B391" s="143" t="s">
        <v>62</v>
      </c>
      <c r="C391" s="143" t="s">
        <v>527</v>
      </c>
      <c r="D391" s="148">
        <v>3.5000000000000003E-2</v>
      </c>
      <c r="E391" s="145" t="s">
        <v>450</v>
      </c>
    </row>
    <row r="392" spans="1:5" x14ac:dyDescent="0.25">
      <c r="A392" s="46">
        <v>198</v>
      </c>
      <c r="B392" s="143" t="s">
        <v>62</v>
      </c>
      <c r="C392" s="152" t="s">
        <v>492</v>
      </c>
      <c r="D392" s="148">
        <v>0.03</v>
      </c>
      <c r="E392" s="145" t="s">
        <v>450</v>
      </c>
    </row>
    <row r="393" spans="1:5" x14ac:dyDescent="0.25">
      <c r="A393" s="47">
        <v>267</v>
      </c>
      <c r="B393" s="143" t="s">
        <v>85</v>
      </c>
      <c r="C393" s="167" t="s">
        <v>549</v>
      </c>
      <c r="D393" s="141">
        <v>0.15</v>
      </c>
      <c r="E393" s="145" t="s">
        <v>450</v>
      </c>
    </row>
    <row r="394" spans="1:5" x14ac:dyDescent="0.25">
      <c r="A394" s="47">
        <v>267</v>
      </c>
      <c r="B394" s="143" t="s">
        <v>85</v>
      </c>
      <c r="C394" s="167" t="s">
        <v>525</v>
      </c>
      <c r="D394" s="141">
        <v>0.05</v>
      </c>
      <c r="E394" s="145" t="s">
        <v>450</v>
      </c>
    </row>
    <row r="395" spans="1:5" x14ac:dyDescent="0.25">
      <c r="A395" s="47">
        <v>267</v>
      </c>
      <c r="B395" s="143" t="s">
        <v>85</v>
      </c>
      <c r="C395" s="167" t="s">
        <v>550</v>
      </c>
      <c r="D395" s="141">
        <v>0.05</v>
      </c>
      <c r="E395" s="145" t="s">
        <v>450</v>
      </c>
    </row>
    <row r="396" spans="1:5" x14ac:dyDescent="0.25">
      <c r="A396" s="47">
        <v>267</v>
      </c>
      <c r="B396" s="143" t="s">
        <v>85</v>
      </c>
      <c r="C396" s="167" t="s">
        <v>551</v>
      </c>
      <c r="D396" s="141">
        <v>0.05</v>
      </c>
      <c r="E396" s="145" t="s">
        <v>450</v>
      </c>
    </row>
    <row r="397" spans="1:5" x14ac:dyDescent="0.25">
      <c r="A397" s="47">
        <v>267</v>
      </c>
      <c r="B397" s="143" t="s">
        <v>85</v>
      </c>
      <c r="C397" s="143" t="s">
        <v>461</v>
      </c>
      <c r="D397" s="141">
        <v>0.02</v>
      </c>
      <c r="E397" s="145" t="s">
        <v>450</v>
      </c>
    </row>
    <row r="398" spans="1:5" x14ac:dyDescent="0.25">
      <c r="A398" s="47">
        <v>267</v>
      </c>
      <c r="B398" s="143" t="s">
        <v>85</v>
      </c>
      <c r="C398" s="167" t="s">
        <v>552</v>
      </c>
      <c r="D398" s="141">
        <v>0.01</v>
      </c>
      <c r="E398" s="145" t="s">
        <v>450</v>
      </c>
    </row>
    <row r="399" spans="1:5" x14ac:dyDescent="0.25">
      <c r="A399" s="47">
        <v>267</v>
      </c>
      <c r="B399" s="143" t="s">
        <v>85</v>
      </c>
      <c r="C399" s="152" t="s">
        <v>502</v>
      </c>
      <c r="D399" s="141">
        <v>0.01</v>
      </c>
      <c r="E399" s="145" t="s">
        <v>450</v>
      </c>
    </row>
    <row r="400" spans="1:5" x14ac:dyDescent="0.25">
      <c r="A400" s="47">
        <v>267</v>
      </c>
      <c r="B400" s="143" t="s">
        <v>85</v>
      </c>
      <c r="C400" s="167" t="s">
        <v>553</v>
      </c>
      <c r="D400" s="141">
        <v>1</v>
      </c>
      <c r="E400" s="145" t="s">
        <v>749</v>
      </c>
    </row>
    <row r="401" spans="1:5" x14ac:dyDescent="0.25">
      <c r="A401" s="47">
        <v>267</v>
      </c>
      <c r="B401" s="143" t="s">
        <v>85</v>
      </c>
      <c r="C401" s="167" t="s">
        <v>504</v>
      </c>
      <c r="D401" s="141">
        <v>0.01</v>
      </c>
      <c r="E401" s="145" t="s">
        <v>450</v>
      </c>
    </row>
    <row r="402" spans="1:5" x14ac:dyDescent="0.25">
      <c r="A402" s="47">
        <v>267</v>
      </c>
      <c r="B402" s="143" t="s">
        <v>85</v>
      </c>
      <c r="C402" s="167" t="s">
        <v>470</v>
      </c>
      <c r="D402" s="141">
        <v>2E-3</v>
      </c>
      <c r="E402" s="145" t="s">
        <v>450</v>
      </c>
    </row>
    <row r="403" spans="1:5" x14ac:dyDescent="0.25">
      <c r="A403" s="47">
        <v>267</v>
      </c>
      <c r="B403" s="143" t="s">
        <v>85</v>
      </c>
      <c r="C403" s="167" t="s">
        <v>516</v>
      </c>
      <c r="D403" s="141">
        <v>1E-3</v>
      </c>
      <c r="E403" s="145" t="s">
        <v>450</v>
      </c>
    </row>
    <row r="404" spans="1:5" x14ac:dyDescent="0.25">
      <c r="A404" s="46"/>
      <c r="B404" s="98" t="s">
        <v>403</v>
      </c>
      <c r="C404" s="89" t="s">
        <v>643</v>
      </c>
      <c r="D404" s="141">
        <v>1</v>
      </c>
      <c r="E404" s="150" t="s">
        <v>450</v>
      </c>
    </row>
    <row r="405" spans="1:5" x14ac:dyDescent="0.25">
      <c r="A405" s="46">
        <v>44</v>
      </c>
      <c r="B405" s="143" t="s">
        <v>177</v>
      </c>
      <c r="C405" s="146" t="s">
        <v>643</v>
      </c>
      <c r="D405" s="148">
        <v>0.15</v>
      </c>
      <c r="E405" s="145" t="s">
        <v>450</v>
      </c>
    </row>
    <row r="406" spans="1:5" x14ac:dyDescent="0.25">
      <c r="A406" s="46">
        <v>44</v>
      </c>
      <c r="B406" s="143" t="s">
        <v>177</v>
      </c>
      <c r="C406" s="146" t="s">
        <v>642</v>
      </c>
      <c r="D406" s="148">
        <v>2E-3</v>
      </c>
      <c r="E406" s="145" t="s">
        <v>450</v>
      </c>
    </row>
    <row r="407" spans="1:5" x14ac:dyDescent="0.25">
      <c r="A407" s="46">
        <v>44</v>
      </c>
      <c r="B407" s="143" t="s">
        <v>177</v>
      </c>
      <c r="C407" s="146" t="s">
        <v>469</v>
      </c>
      <c r="D407" s="148">
        <v>5.0000000000000001E-3</v>
      </c>
      <c r="E407" s="145" t="s">
        <v>448</v>
      </c>
    </row>
    <row r="408" spans="1:5" x14ac:dyDescent="0.25">
      <c r="A408" s="46">
        <v>44</v>
      </c>
      <c r="B408" s="143" t="s">
        <v>177</v>
      </c>
      <c r="C408" s="146" t="s">
        <v>488</v>
      </c>
      <c r="D408" s="148">
        <v>1E-3</v>
      </c>
      <c r="E408" s="145" t="s">
        <v>450</v>
      </c>
    </row>
    <row r="409" spans="1:5" x14ac:dyDescent="0.25">
      <c r="A409" s="46">
        <v>44</v>
      </c>
      <c r="B409" s="143" t="s">
        <v>177</v>
      </c>
      <c r="C409" s="143" t="s">
        <v>487</v>
      </c>
      <c r="D409" s="149">
        <v>5.0000000000000001E-4</v>
      </c>
      <c r="E409" s="145" t="s">
        <v>450</v>
      </c>
    </row>
    <row r="410" spans="1:5" x14ac:dyDescent="0.25">
      <c r="A410" s="46">
        <v>44</v>
      </c>
      <c r="B410" s="143" t="s">
        <v>177</v>
      </c>
      <c r="C410" s="143" t="s">
        <v>467</v>
      </c>
      <c r="D410" s="157">
        <v>2E-3</v>
      </c>
      <c r="E410" s="145" t="s">
        <v>448</v>
      </c>
    </row>
    <row r="411" spans="1:5" x14ac:dyDescent="0.25">
      <c r="A411" s="46"/>
      <c r="B411" s="98" t="s">
        <v>389</v>
      </c>
      <c r="C411" s="89" t="s">
        <v>1544</v>
      </c>
      <c r="D411" s="141">
        <v>1</v>
      </c>
      <c r="E411" s="150" t="s">
        <v>450</v>
      </c>
    </row>
    <row r="412" spans="1:5" x14ac:dyDescent="0.25">
      <c r="A412" s="46">
        <v>109</v>
      </c>
      <c r="B412" s="143" t="s">
        <v>207</v>
      </c>
      <c r="C412" s="89" t="s">
        <v>751</v>
      </c>
      <c r="D412" s="141">
        <v>0.24</v>
      </c>
      <c r="E412" s="141" t="s">
        <v>450</v>
      </c>
    </row>
    <row r="413" spans="1:5" x14ac:dyDescent="0.25">
      <c r="A413" s="46">
        <v>109</v>
      </c>
      <c r="B413" s="143" t="s">
        <v>207</v>
      </c>
      <c r="C413" s="89" t="s">
        <v>752</v>
      </c>
      <c r="D413" s="141">
        <v>0.34</v>
      </c>
      <c r="E413" s="141" t="s">
        <v>450</v>
      </c>
    </row>
    <row r="414" spans="1:5" x14ac:dyDescent="0.25">
      <c r="A414" s="46">
        <v>109</v>
      </c>
      <c r="B414" s="143" t="s">
        <v>207</v>
      </c>
      <c r="C414" s="89" t="s">
        <v>753</v>
      </c>
      <c r="D414" s="141">
        <v>0.17</v>
      </c>
      <c r="E414" s="141" t="s">
        <v>450</v>
      </c>
    </row>
    <row r="415" spans="1:5" x14ac:dyDescent="0.25">
      <c r="A415" s="46">
        <v>109</v>
      </c>
      <c r="B415" s="143" t="s">
        <v>207</v>
      </c>
      <c r="C415" s="89" t="s">
        <v>754</v>
      </c>
      <c r="D415" s="141">
        <v>0.23</v>
      </c>
      <c r="E415" s="141" t="s">
        <v>450</v>
      </c>
    </row>
    <row r="416" spans="1:5" x14ac:dyDescent="0.25">
      <c r="A416" s="46">
        <v>109</v>
      </c>
      <c r="B416" s="143" t="s">
        <v>207</v>
      </c>
      <c r="C416" s="89" t="s">
        <v>625</v>
      </c>
      <c r="D416" s="141">
        <v>8</v>
      </c>
      <c r="E416" s="145" t="s">
        <v>749</v>
      </c>
    </row>
    <row r="417" spans="1:5" x14ac:dyDescent="0.25">
      <c r="A417" s="46">
        <v>109</v>
      </c>
      <c r="B417" s="143" t="s">
        <v>207</v>
      </c>
      <c r="C417" s="147" t="s">
        <v>532</v>
      </c>
      <c r="D417" s="141">
        <v>0.04</v>
      </c>
      <c r="E417" s="141" t="s">
        <v>450</v>
      </c>
    </row>
    <row r="418" spans="1:5" x14ac:dyDescent="0.25">
      <c r="A418" s="46">
        <v>109</v>
      </c>
      <c r="B418" s="143" t="s">
        <v>207</v>
      </c>
      <c r="C418" s="152" t="s">
        <v>506</v>
      </c>
      <c r="D418" s="141">
        <v>0.08</v>
      </c>
      <c r="E418" s="141" t="s">
        <v>450</v>
      </c>
    </row>
    <row r="419" spans="1:5" x14ac:dyDescent="0.25">
      <c r="A419" s="46">
        <v>109</v>
      </c>
      <c r="B419" s="143" t="s">
        <v>207</v>
      </c>
      <c r="C419" s="89" t="s">
        <v>569</v>
      </c>
      <c r="D419" s="141">
        <v>0.08</v>
      </c>
      <c r="E419" s="141" t="s">
        <v>450</v>
      </c>
    </row>
    <row r="420" spans="1:5" x14ac:dyDescent="0.25">
      <c r="A420" s="46">
        <v>109</v>
      </c>
      <c r="B420" s="143" t="s">
        <v>207</v>
      </c>
      <c r="C420" s="89" t="s">
        <v>755</v>
      </c>
      <c r="D420" s="141">
        <v>1.4999999999999999E-2</v>
      </c>
      <c r="E420" s="141" t="s">
        <v>450</v>
      </c>
    </row>
    <row r="421" spans="1:5" x14ac:dyDescent="0.25">
      <c r="A421" s="46">
        <v>349</v>
      </c>
      <c r="B421" s="143" t="s">
        <v>370</v>
      </c>
      <c r="C421" s="89" t="s">
        <v>541</v>
      </c>
      <c r="D421" s="144">
        <v>0.09</v>
      </c>
      <c r="E421" s="142" t="s">
        <v>450</v>
      </c>
    </row>
    <row r="422" spans="1:5" x14ac:dyDescent="0.25">
      <c r="A422" s="46">
        <v>349</v>
      </c>
      <c r="B422" s="143" t="s">
        <v>370</v>
      </c>
      <c r="C422" s="143" t="s">
        <v>559</v>
      </c>
      <c r="D422" s="144">
        <v>1</v>
      </c>
      <c r="E422" s="145" t="s">
        <v>749</v>
      </c>
    </row>
    <row r="423" spans="1:5" x14ac:dyDescent="0.25">
      <c r="A423" s="46">
        <v>349</v>
      </c>
      <c r="B423" s="143" t="s">
        <v>370</v>
      </c>
      <c r="C423" s="143" t="s">
        <v>327</v>
      </c>
      <c r="D423" s="144">
        <v>0.03</v>
      </c>
      <c r="E423" s="142" t="s">
        <v>450</v>
      </c>
    </row>
    <row r="424" spans="1:5" x14ac:dyDescent="0.25">
      <c r="A424" s="46">
        <v>349</v>
      </c>
      <c r="B424" s="143" t="s">
        <v>370</v>
      </c>
      <c r="C424" s="143" t="s">
        <v>488</v>
      </c>
      <c r="D424" s="144">
        <v>2E-3</v>
      </c>
      <c r="E424" s="142" t="s">
        <v>450</v>
      </c>
    </row>
    <row r="425" spans="1:5" x14ac:dyDescent="0.25">
      <c r="A425" s="46">
        <v>349</v>
      </c>
      <c r="B425" s="143" t="s">
        <v>370</v>
      </c>
      <c r="C425" s="143" t="s">
        <v>467</v>
      </c>
      <c r="D425" s="144">
        <v>2E-3</v>
      </c>
      <c r="E425" s="142" t="s">
        <v>448</v>
      </c>
    </row>
    <row r="426" spans="1:5" x14ac:dyDescent="0.25">
      <c r="A426" s="46">
        <v>349</v>
      </c>
      <c r="B426" s="143" t="s">
        <v>370</v>
      </c>
      <c r="C426" s="143" t="s">
        <v>487</v>
      </c>
      <c r="D426" s="144">
        <v>1E-3</v>
      </c>
      <c r="E426" s="142" t="s">
        <v>450</v>
      </c>
    </row>
    <row r="427" spans="1:5" x14ac:dyDescent="0.25">
      <c r="A427" s="46">
        <v>141</v>
      </c>
      <c r="B427" s="143" t="s">
        <v>224</v>
      </c>
      <c r="C427" s="89" t="s">
        <v>542</v>
      </c>
      <c r="D427" s="141">
        <v>0.02</v>
      </c>
      <c r="E427" s="141" t="s">
        <v>458</v>
      </c>
    </row>
    <row r="428" spans="1:5" x14ac:dyDescent="0.25">
      <c r="A428" s="46">
        <v>141</v>
      </c>
      <c r="B428" s="143" t="s">
        <v>224</v>
      </c>
      <c r="C428" s="146" t="s">
        <v>615</v>
      </c>
      <c r="D428" s="141">
        <v>0.04</v>
      </c>
      <c r="E428" s="141" t="s">
        <v>458</v>
      </c>
    </row>
    <row r="429" spans="1:5" x14ac:dyDescent="0.25">
      <c r="A429" s="46">
        <v>141</v>
      </c>
      <c r="B429" s="143" t="s">
        <v>224</v>
      </c>
      <c r="C429" s="89" t="s">
        <v>504</v>
      </c>
      <c r="D429" s="141">
        <v>0.01</v>
      </c>
      <c r="E429" s="141" t="s">
        <v>458</v>
      </c>
    </row>
    <row r="430" spans="1:5" x14ac:dyDescent="0.25">
      <c r="A430" s="46">
        <v>141</v>
      </c>
      <c r="B430" s="143" t="s">
        <v>224</v>
      </c>
      <c r="C430" s="89" t="s">
        <v>541</v>
      </c>
      <c r="D430" s="141">
        <v>0.09</v>
      </c>
      <c r="E430" s="141" t="s">
        <v>458</v>
      </c>
    </row>
    <row r="431" spans="1:5" x14ac:dyDescent="0.25">
      <c r="A431" s="46">
        <v>141</v>
      </c>
      <c r="B431" s="143" t="s">
        <v>224</v>
      </c>
      <c r="C431" s="89" t="s">
        <v>701</v>
      </c>
      <c r="D431" s="141">
        <v>1.4999999999999999E-2</v>
      </c>
      <c r="E431" s="141" t="s">
        <v>458</v>
      </c>
    </row>
    <row r="432" spans="1:5" x14ac:dyDescent="0.25">
      <c r="A432" s="46">
        <v>141</v>
      </c>
      <c r="B432" s="143" t="s">
        <v>224</v>
      </c>
      <c r="C432" s="89" t="s">
        <v>682</v>
      </c>
      <c r="D432" s="141">
        <v>0.01</v>
      </c>
      <c r="E432" s="141" t="s">
        <v>458</v>
      </c>
    </row>
    <row r="433" spans="1:5" x14ac:dyDescent="0.25">
      <c r="A433" s="46">
        <v>141</v>
      </c>
      <c r="B433" s="143" t="s">
        <v>224</v>
      </c>
      <c r="C433" s="89" t="s">
        <v>744</v>
      </c>
      <c r="D433" s="141">
        <v>0.01</v>
      </c>
      <c r="E433" s="141" t="s">
        <v>458</v>
      </c>
    </row>
    <row r="434" spans="1:5" x14ac:dyDescent="0.25">
      <c r="A434" s="46">
        <v>141</v>
      </c>
      <c r="B434" s="143" t="s">
        <v>224</v>
      </c>
      <c r="C434" s="89" t="s">
        <v>488</v>
      </c>
      <c r="D434" s="141">
        <v>3.0000000000000001E-3</v>
      </c>
      <c r="E434" s="141" t="s">
        <v>458</v>
      </c>
    </row>
    <row r="435" spans="1:5" x14ac:dyDescent="0.25">
      <c r="A435" s="46">
        <v>141</v>
      </c>
      <c r="B435" s="143" t="s">
        <v>224</v>
      </c>
      <c r="C435" s="89" t="s">
        <v>636</v>
      </c>
      <c r="D435" s="141">
        <v>5.0000000000000001E-4</v>
      </c>
      <c r="E435" s="141" t="s">
        <v>458</v>
      </c>
    </row>
    <row r="436" spans="1:5" x14ac:dyDescent="0.25">
      <c r="A436" s="46">
        <v>141</v>
      </c>
      <c r="B436" s="143" t="s">
        <v>224</v>
      </c>
      <c r="C436" s="89" t="s">
        <v>481</v>
      </c>
      <c r="D436" s="141">
        <v>1E-3</v>
      </c>
      <c r="E436" s="141" t="s">
        <v>458</v>
      </c>
    </row>
    <row r="437" spans="1:5" x14ac:dyDescent="0.25">
      <c r="A437" s="46">
        <v>36</v>
      </c>
      <c r="B437" s="143" t="s">
        <v>172</v>
      </c>
      <c r="C437" s="89" t="s">
        <v>541</v>
      </c>
      <c r="D437" s="144">
        <v>0.09</v>
      </c>
      <c r="E437" s="142" t="s">
        <v>450</v>
      </c>
    </row>
    <row r="438" spans="1:5" x14ac:dyDescent="0.25">
      <c r="A438" s="46">
        <v>36</v>
      </c>
      <c r="B438" s="143" t="s">
        <v>172</v>
      </c>
      <c r="C438" s="143" t="s">
        <v>632</v>
      </c>
      <c r="D438" s="144">
        <v>1.4999999999999999E-2</v>
      </c>
      <c r="E438" s="142" t="s">
        <v>450</v>
      </c>
    </row>
    <row r="439" spans="1:5" x14ac:dyDescent="0.25">
      <c r="A439" s="46">
        <v>36</v>
      </c>
      <c r="B439" s="143" t="s">
        <v>172</v>
      </c>
      <c r="C439" s="143" t="s">
        <v>327</v>
      </c>
      <c r="D439" s="144">
        <v>0.03</v>
      </c>
      <c r="E439" s="142" t="s">
        <v>450</v>
      </c>
    </row>
    <row r="440" spans="1:5" x14ac:dyDescent="0.25">
      <c r="A440" s="46">
        <v>36</v>
      </c>
      <c r="B440" s="143" t="s">
        <v>172</v>
      </c>
      <c r="C440" s="143" t="s">
        <v>488</v>
      </c>
      <c r="D440" s="144">
        <v>2E-3</v>
      </c>
      <c r="E440" s="142" t="s">
        <v>450</v>
      </c>
    </row>
    <row r="441" spans="1:5" x14ac:dyDescent="0.25">
      <c r="A441" s="46">
        <v>36</v>
      </c>
      <c r="B441" s="143" t="s">
        <v>172</v>
      </c>
      <c r="C441" s="143" t="s">
        <v>467</v>
      </c>
      <c r="D441" s="144">
        <v>2E-3</v>
      </c>
      <c r="E441" s="142" t="s">
        <v>448</v>
      </c>
    </row>
    <row r="442" spans="1:5" x14ac:dyDescent="0.25">
      <c r="A442" s="46">
        <v>36</v>
      </c>
      <c r="B442" s="143" t="s">
        <v>172</v>
      </c>
      <c r="C442" s="143" t="s">
        <v>487</v>
      </c>
      <c r="D442" s="144">
        <v>1E-3</v>
      </c>
      <c r="E442" s="142" t="s">
        <v>450</v>
      </c>
    </row>
    <row r="443" spans="1:5" x14ac:dyDescent="0.25">
      <c r="A443" s="46">
        <v>178</v>
      </c>
      <c r="B443" s="143" t="s">
        <v>246</v>
      </c>
      <c r="C443" s="89" t="s">
        <v>837</v>
      </c>
      <c r="D443" s="141"/>
      <c r="E443" s="141"/>
    </row>
    <row r="444" spans="1:5" x14ac:dyDescent="0.25">
      <c r="A444" s="46">
        <v>178</v>
      </c>
      <c r="B444" s="143" t="s">
        <v>246</v>
      </c>
      <c r="C444" s="89" t="s">
        <v>838</v>
      </c>
      <c r="D444" s="141"/>
      <c r="E444" s="141"/>
    </row>
    <row r="445" spans="1:5" x14ac:dyDescent="0.25">
      <c r="A445" s="46">
        <v>178</v>
      </c>
      <c r="B445" s="143" t="s">
        <v>246</v>
      </c>
      <c r="C445" s="89" t="s">
        <v>747</v>
      </c>
      <c r="D445" s="141"/>
      <c r="E445" s="141"/>
    </row>
    <row r="446" spans="1:5" x14ac:dyDescent="0.25">
      <c r="A446" s="46">
        <v>178</v>
      </c>
      <c r="B446" s="143" t="s">
        <v>246</v>
      </c>
      <c r="C446" s="89" t="s">
        <v>839</v>
      </c>
      <c r="D446" s="141"/>
      <c r="E446" s="141"/>
    </row>
    <row r="447" spans="1:5" x14ac:dyDescent="0.25">
      <c r="A447" s="46">
        <v>178</v>
      </c>
      <c r="B447" s="143" t="s">
        <v>246</v>
      </c>
      <c r="C447" s="89" t="s">
        <v>840</v>
      </c>
      <c r="D447" s="141"/>
      <c r="E447" s="141"/>
    </row>
    <row r="448" spans="1:5" x14ac:dyDescent="0.25">
      <c r="A448" s="46">
        <v>178</v>
      </c>
      <c r="B448" s="143" t="s">
        <v>246</v>
      </c>
      <c r="C448" s="89" t="s">
        <v>488</v>
      </c>
      <c r="D448" s="141"/>
      <c r="E448" s="141"/>
    </row>
    <row r="449" spans="1:5" x14ac:dyDescent="0.25">
      <c r="A449" s="46">
        <v>55</v>
      </c>
      <c r="B449" s="143" t="s">
        <v>185</v>
      </c>
      <c r="C449" s="89" t="s">
        <v>662</v>
      </c>
      <c r="D449" s="144">
        <v>0.09</v>
      </c>
      <c r="E449" s="142" t="s">
        <v>448</v>
      </c>
    </row>
    <row r="450" spans="1:5" x14ac:dyDescent="0.25">
      <c r="A450" s="46">
        <v>55</v>
      </c>
      <c r="B450" s="143" t="s">
        <v>185</v>
      </c>
      <c r="C450" s="89" t="s">
        <v>663</v>
      </c>
      <c r="D450" s="144">
        <v>7.0000000000000007E-2</v>
      </c>
      <c r="E450" s="142" t="s">
        <v>448</v>
      </c>
    </row>
    <row r="451" spans="1:5" x14ac:dyDescent="0.25">
      <c r="A451" s="46">
        <v>55</v>
      </c>
      <c r="B451" s="143" t="s">
        <v>185</v>
      </c>
      <c r="C451" s="143" t="s">
        <v>566</v>
      </c>
      <c r="D451" s="144">
        <v>0.1</v>
      </c>
      <c r="E451" s="142" t="s">
        <v>448</v>
      </c>
    </row>
    <row r="452" spans="1:5" x14ac:dyDescent="0.25">
      <c r="A452" s="46">
        <v>55</v>
      </c>
      <c r="B452" s="143" t="s">
        <v>185</v>
      </c>
      <c r="C452" s="143" t="s">
        <v>453</v>
      </c>
      <c r="D452" s="144">
        <v>0.08</v>
      </c>
      <c r="E452" s="142" t="s">
        <v>450</v>
      </c>
    </row>
    <row r="453" spans="1:5" x14ac:dyDescent="0.25">
      <c r="A453" s="46">
        <v>275</v>
      </c>
      <c r="B453" s="143" t="s">
        <v>305</v>
      </c>
      <c r="C453" s="90" t="s">
        <v>702</v>
      </c>
      <c r="D453" s="141">
        <v>0.03</v>
      </c>
      <c r="E453" s="89" t="s">
        <v>450</v>
      </c>
    </row>
    <row r="454" spans="1:5" x14ac:dyDescent="0.25">
      <c r="A454" s="46">
        <v>275</v>
      </c>
      <c r="B454" s="143" t="s">
        <v>305</v>
      </c>
      <c r="C454" s="89" t="s">
        <v>677</v>
      </c>
      <c r="D454" s="141">
        <v>8.9999999999999993E-3</v>
      </c>
      <c r="E454" s="89" t="s">
        <v>450</v>
      </c>
    </row>
    <row r="455" spans="1:5" x14ac:dyDescent="0.25">
      <c r="A455" s="46">
        <v>275</v>
      </c>
      <c r="B455" s="143" t="s">
        <v>305</v>
      </c>
      <c r="C455" s="89" t="s">
        <v>954</v>
      </c>
      <c r="D455" s="141">
        <v>5.0000000000000001E-3</v>
      </c>
      <c r="E455" s="89" t="s">
        <v>450</v>
      </c>
    </row>
    <row r="456" spans="1:5" x14ac:dyDescent="0.25">
      <c r="A456" s="46">
        <v>275</v>
      </c>
      <c r="B456" s="143" t="s">
        <v>305</v>
      </c>
      <c r="C456" s="89" t="s">
        <v>498</v>
      </c>
      <c r="D456" s="141">
        <v>2E-3</v>
      </c>
      <c r="E456" s="89" t="s">
        <v>450</v>
      </c>
    </row>
    <row r="457" spans="1:5" x14ac:dyDescent="0.25">
      <c r="A457" s="46">
        <v>275</v>
      </c>
      <c r="B457" s="143" t="s">
        <v>305</v>
      </c>
      <c r="C457" s="89" t="s">
        <v>480</v>
      </c>
      <c r="D457" s="141">
        <v>1E-4</v>
      </c>
      <c r="E457" s="89" t="s">
        <v>450</v>
      </c>
    </row>
    <row r="458" spans="1:5" x14ac:dyDescent="0.25">
      <c r="A458" s="46">
        <v>275</v>
      </c>
      <c r="B458" s="143" t="s">
        <v>305</v>
      </c>
      <c r="C458" s="89" t="s">
        <v>495</v>
      </c>
      <c r="D458" s="141">
        <v>1.0000000000000001E-5</v>
      </c>
      <c r="E458" s="89" t="s">
        <v>450</v>
      </c>
    </row>
    <row r="459" spans="1:5" x14ac:dyDescent="0.25">
      <c r="A459" s="46">
        <v>275</v>
      </c>
      <c r="B459" s="143" t="s">
        <v>305</v>
      </c>
      <c r="C459" s="89" t="s">
        <v>488</v>
      </c>
      <c r="D459" s="141">
        <v>1E-3</v>
      </c>
      <c r="E459" s="89" t="s">
        <v>450</v>
      </c>
    </row>
    <row r="460" spans="1:5" x14ac:dyDescent="0.25">
      <c r="A460" s="46">
        <v>275</v>
      </c>
      <c r="B460" s="143" t="s">
        <v>305</v>
      </c>
      <c r="C460" s="152" t="s">
        <v>503</v>
      </c>
      <c r="D460" s="141">
        <v>2E-3</v>
      </c>
      <c r="E460" s="89" t="s">
        <v>450</v>
      </c>
    </row>
    <row r="461" spans="1:5" x14ac:dyDescent="0.25">
      <c r="A461" s="46">
        <v>275</v>
      </c>
      <c r="B461" s="143" t="s">
        <v>305</v>
      </c>
      <c r="C461" s="143" t="s">
        <v>566</v>
      </c>
      <c r="D461" s="141">
        <v>0.18</v>
      </c>
      <c r="E461" s="89" t="s">
        <v>450</v>
      </c>
    </row>
    <row r="462" spans="1:5" x14ac:dyDescent="0.25">
      <c r="A462" s="46">
        <v>209</v>
      </c>
      <c r="B462" s="143" t="s">
        <v>266</v>
      </c>
      <c r="C462" s="143" t="s">
        <v>781</v>
      </c>
      <c r="D462" s="141">
        <v>0.22</v>
      </c>
      <c r="E462" s="145" t="s">
        <v>450</v>
      </c>
    </row>
    <row r="463" spans="1:5" x14ac:dyDescent="0.25">
      <c r="A463" s="46">
        <v>209</v>
      </c>
      <c r="B463" s="143" t="s">
        <v>266</v>
      </c>
      <c r="C463" s="143" t="s">
        <v>535</v>
      </c>
      <c r="D463" s="141">
        <v>0.02</v>
      </c>
      <c r="E463" s="145" t="s">
        <v>448</v>
      </c>
    </row>
    <row r="464" spans="1:5" x14ac:dyDescent="0.25">
      <c r="A464" s="46">
        <v>209</v>
      </c>
      <c r="B464" s="143" t="s">
        <v>266</v>
      </c>
      <c r="C464" s="143" t="s">
        <v>898</v>
      </c>
      <c r="D464" s="141">
        <v>1E-3</v>
      </c>
      <c r="E464" s="145" t="s">
        <v>448</v>
      </c>
    </row>
    <row r="465" spans="1:5" x14ac:dyDescent="0.25">
      <c r="A465" s="46">
        <v>209</v>
      </c>
      <c r="B465" s="143" t="s">
        <v>266</v>
      </c>
      <c r="C465" s="89" t="s">
        <v>533</v>
      </c>
      <c r="D465" s="141">
        <v>2E-3</v>
      </c>
      <c r="E465" s="145" t="s">
        <v>450</v>
      </c>
    </row>
    <row r="466" spans="1:5" x14ac:dyDescent="0.25">
      <c r="A466" s="46">
        <v>209</v>
      </c>
      <c r="B466" s="143" t="s">
        <v>266</v>
      </c>
      <c r="C466" s="89" t="s">
        <v>502</v>
      </c>
      <c r="D466" s="141">
        <v>0.01</v>
      </c>
      <c r="E466" s="145" t="s">
        <v>450</v>
      </c>
    </row>
    <row r="467" spans="1:5" x14ac:dyDescent="0.25">
      <c r="A467" s="46">
        <v>209</v>
      </c>
      <c r="B467" s="143" t="s">
        <v>266</v>
      </c>
      <c r="C467" s="143" t="s">
        <v>590</v>
      </c>
      <c r="D467" s="141">
        <v>0.02</v>
      </c>
      <c r="E467" s="145" t="s">
        <v>450</v>
      </c>
    </row>
    <row r="468" spans="1:5" x14ac:dyDescent="0.25">
      <c r="A468" s="46">
        <v>209</v>
      </c>
      <c r="B468" s="143" t="s">
        <v>266</v>
      </c>
      <c r="C468" s="89" t="s">
        <v>554</v>
      </c>
      <c r="D468" s="141">
        <v>0.01</v>
      </c>
      <c r="E468" s="145" t="s">
        <v>450</v>
      </c>
    </row>
    <row r="469" spans="1:5" x14ac:dyDescent="0.25">
      <c r="A469" s="46">
        <v>209</v>
      </c>
      <c r="B469" s="143" t="s">
        <v>266</v>
      </c>
      <c r="C469" s="89" t="s">
        <v>480</v>
      </c>
      <c r="D469" s="141">
        <v>0.01</v>
      </c>
      <c r="E469" s="145" t="s">
        <v>450</v>
      </c>
    </row>
    <row r="470" spans="1:5" x14ac:dyDescent="0.25">
      <c r="A470" s="46">
        <v>209</v>
      </c>
      <c r="B470" s="143" t="s">
        <v>266</v>
      </c>
      <c r="C470" s="89" t="s">
        <v>525</v>
      </c>
      <c r="D470" s="141">
        <v>0.02</v>
      </c>
      <c r="E470" s="145" t="s">
        <v>450</v>
      </c>
    </row>
    <row r="471" spans="1:5" x14ac:dyDescent="0.25">
      <c r="A471" s="46">
        <v>209</v>
      </c>
      <c r="B471" s="143" t="s">
        <v>266</v>
      </c>
      <c r="C471" s="89" t="s">
        <v>470</v>
      </c>
      <c r="D471" s="141">
        <v>2E-3</v>
      </c>
      <c r="E471" s="145" t="s">
        <v>450</v>
      </c>
    </row>
    <row r="472" spans="1:5" x14ac:dyDescent="0.25">
      <c r="A472" s="46">
        <v>209</v>
      </c>
      <c r="B472" s="143" t="s">
        <v>266</v>
      </c>
      <c r="C472" s="89" t="s">
        <v>516</v>
      </c>
      <c r="D472" s="141">
        <v>1E-3</v>
      </c>
      <c r="E472" s="145" t="s">
        <v>450</v>
      </c>
    </row>
    <row r="473" spans="1:5" x14ac:dyDescent="0.25">
      <c r="A473" s="46">
        <v>209</v>
      </c>
      <c r="B473" s="143" t="s">
        <v>266</v>
      </c>
      <c r="C473" s="89" t="s">
        <v>529</v>
      </c>
      <c r="D473" s="141">
        <v>3.0000000000000001E-3</v>
      </c>
      <c r="E473" s="145" t="s">
        <v>450</v>
      </c>
    </row>
    <row r="474" spans="1:5" x14ac:dyDescent="0.25">
      <c r="A474" s="46">
        <v>276</v>
      </c>
      <c r="B474" s="143" t="s">
        <v>307</v>
      </c>
      <c r="C474" s="89" t="s">
        <v>978</v>
      </c>
      <c r="D474" s="141">
        <v>5.0000000000000001E-3</v>
      </c>
      <c r="E474" s="89" t="s">
        <v>450</v>
      </c>
    </row>
    <row r="475" spans="1:5" x14ac:dyDescent="0.25">
      <c r="A475" s="46">
        <v>276</v>
      </c>
      <c r="B475" s="143" t="s">
        <v>307</v>
      </c>
      <c r="C475" s="89" t="s">
        <v>979</v>
      </c>
      <c r="D475" s="141">
        <v>1E-3</v>
      </c>
      <c r="E475" s="89" t="s">
        <v>458</v>
      </c>
    </row>
    <row r="476" spans="1:5" x14ac:dyDescent="0.25">
      <c r="A476" s="46">
        <v>276</v>
      </c>
      <c r="B476" s="143" t="s">
        <v>307</v>
      </c>
      <c r="C476" s="89" t="s">
        <v>980</v>
      </c>
      <c r="D476" s="141">
        <v>6.5000000000000002E-2</v>
      </c>
      <c r="E476" s="89" t="s">
        <v>458</v>
      </c>
    </row>
    <row r="477" spans="1:5" x14ac:dyDescent="0.25">
      <c r="A477" s="46">
        <v>276</v>
      </c>
      <c r="B477" s="143" t="s">
        <v>307</v>
      </c>
      <c r="C477" s="89" t="s">
        <v>461</v>
      </c>
      <c r="D477" s="141">
        <v>0.02</v>
      </c>
      <c r="E477" s="89" t="s">
        <v>458</v>
      </c>
    </row>
    <row r="478" spans="1:5" x14ac:dyDescent="0.25">
      <c r="A478" s="46">
        <v>276</v>
      </c>
      <c r="B478" s="143" t="s">
        <v>307</v>
      </c>
      <c r="C478" s="143" t="s">
        <v>566</v>
      </c>
      <c r="D478" s="141">
        <v>0.2</v>
      </c>
      <c r="E478" s="89" t="s">
        <v>448</v>
      </c>
    </row>
    <row r="479" spans="1:5" x14ac:dyDescent="0.25">
      <c r="A479" s="46">
        <v>277</v>
      </c>
      <c r="B479" s="143" t="s">
        <v>308</v>
      </c>
      <c r="C479" s="89" t="s">
        <v>978</v>
      </c>
      <c r="D479" s="141">
        <v>5.0000000000000001E-3</v>
      </c>
      <c r="E479" s="89" t="s">
        <v>450</v>
      </c>
    </row>
    <row r="480" spans="1:5" x14ac:dyDescent="0.25">
      <c r="A480" s="46">
        <v>277</v>
      </c>
      <c r="B480" s="143" t="s">
        <v>308</v>
      </c>
      <c r="C480" s="89" t="s">
        <v>453</v>
      </c>
      <c r="D480" s="141">
        <v>2E-3</v>
      </c>
      <c r="E480" s="89" t="s">
        <v>450</v>
      </c>
    </row>
    <row r="481" spans="1:5" x14ac:dyDescent="0.25">
      <c r="A481" s="46">
        <v>277</v>
      </c>
      <c r="B481" s="143" t="s">
        <v>308</v>
      </c>
      <c r="C481" s="89" t="s">
        <v>452</v>
      </c>
      <c r="D481" s="141">
        <v>0.1</v>
      </c>
      <c r="E481" s="89" t="s">
        <v>450</v>
      </c>
    </row>
    <row r="482" spans="1:5" x14ac:dyDescent="0.25">
      <c r="A482" s="46">
        <v>277</v>
      </c>
      <c r="B482" s="143" t="s">
        <v>308</v>
      </c>
      <c r="C482" s="89" t="s">
        <v>668</v>
      </c>
      <c r="D482" s="141">
        <v>3.0000000000000001E-3</v>
      </c>
      <c r="E482" s="89" t="s">
        <v>450</v>
      </c>
    </row>
    <row r="483" spans="1:5" x14ac:dyDescent="0.25">
      <c r="A483" s="46">
        <v>277</v>
      </c>
      <c r="B483" s="143" t="s">
        <v>308</v>
      </c>
      <c r="C483" s="143" t="s">
        <v>566</v>
      </c>
      <c r="D483" s="141">
        <v>0.22</v>
      </c>
      <c r="E483" s="89" t="s">
        <v>448</v>
      </c>
    </row>
    <row r="484" spans="1:5" x14ac:dyDescent="0.25">
      <c r="A484" s="46">
        <v>277</v>
      </c>
      <c r="B484" s="143" t="s">
        <v>308</v>
      </c>
      <c r="C484" s="143" t="s">
        <v>449</v>
      </c>
      <c r="D484" s="141">
        <v>0</v>
      </c>
      <c r="E484" s="89" t="s">
        <v>448</v>
      </c>
    </row>
    <row r="485" spans="1:5" x14ac:dyDescent="0.25">
      <c r="A485" s="46"/>
      <c r="B485" s="98" t="s">
        <v>392</v>
      </c>
      <c r="C485" s="89" t="s">
        <v>1036</v>
      </c>
      <c r="D485" s="141">
        <v>0.25</v>
      </c>
      <c r="E485" s="150" t="s">
        <v>450</v>
      </c>
    </row>
    <row r="486" spans="1:5" x14ac:dyDescent="0.25">
      <c r="A486" s="46"/>
      <c r="B486" s="98" t="s">
        <v>392</v>
      </c>
      <c r="C486" s="89" t="s">
        <v>785</v>
      </c>
      <c r="D486" s="141">
        <v>0.25</v>
      </c>
      <c r="E486" s="150" t="s">
        <v>450</v>
      </c>
    </row>
    <row r="487" spans="1:5" x14ac:dyDescent="0.25">
      <c r="A487" s="46"/>
      <c r="B487" s="98" t="s">
        <v>392</v>
      </c>
      <c r="C487" s="89" t="s">
        <v>1106</v>
      </c>
      <c r="D487" s="141">
        <v>0.25</v>
      </c>
      <c r="E487" s="150" t="s">
        <v>450</v>
      </c>
    </row>
    <row r="488" spans="1:5" x14ac:dyDescent="0.25">
      <c r="A488" s="46"/>
      <c r="B488" s="98" t="s">
        <v>392</v>
      </c>
      <c r="C488" s="89" t="s">
        <v>1107</v>
      </c>
      <c r="D488" s="141">
        <v>0.25</v>
      </c>
      <c r="E488" s="150" t="s">
        <v>450</v>
      </c>
    </row>
    <row r="489" spans="1:5" x14ac:dyDescent="0.25">
      <c r="A489" s="46">
        <v>21</v>
      </c>
      <c r="B489" s="143" t="s">
        <v>165</v>
      </c>
      <c r="C489" s="143" t="s">
        <v>589</v>
      </c>
      <c r="D489" s="144">
        <v>7.4999999999999997E-2</v>
      </c>
      <c r="E489" s="142" t="s">
        <v>450</v>
      </c>
    </row>
    <row r="490" spans="1:5" x14ac:dyDescent="0.25">
      <c r="A490" s="46">
        <v>21</v>
      </c>
      <c r="B490" s="143" t="s">
        <v>165</v>
      </c>
      <c r="C490" s="143" t="s">
        <v>451</v>
      </c>
      <c r="D490" s="144">
        <v>7.4999999999999997E-2</v>
      </c>
      <c r="E490" s="142" t="s">
        <v>450</v>
      </c>
    </row>
    <row r="491" spans="1:5" x14ac:dyDescent="0.25">
      <c r="A491" s="46">
        <v>21</v>
      </c>
      <c r="B491" s="143" t="s">
        <v>165</v>
      </c>
      <c r="C491" s="143" t="s">
        <v>404</v>
      </c>
      <c r="D491" s="144">
        <v>7.4999999999999997E-2</v>
      </c>
      <c r="E491" s="142" t="s">
        <v>458</v>
      </c>
    </row>
    <row r="492" spans="1:5" x14ac:dyDescent="0.25">
      <c r="A492" s="46">
        <v>21</v>
      </c>
      <c r="B492" s="143" t="s">
        <v>165</v>
      </c>
      <c r="C492" s="143" t="s">
        <v>584</v>
      </c>
      <c r="D492" s="144">
        <v>0.02</v>
      </c>
      <c r="E492" s="142" t="s">
        <v>458</v>
      </c>
    </row>
    <row r="493" spans="1:5" x14ac:dyDescent="0.25">
      <c r="A493" s="46">
        <v>21</v>
      </c>
      <c r="B493" s="143" t="s">
        <v>165</v>
      </c>
      <c r="C493" s="143" t="s">
        <v>568</v>
      </c>
      <c r="D493" s="144">
        <v>0.2</v>
      </c>
      <c r="E493" s="142" t="s">
        <v>450</v>
      </c>
    </row>
    <row r="494" spans="1:5" x14ac:dyDescent="0.25">
      <c r="A494" s="46">
        <v>21</v>
      </c>
      <c r="B494" s="143" t="s">
        <v>165</v>
      </c>
      <c r="C494" s="143" t="s">
        <v>590</v>
      </c>
      <c r="D494" s="144">
        <v>7.4999999999999997E-2</v>
      </c>
      <c r="E494" s="142" t="s">
        <v>450</v>
      </c>
    </row>
    <row r="495" spans="1:5" x14ac:dyDescent="0.25">
      <c r="A495" s="46">
        <v>21</v>
      </c>
      <c r="B495" s="143" t="s">
        <v>165</v>
      </c>
      <c r="C495" s="139" t="s">
        <v>575</v>
      </c>
      <c r="D495" s="144">
        <v>1.4999999999999999E-2</v>
      </c>
      <c r="E495" s="142" t="s">
        <v>450</v>
      </c>
    </row>
    <row r="496" spans="1:5" x14ac:dyDescent="0.25">
      <c r="A496" s="46">
        <v>21</v>
      </c>
      <c r="B496" s="143" t="s">
        <v>165</v>
      </c>
      <c r="C496" s="143" t="s">
        <v>487</v>
      </c>
      <c r="D496" s="144">
        <v>1E-3</v>
      </c>
      <c r="E496" s="142" t="s">
        <v>458</v>
      </c>
    </row>
    <row r="497" spans="1:5" x14ac:dyDescent="0.25">
      <c r="A497" s="46">
        <v>21</v>
      </c>
      <c r="B497" s="143" t="s">
        <v>165</v>
      </c>
      <c r="C497" s="143" t="s">
        <v>467</v>
      </c>
      <c r="D497" s="144">
        <v>2E-3</v>
      </c>
      <c r="E497" s="142" t="s">
        <v>448</v>
      </c>
    </row>
    <row r="498" spans="1:5" x14ac:dyDescent="0.25">
      <c r="A498" s="46">
        <v>21</v>
      </c>
      <c r="B498" s="143" t="s">
        <v>165</v>
      </c>
      <c r="C498" s="143" t="s">
        <v>488</v>
      </c>
      <c r="D498" s="144">
        <v>2E-3</v>
      </c>
      <c r="E498" s="142" t="s">
        <v>450</v>
      </c>
    </row>
    <row r="499" spans="1:5" x14ac:dyDescent="0.25">
      <c r="A499" s="46">
        <v>21</v>
      </c>
      <c r="B499" s="143" t="s">
        <v>165</v>
      </c>
      <c r="C499" s="143" t="s">
        <v>520</v>
      </c>
      <c r="D499" s="168">
        <v>0.08</v>
      </c>
      <c r="E499" s="141" t="s">
        <v>450</v>
      </c>
    </row>
    <row r="500" spans="1:5" x14ac:dyDescent="0.25">
      <c r="A500" s="46">
        <v>137</v>
      </c>
      <c r="B500" s="143" t="s">
        <v>80</v>
      </c>
      <c r="C500" s="89" t="s">
        <v>789</v>
      </c>
      <c r="D500" s="141">
        <v>0.27</v>
      </c>
      <c r="E500" s="141" t="s">
        <v>458</v>
      </c>
    </row>
    <row r="501" spans="1:5" x14ac:dyDescent="0.25">
      <c r="A501" s="46">
        <v>137</v>
      </c>
      <c r="B501" s="143" t="s">
        <v>80</v>
      </c>
      <c r="C501" s="89" t="s">
        <v>790</v>
      </c>
      <c r="D501" s="141">
        <v>0.1</v>
      </c>
      <c r="E501" s="141" t="s">
        <v>448</v>
      </c>
    </row>
    <row r="502" spans="1:5" x14ac:dyDescent="0.25">
      <c r="A502" s="46">
        <v>137</v>
      </c>
      <c r="B502" s="143" t="s">
        <v>80</v>
      </c>
      <c r="C502" s="89" t="s">
        <v>621</v>
      </c>
      <c r="D502" s="141">
        <v>1</v>
      </c>
      <c r="E502" s="141" t="s">
        <v>623</v>
      </c>
    </row>
    <row r="503" spans="1:5" x14ac:dyDescent="0.25">
      <c r="A503" s="46">
        <v>137</v>
      </c>
      <c r="B503" s="143" t="s">
        <v>80</v>
      </c>
      <c r="C503" s="89" t="s">
        <v>624</v>
      </c>
      <c r="D503" s="141">
        <v>1</v>
      </c>
      <c r="E503" s="141" t="s">
        <v>623</v>
      </c>
    </row>
    <row r="504" spans="1:5" x14ac:dyDescent="0.25">
      <c r="A504" s="46">
        <v>137</v>
      </c>
      <c r="B504" s="143" t="s">
        <v>80</v>
      </c>
      <c r="C504" s="89" t="s">
        <v>627</v>
      </c>
      <c r="D504" s="141">
        <v>1</v>
      </c>
      <c r="E504" s="141" t="s">
        <v>594</v>
      </c>
    </row>
    <row r="505" spans="1:5" x14ac:dyDescent="0.25">
      <c r="A505" s="46">
        <v>137</v>
      </c>
      <c r="B505" s="143" t="s">
        <v>80</v>
      </c>
      <c r="C505" s="89" t="s">
        <v>488</v>
      </c>
      <c r="D505" s="141">
        <v>5.0000000000000001E-3</v>
      </c>
      <c r="E505" s="141" t="s">
        <v>458</v>
      </c>
    </row>
    <row r="506" spans="1:5" x14ac:dyDescent="0.25">
      <c r="A506" s="46">
        <v>137</v>
      </c>
      <c r="B506" s="143" t="s">
        <v>80</v>
      </c>
      <c r="C506" s="89" t="s">
        <v>636</v>
      </c>
      <c r="D506" s="141">
        <v>1E-3</v>
      </c>
      <c r="E506" s="141" t="s">
        <v>458</v>
      </c>
    </row>
    <row r="507" spans="1:5" x14ac:dyDescent="0.25">
      <c r="A507" s="46">
        <v>137</v>
      </c>
      <c r="B507" s="143" t="s">
        <v>80</v>
      </c>
      <c r="C507" s="89" t="s">
        <v>791</v>
      </c>
      <c r="D507" s="141">
        <v>3.0000000000000001E-3</v>
      </c>
      <c r="E507" s="141" t="s">
        <v>458</v>
      </c>
    </row>
    <row r="508" spans="1:5" x14ac:dyDescent="0.25">
      <c r="A508" s="46">
        <v>137</v>
      </c>
      <c r="B508" s="143" t="s">
        <v>80</v>
      </c>
      <c r="C508" s="89" t="s">
        <v>788</v>
      </c>
      <c r="D508" s="141">
        <v>0.01</v>
      </c>
      <c r="E508" s="141" t="s">
        <v>458</v>
      </c>
    </row>
    <row r="509" spans="1:5" x14ac:dyDescent="0.25">
      <c r="A509" s="46">
        <v>137</v>
      </c>
      <c r="B509" s="143" t="s">
        <v>80</v>
      </c>
      <c r="C509" s="89" t="s">
        <v>792</v>
      </c>
      <c r="D509" s="141">
        <v>2E-3</v>
      </c>
      <c r="E509" s="141" t="s">
        <v>458</v>
      </c>
    </row>
    <row r="510" spans="1:5" x14ac:dyDescent="0.25">
      <c r="A510" s="46">
        <v>244</v>
      </c>
      <c r="B510" s="143" t="s">
        <v>79</v>
      </c>
      <c r="C510" s="89" t="s">
        <v>601</v>
      </c>
      <c r="D510" s="141">
        <v>0.17</v>
      </c>
      <c r="E510" s="145" t="s">
        <v>450</v>
      </c>
    </row>
    <row r="511" spans="1:5" x14ac:dyDescent="0.25">
      <c r="A511" s="46">
        <v>244</v>
      </c>
      <c r="B511" s="143" t="s">
        <v>79</v>
      </c>
      <c r="C511" s="89" t="s">
        <v>535</v>
      </c>
      <c r="D511" s="141">
        <v>0.03</v>
      </c>
      <c r="E511" s="145" t="s">
        <v>448</v>
      </c>
    </row>
    <row r="512" spans="1:5" x14ac:dyDescent="0.25">
      <c r="A512" s="46">
        <v>244</v>
      </c>
      <c r="B512" s="143" t="s">
        <v>79</v>
      </c>
      <c r="C512" s="89" t="s">
        <v>791</v>
      </c>
      <c r="D512" s="141">
        <v>5.0000000000000001E-3</v>
      </c>
      <c r="E512" s="145" t="s">
        <v>450</v>
      </c>
    </row>
    <row r="513" spans="1:5" x14ac:dyDescent="0.25">
      <c r="A513" s="46">
        <v>244</v>
      </c>
      <c r="B513" s="143" t="s">
        <v>79</v>
      </c>
      <c r="C513" s="89" t="s">
        <v>529</v>
      </c>
      <c r="D513" s="141">
        <v>0.03</v>
      </c>
      <c r="E513" s="145" t="s">
        <v>450</v>
      </c>
    </row>
    <row r="514" spans="1:5" x14ac:dyDescent="0.25">
      <c r="A514" s="46">
        <v>244</v>
      </c>
      <c r="B514" s="143" t="s">
        <v>79</v>
      </c>
      <c r="C514" s="89" t="s">
        <v>533</v>
      </c>
      <c r="D514" s="141">
        <v>1E-3</v>
      </c>
      <c r="E514" s="145" t="s">
        <v>450</v>
      </c>
    </row>
    <row r="515" spans="1:5" x14ac:dyDescent="0.25">
      <c r="A515" s="46">
        <v>244</v>
      </c>
      <c r="B515" s="143" t="s">
        <v>79</v>
      </c>
      <c r="C515" s="89" t="s">
        <v>946</v>
      </c>
      <c r="D515" s="141">
        <v>5.0000000000000001E-3</v>
      </c>
      <c r="E515" s="141" t="s">
        <v>448</v>
      </c>
    </row>
    <row r="516" spans="1:5" x14ac:dyDescent="0.25">
      <c r="A516" s="46">
        <v>244</v>
      </c>
      <c r="B516" s="143" t="s">
        <v>79</v>
      </c>
      <c r="C516" s="89" t="s">
        <v>480</v>
      </c>
      <c r="D516" s="141">
        <v>1E-3</v>
      </c>
      <c r="E516" s="145" t="s">
        <v>450</v>
      </c>
    </row>
    <row r="517" spans="1:5" x14ac:dyDescent="0.25">
      <c r="A517" s="46">
        <v>244</v>
      </c>
      <c r="B517" s="143" t="s">
        <v>79</v>
      </c>
      <c r="C517" s="89" t="s">
        <v>509</v>
      </c>
      <c r="D517" s="141">
        <v>2E-3</v>
      </c>
      <c r="E517" s="145" t="s">
        <v>450</v>
      </c>
    </row>
    <row r="518" spans="1:5" x14ac:dyDescent="0.25">
      <c r="A518" s="46">
        <v>244</v>
      </c>
      <c r="B518" s="143" t="s">
        <v>79</v>
      </c>
      <c r="C518" s="89" t="s">
        <v>818</v>
      </c>
      <c r="D518" s="141">
        <v>0.01</v>
      </c>
      <c r="E518" s="145" t="s">
        <v>450</v>
      </c>
    </row>
    <row r="519" spans="1:5" x14ac:dyDescent="0.25">
      <c r="A519" s="46">
        <v>244</v>
      </c>
      <c r="B519" s="143" t="s">
        <v>79</v>
      </c>
      <c r="C519" s="147" t="s">
        <v>532</v>
      </c>
      <c r="D519" s="141">
        <v>3.0000000000000001E-3</v>
      </c>
      <c r="E519" s="145" t="s">
        <v>458</v>
      </c>
    </row>
    <row r="520" spans="1:5" x14ac:dyDescent="0.25">
      <c r="A520" s="46">
        <v>244</v>
      </c>
      <c r="B520" s="143" t="s">
        <v>79</v>
      </c>
      <c r="C520" s="89" t="s">
        <v>470</v>
      </c>
      <c r="D520" s="141">
        <v>2E-3</v>
      </c>
      <c r="E520" s="145" t="s">
        <v>450</v>
      </c>
    </row>
    <row r="521" spans="1:5" x14ac:dyDescent="0.25">
      <c r="A521" s="46">
        <v>244</v>
      </c>
      <c r="B521" s="143" t="s">
        <v>79</v>
      </c>
      <c r="C521" s="89" t="s">
        <v>530</v>
      </c>
      <c r="D521" s="141">
        <v>0.01</v>
      </c>
      <c r="E521" s="145" t="s">
        <v>458</v>
      </c>
    </row>
    <row r="522" spans="1:5" x14ac:dyDescent="0.25">
      <c r="A522" s="46">
        <v>244</v>
      </c>
      <c r="B522" s="143" t="s">
        <v>79</v>
      </c>
      <c r="C522" s="89" t="s">
        <v>531</v>
      </c>
      <c r="D522" s="141">
        <v>0.01</v>
      </c>
      <c r="E522" s="145" t="s">
        <v>458</v>
      </c>
    </row>
    <row r="523" spans="1:5" x14ac:dyDescent="0.25">
      <c r="A523" s="46">
        <v>244</v>
      </c>
      <c r="B523" s="143" t="s">
        <v>79</v>
      </c>
      <c r="C523" s="89" t="s">
        <v>516</v>
      </c>
      <c r="D523" s="141">
        <v>1E-3</v>
      </c>
      <c r="E523" s="145" t="s">
        <v>450</v>
      </c>
    </row>
    <row r="524" spans="1:5" x14ac:dyDescent="0.25">
      <c r="A524" s="46">
        <v>144</v>
      </c>
      <c r="B524" s="143" t="s">
        <v>76</v>
      </c>
      <c r="C524" s="89" t="s">
        <v>798</v>
      </c>
      <c r="D524" s="141">
        <v>0.18</v>
      </c>
      <c r="E524" s="141" t="s">
        <v>450</v>
      </c>
    </row>
    <row r="525" spans="1:5" x14ac:dyDescent="0.25">
      <c r="A525" s="46">
        <v>144</v>
      </c>
      <c r="B525" s="143" t="s">
        <v>76</v>
      </c>
      <c r="C525" s="89" t="s">
        <v>488</v>
      </c>
      <c r="D525" s="141">
        <v>2E-3</v>
      </c>
      <c r="E525" s="141" t="s">
        <v>450</v>
      </c>
    </row>
    <row r="526" spans="1:5" x14ac:dyDescent="0.25">
      <c r="A526" s="46">
        <v>144</v>
      </c>
      <c r="B526" s="143" t="s">
        <v>76</v>
      </c>
      <c r="C526" s="89" t="s">
        <v>694</v>
      </c>
      <c r="D526" s="141">
        <v>5.0000000000000001E-3</v>
      </c>
      <c r="E526" s="141" t="s">
        <v>450</v>
      </c>
    </row>
    <row r="527" spans="1:5" x14ac:dyDescent="0.25">
      <c r="A527" s="46">
        <v>144</v>
      </c>
      <c r="B527" s="143" t="s">
        <v>76</v>
      </c>
      <c r="C527" s="89" t="s">
        <v>493</v>
      </c>
      <c r="D527" s="141">
        <v>1E-4</v>
      </c>
      <c r="E527" s="141" t="s">
        <v>450</v>
      </c>
    </row>
    <row r="528" spans="1:5" x14ac:dyDescent="0.25">
      <c r="A528" s="46">
        <v>144</v>
      </c>
      <c r="B528" s="143" t="s">
        <v>76</v>
      </c>
      <c r="C528" s="89" t="s">
        <v>534</v>
      </c>
      <c r="D528" s="141">
        <v>1E-4</v>
      </c>
      <c r="E528" s="141" t="s">
        <v>458</v>
      </c>
    </row>
    <row r="529" spans="1:5" x14ac:dyDescent="0.25">
      <c r="A529" s="46">
        <v>144</v>
      </c>
      <c r="B529" s="143" t="s">
        <v>76</v>
      </c>
      <c r="C529" s="89" t="s">
        <v>552</v>
      </c>
      <c r="D529" s="141">
        <v>1E-3</v>
      </c>
      <c r="E529" s="141" t="s">
        <v>458</v>
      </c>
    </row>
    <row r="530" spans="1:5" x14ac:dyDescent="0.25">
      <c r="A530" s="46">
        <v>144</v>
      </c>
      <c r="B530" s="143" t="s">
        <v>76</v>
      </c>
      <c r="C530" s="143" t="s">
        <v>449</v>
      </c>
      <c r="D530" s="141">
        <v>1E-3</v>
      </c>
      <c r="E530" s="141" t="s">
        <v>458</v>
      </c>
    </row>
    <row r="531" spans="1:5" x14ac:dyDescent="0.25">
      <c r="A531" s="46">
        <v>144</v>
      </c>
      <c r="B531" s="143" t="s">
        <v>76</v>
      </c>
      <c r="C531" s="89" t="s">
        <v>547</v>
      </c>
      <c r="D531" s="141">
        <v>1E-3</v>
      </c>
      <c r="E531" s="141" t="s">
        <v>458</v>
      </c>
    </row>
    <row r="532" spans="1:5" x14ac:dyDescent="0.25">
      <c r="A532" s="46">
        <v>144</v>
      </c>
      <c r="B532" s="143" t="s">
        <v>76</v>
      </c>
      <c r="C532" s="89" t="s">
        <v>468</v>
      </c>
      <c r="D532" s="141">
        <v>1E-4</v>
      </c>
      <c r="E532" s="141" t="s">
        <v>458</v>
      </c>
    </row>
    <row r="533" spans="1:5" x14ac:dyDescent="0.25">
      <c r="A533" s="46">
        <v>144</v>
      </c>
      <c r="B533" s="143" t="s">
        <v>76</v>
      </c>
      <c r="C533" s="143" t="s">
        <v>578</v>
      </c>
      <c r="D533" s="141">
        <v>1E-4</v>
      </c>
      <c r="E533" s="141" t="s">
        <v>653</v>
      </c>
    </row>
    <row r="534" spans="1:5" x14ac:dyDescent="0.25">
      <c r="A534" s="46">
        <v>144</v>
      </c>
      <c r="B534" s="143" t="s">
        <v>76</v>
      </c>
      <c r="C534" s="89" t="s">
        <v>464</v>
      </c>
      <c r="D534" s="141">
        <v>1E-4</v>
      </c>
      <c r="E534" s="141" t="s">
        <v>458</v>
      </c>
    </row>
    <row r="535" spans="1:5" x14ac:dyDescent="0.25">
      <c r="A535" s="46">
        <v>144</v>
      </c>
      <c r="B535" s="143" t="s">
        <v>76</v>
      </c>
      <c r="C535" s="89" t="s">
        <v>480</v>
      </c>
      <c r="D535" s="141">
        <v>1.4999999999999999E-2</v>
      </c>
      <c r="E535" s="141" t="s">
        <v>450</v>
      </c>
    </row>
    <row r="536" spans="1:5" x14ac:dyDescent="0.25">
      <c r="A536" s="46">
        <v>144</v>
      </c>
      <c r="B536" s="143" t="s">
        <v>76</v>
      </c>
      <c r="C536" s="89" t="s">
        <v>487</v>
      </c>
      <c r="D536" s="141">
        <v>1E-3</v>
      </c>
      <c r="E536" s="141" t="s">
        <v>450</v>
      </c>
    </row>
    <row r="537" spans="1:5" x14ac:dyDescent="0.25">
      <c r="A537" s="46">
        <v>144</v>
      </c>
      <c r="B537" s="143" t="s">
        <v>76</v>
      </c>
      <c r="C537" s="89" t="s">
        <v>467</v>
      </c>
      <c r="D537" s="141">
        <v>2E-3</v>
      </c>
      <c r="E537" s="141" t="s">
        <v>448</v>
      </c>
    </row>
    <row r="538" spans="1:5" x14ac:dyDescent="0.25">
      <c r="A538" s="46">
        <v>32</v>
      </c>
      <c r="B538" s="143" t="s">
        <v>74</v>
      </c>
      <c r="C538" s="146" t="s">
        <v>615</v>
      </c>
      <c r="D538" s="148">
        <v>0.2</v>
      </c>
      <c r="E538" s="145" t="s">
        <v>450</v>
      </c>
    </row>
    <row r="539" spans="1:5" x14ac:dyDescent="0.25">
      <c r="A539" s="46">
        <v>32</v>
      </c>
      <c r="B539" s="143" t="s">
        <v>74</v>
      </c>
      <c r="C539" s="146" t="s">
        <v>544</v>
      </c>
      <c r="D539" s="148">
        <v>0.01</v>
      </c>
      <c r="E539" s="145" t="s">
        <v>450</v>
      </c>
    </row>
    <row r="540" spans="1:5" x14ac:dyDescent="0.25">
      <c r="A540" s="46">
        <v>32</v>
      </c>
      <c r="B540" s="143" t="s">
        <v>74</v>
      </c>
      <c r="C540" s="146" t="s">
        <v>616</v>
      </c>
      <c r="D540" s="148">
        <v>2.5000000000000001E-2</v>
      </c>
      <c r="E540" s="145" t="s">
        <v>450</v>
      </c>
    </row>
    <row r="541" spans="1:5" x14ac:dyDescent="0.25">
      <c r="A541" s="46">
        <v>32</v>
      </c>
      <c r="B541" s="143" t="s">
        <v>74</v>
      </c>
      <c r="C541" s="146" t="s">
        <v>617</v>
      </c>
      <c r="D541" s="148">
        <v>8.0000000000000002E-3</v>
      </c>
      <c r="E541" s="145" t="s">
        <v>450</v>
      </c>
    </row>
    <row r="542" spans="1:5" x14ac:dyDescent="0.25">
      <c r="A542" s="46">
        <v>32</v>
      </c>
      <c r="B542" s="143" t="s">
        <v>74</v>
      </c>
      <c r="C542" s="146" t="s">
        <v>498</v>
      </c>
      <c r="D542" s="157">
        <v>0.01</v>
      </c>
      <c r="E542" s="169" t="s">
        <v>450</v>
      </c>
    </row>
    <row r="543" spans="1:5" x14ac:dyDescent="0.25">
      <c r="A543" s="46">
        <v>32</v>
      </c>
      <c r="B543" s="143" t="s">
        <v>74</v>
      </c>
      <c r="C543" s="146" t="s">
        <v>466</v>
      </c>
      <c r="D543" s="157">
        <v>1E-3</v>
      </c>
      <c r="E543" s="169" t="s">
        <v>450</v>
      </c>
    </row>
    <row r="544" spans="1:5" x14ac:dyDescent="0.25">
      <c r="A544" s="46">
        <v>32</v>
      </c>
      <c r="B544" s="143" t="s">
        <v>74</v>
      </c>
      <c r="C544" s="146" t="s">
        <v>488</v>
      </c>
      <c r="D544" s="157">
        <v>1E-3</v>
      </c>
      <c r="E544" s="169" t="s">
        <v>450</v>
      </c>
    </row>
    <row r="545" spans="1:5" x14ac:dyDescent="0.25">
      <c r="A545" s="46">
        <v>32</v>
      </c>
      <c r="B545" s="143" t="s">
        <v>74</v>
      </c>
      <c r="C545" s="143" t="s">
        <v>487</v>
      </c>
      <c r="D545" s="157">
        <v>1E-3</v>
      </c>
      <c r="E545" s="169" t="s">
        <v>450</v>
      </c>
    </row>
    <row r="546" spans="1:5" x14ac:dyDescent="0.25">
      <c r="A546" s="46">
        <v>32</v>
      </c>
      <c r="B546" s="143" t="s">
        <v>74</v>
      </c>
      <c r="C546" s="143" t="s">
        <v>527</v>
      </c>
      <c r="D546" s="148">
        <v>0.01</v>
      </c>
      <c r="E546" s="169" t="s">
        <v>450</v>
      </c>
    </row>
    <row r="547" spans="1:5" x14ac:dyDescent="0.25">
      <c r="A547" s="46">
        <v>32</v>
      </c>
      <c r="B547" s="143" t="s">
        <v>74</v>
      </c>
      <c r="C547" s="146" t="s">
        <v>621</v>
      </c>
      <c r="D547" s="157">
        <v>1E-3</v>
      </c>
      <c r="E547" s="169" t="s">
        <v>450</v>
      </c>
    </row>
    <row r="548" spans="1:5" x14ac:dyDescent="0.25">
      <c r="A548" s="46">
        <v>32</v>
      </c>
      <c r="B548" s="143" t="s">
        <v>74</v>
      </c>
      <c r="C548" s="146" t="s">
        <v>622</v>
      </c>
      <c r="D548" s="157">
        <v>7.0000000000000007E-2</v>
      </c>
      <c r="E548" s="169" t="s">
        <v>458</v>
      </c>
    </row>
    <row r="549" spans="1:5" x14ac:dyDescent="0.25">
      <c r="A549" s="46">
        <v>32</v>
      </c>
      <c r="B549" s="143" t="s">
        <v>74</v>
      </c>
      <c r="C549" s="146" t="s">
        <v>621</v>
      </c>
      <c r="D549" s="159">
        <v>1</v>
      </c>
      <c r="E549" s="145" t="s">
        <v>623</v>
      </c>
    </row>
    <row r="550" spans="1:5" x14ac:dyDescent="0.25">
      <c r="A550" s="46">
        <v>32</v>
      </c>
      <c r="B550" s="143" t="s">
        <v>74</v>
      </c>
      <c r="C550" s="146" t="s">
        <v>624</v>
      </c>
      <c r="D550" s="159">
        <v>1</v>
      </c>
      <c r="E550" s="145" t="s">
        <v>623</v>
      </c>
    </row>
    <row r="551" spans="1:5" x14ac:dyDescent="0.25">
      <c r="A551" s="46">
        <v>23</v>
      </c>
      <c r="B551" s="143" t="s">
        <v>18</v>
      </c>
      <c r="C551" s="143" t="s">
        <v>672</v>
      </c>
      <c r="D551" s="144">
        <v>0.03</v>
      </c>
      <c r="E551" s="142" t="s">
        <v>450</v>
      </c>
    </row>
    <row r="552" spans="1:5" x14ac:dyDescent="0.25">
      <c r="A552" s="46">
        <v>23</v>
      </c>
      <c r="B552" s="143" t="s">
        <v>18</v>
      </c>
      <c r="C552" s="143" t="s">
        <v>460</v>
      </c>
      <c r="D552" s="144">
        <v>0.05</v>
      </c>
      <c r="E552" s="142" t="s">
        <v>450</v>
      </c>
    </row>
    <row r="553" spans="1:5" x14ac:dyDescent="0.25">
      <c r="A553" s="46">
        <v>23</v>
      </c>
      <c r="B553" s="143" t="s">
        <v>18</v>
      </c>
      <c r="C553" s="143" t="s">
        <v>673</v>
      </c>
      <c r="D553" s="144">
        <v>4.0000000000000001E-3</v>
      </c>
      <c r="E553" s="142" t="s">
        <v>458</v>
      </c>
    </row>
    <row r="554" spans="1:5" x14ac:dyDescent="0.25">
      <c r="A554" s="46">
        <v>23</v>
      </c>
      <c r="B554" s="143" t="s">
        <v>18</v>
      </c>
      <c r="C554" s="143" t="s">
        <v>557</v>
      </c>
      <c r="D554" s="144">
        <v>1.4999999999999999E-2</v>
      </c>
      <c r="E554" s="142" t="s">
        <v>458</v>
      </c>
    </row>
    <row r="555" spans="1:5" x14ac:dyDescent="0.25">
      <c r="A555" s="46">
        <v>23</v>
      </c>
      <c r="B555" s="143" t="s">
        <v>18</v>
      </c>
      <c r="C555" s="143" t="s">
        <v>488</v>
      </c>
      <c r="D555" s="144">
        <v>2E-3</v>
      </c>
      <c r="E555" s="142" t="s">
        <v>450</v>
      </c>
    </row>
    <row r="556" spans="1:5" x14ac:dyDescent="0.25">
      <c r="A556" s="46">
        <v>23</v>
      </c>
      <c r="B556" s="143" t="s">
        <v>18</v>
      </c>
      <c r="C556" s="143" t="s">
        <v>487</v>
      </c>
      <c r="D556" s="170">
        <v>5.0000000000000001E-4</v>
      </c>
      <c r="E556" s="142" t="s">
        <v>450</v>
      </c>
    </row>
    <row r="557" spans="1:5" x14ac:dyDescent="0.25">
      <c r="A557" s="46">
        <v>23</v>
      </c>
      <c r="B557" s="143" t="s">
        <v>18</v>
      </c>
      <c r="C557" s="143" t="s">
        <v>467</v>
      </c>
      <c r="D557" s="144">
        <v>3.0000000000000001E-3</v>
      </c>
      <c r="E557" s="142" t="s">
        <v>448</v>
      </c>
    </row>
    <row r="558" spans="1:5" x14ac:dyDescent="0.25">
      <c r="A558" s="46">
        <v>23</v>
      </c>
      <c r="B558" s="143" t="s">
        <v>18</v>
      </c>
      <c r="C558" s="143" t="s">
        <v>569</v>
      </c>
      <c r="D558" s="144">
        <v>5.0000000000000001E-3</v>
      </c>
      <c r="E558" s="142" t="s">
        <v>458</v>
      </c>
    </row>
    <row r="559" spans="1:5" x14ac:dyDescent="0.25">
      <c r="A559" s="46">
        <v>23</v>
      </c>
      <c r="B559" s="143" t="s">
        <v>18</v>
      </c>
      <c r="C559" s="143" t="s">
        <v>674</v>
      </c>
      <c r="D559" s="144">
        <v>3.0000000000000001E-3</v>
      </c>
      <c r="E559" s="142" t="s">
        <v>450</v>
      </c>
    </row>
    <row r="560" spans="1:5" x14ac:dyDescent="0.25">
      <c r="A560" s="46">
        <v>228</v>
      </c>
      <c r="B560" s="143" t="s">
        <v>39</v>
      </c>
      <c r="C560" s="89" t="s">
        <v>924</v>
      </c>
      <c r="D560" s="141">
        <v>5.0000000000000001E-3</v>
      </c>
      <c r="E560" s="145" t="s">
        <v>450</v>
      </c>
    </row>
    <row r="561" spans="1:5" x14ac:dyDescent="0.25">
      <c r="A561" s="46">
        <v>228</v>
      </c>
      <c r="B561" s="143" t="s">
        <v>39</v>
      </c>
      <c r="C561" s="89" t="s">
        <v>873</v>
      </c>
      <c r="D561" s="141">
        <v>0.09</v>
      </c>
      <c r="E561" s="145" t="s">
        <v>450</v>
      </c>
    </row>
    <row r="562" spans="1:5" x14ac:dyDescent="0.25">
      <c r="A562" s="46">
        <v>228</v>
      </c>
      <c r="B562" s="143" t="s">
        <v>39</v>
      </c>
      <c r="C562" s="89" t="s">
        <v>478</v>
      </c>
      <c r="D562" s="141">
        <v>3.0000000000000001E-3</v>
      </c>
      <c r="E562" s="141" t="s">
        <v>448</v>
      </c>
    </row>
    <row r="563" spans="1:5" x14ac:dyDescent="0.25">
      <c r="A563" s="46">
        <v>228</v>
      </c>
      <c r="B563" s="143" t="s">
        <v>39</v>
      </c>
      <c r="C563" s="89" t="s">
        <v>461</v>
      </c>
      <c r="D563" s="141">
        <v>1.4999999999999999E-2</v>
      </c>
      <c r="E563" s="145" t="s">
        <v>450</v>
      </c>
    </row>
    <row r="564" spans="1:5" x14ac:dyDescent="0.25">
      <c r="A564" s="46">
        <v>228</v>
      </c>
      <c r="B564" s="143" t="s">
        <v>39</v>
      </c>
      <c r="C564" s="89" t="s">
        <v>552</v>
      </c>
      <c r="D564" s="141">
        <v>1E-3</v>
      </c>
      <c r="E564" s="145" t="s">
        <v>450</v>
      </c>
    </row>
    <row r="565" spans="1:5" x14ac:dyDescent="0.25">
      <c r="A565" s="46">
        <v>228</v>
      </c>
      <c r="B565" s="143" t="s">
        <v>39</v>
      </c>
      <c r="C565" s="143" t="s">
        <v>449</v>
      </c>
      <c r="D565" s="141">
        <v>1E-3</v>
      </c>
      <c r="E565" s="145" t="s">
        <v>450</v>
      </c>
    </row>
    <row r="566" spans="1:5" x14ac:dyDescent="0.25">
      <c r="A566" s="46">
        <v>228</v>
      </c>
      <c r="B566" s="143" t="s">
        <v>39</v>
      </c>
      <c r="C566" s="89" t="s">
        <v>687</v>
      </c>
      <c r="D566" s="141">
        <v>1E-3</v>
      </c>
      <c r="E566" s="145" t="s">
        <v>450</v>
      </c>
    </row>
    <row r="567" spans="1:5" x14ac:dyDescent="0.25">
      <c r="A567" s="46">
        <v>228</v>
      </c>
      <c r="B567" s="143" t="s">
        <v>39</v>
      </c>
      <c r="C567" s="89" t="s">
        <v>470</v>
      </c>
      <c r="D567" s="141">
        <v>1E-3</v>
      </c>
      <c r="E567" s="145" t="s">
        <v>450</v>
      </c>
    </row>
    <row r="568" spans="1:5" x14ac:dyDescent="0.25">
      <c r="A568" s="46">
        <v>228</v>
      </c>
      <c r="B568" s="143" t="s">
        <v>39</v>
      </c>
      <c r="C568" s="89" t="s">
        <v>516</v>
      </c>
      <c r="D568" s="141">
        <v>1E-3</v>
      </c>
      <c r="E568" s="145" t="s">
        <v>450</v>
      </c>
    </row>
    <row r="569" spans="1:5" x14ac:dyDescent="0.25">
      <c r="A569" s="46">
        <v>54</v>
      </c>
      <c r="B569" s="143" t="s">
        <v>184</v>
      </c>
      <c r="C569" s="89" t="s">
        <v>660</v>
      </c>
      <c r="D569" s="144">
        <v>0.1</v>
      </c>
      <c r="E569" s="142" t="s">
        <v>450</v>
      </c>
    </row>
    <row r="570" spans="1:5" x14ac:dyDescent="0.25">
      <c r="A570" s="46">
        <v>54</v>
      </c>
      <c r="B570" s="143" t="s">
        <v>184</v>
      </c>
      <c r="C570" s="89" t="s">
        <v>621</v>
      </c>
      <c r="D570" s="144">
        <v>1E-3</v>
      </c>
      <c r="E570" s="142" t="s">
        <v>450</v>
      </c>
    </row>
    <row r="571" spans="1:5" x14ac:dyDescent="0.25">
      <c r="A571" s="46">
        <v>54</v>
      </c>
      <c r="B571" s="143" t="s">
        <v>184</v>
      </c>
      <c r="C571" s="143" t="s">
        <v>566</v>
      </c>
      <c r="D571" s="144">
        <v>0.08</v>
      </c>
      <c r="E571" s="142" t="s">
        <v>448</v>
      </c>
    </row>
    <row r="572" spans="1:5" x14ac:dyDescent="0.25">
      <c r="A572" s="46">
        <v>54</v>
      </c>
      <c r="B572" s="143" t="s">
        <v>184</v>
      </c>
      <c r="C572" s="89" t="s">
        <v>661</v>
      </c>
      <c r="D572" s="144">
        <v>0.33</v>
      </c>
      <c r="E572" s="142" t="s">
        <v>450</v>
      </c>
    </row>
    <row r="573" spans="1:5" x14ac:dyDescent="0.25">
      <c r="A573" s="46">
        <v>158</v>
      </c>
      <c r="B573" s="143" t="s">
        <v>52</v>
      </c>
      <c r="C573" s="143" t="s">
        <v>498</v>
      </c>
      <c r="D573" s="144">
        <v>0.24</v>
      </c>
      <c r="E573" s="142" t="s">
        <v>450</v>
      </c>
    </row>
    <row r="574" spans="1:5" x14ac:dyDescent="0.25">
      <c r="A574" s="46">
        <v>158</v>
      </c>
      <c r="B574" s="143" t="s">
        <v>52</v>
      </c>
      <c r="C574" s="143" t="s">
        <v>639</v>
      </c>
      <c r="D574" s="144">
        <v>0.05</v>
      </c>
      <c r="E574" s="142" t="s">
        <v>450</v>
      </c>
    </row>
    <row r="575" spans="1:5" x14ac:dyDescent="0.25">
      <c r="A575" s="46">
        <v>158</v>
      </c>
      <c r="B575" s="143" t="s">
        <v>52</v>
      </c>
      <c r="C575" s="143" t="s">
        <v>520</v>
      </c>
      <c r="D575" s="144">
        <v>0.08</v>
      </c>
      <c r="E575" s="142" t="s">
        <v>448</v>
      </c>
    </row>
    <row r="576" spans="1:5" x14ac:dyDescent="0.25">
      <c r="A576" s="46">
        <v>158</v>
      </c>
      <c r="B576" s="143" t="s">
        <v>52</v>
      </c>
      <c r="C576" s="143" t="s">
        <v>488</v>
      </c>
      <c r="D576" s="144">
        <v>2E-3</v>
      </c>
      <c r="E576" s="142" t="s">
        <v>450</v>
      </c>
    </row>
    <row r="577" spans="1:5" x14ac:dyDescent="0.25">
      <c r="A577" s="46">
        <v>158</v>
      </c>
      <c r="B577" s="143" t="s">
        <v>52</v>
      </c>
      <c r="C577" s="143" t="s">
        <v>467</v>
      </c>
      <c r="D577" s="144">
        <v>2E-3</v>
      </c>
      <c r="E577" s="142" t="s">
        <v>448</v>
      </c>
    </row>
    <row r="578" spans="1:5" x14ac:dyDescent="0.25">
      <c r="A578" s="46">
        <v>158</v>
      </c>
      <c r="B578" s="143" t="s">
        <v>52</v>
      </c>
      <c r="C578" s="143" t="s">
        <v>487</v>
      </c>
      <c r="D578" s="144">
        <v>1E-3</v>
      </c>
      <c r="E578" s="142" t="s">
        <v>450</v>
      </c>
    </row>
    <row r="579" spans="1:5" x14ac:dyDescent="0.25">
      <c r="A579" s="46"/>
      <c r="B579" s="98" t="s">
        <v>391</v>
      </c>
      <c r="C579" s="89" t="s">
        <v>525</v>
      </c>
      <c r="D579" s="141">
        <v>1</v>
      </c>
      <c r="E579" s="150" t="s">
        <v>450</v>
      </c>
    </row>
    <row r="580" spans="1:5" x14ac:dyDescent="0.25">
      <c r="A580" s="46">
        <v>278</v>
      </c>
      <c r="B580" s="143" t="s">
        <v>309</v>
      </c>
      <c r="C580" s="89" t="s">
        <v>954</v>
      </c>
      <c r="D580" s="141">
        <v>0.3</v>
      </c>
      <c r="E580" s="89" t="s">
        <v>448</v>
      </c>
    </row>
    <row r="581" spans="1:5" x14ac:dyDescent="0.25">
      <c r="A581" s="46">
        <v>278</v>
      </c>
      <c r="B581" s="143" t="s">
        <v>309</v>
      </c>
      <c r="C581" s="146" t="s">
        <v>612</v>
      </c>
      <c r="D581" s="141">
        <v>0.01</v>
      </c>
      <c r="E581" s="89" t="s">
        <v>448</v>
      </c>
    </row>
    <row r="582" spans="1:5" x14ac:dyDescent="0.25">
      <c r="A582" s="46">
        <v>278</v>
      </c>
      <c r="B582" s="143" t="s">
        <v>309</v>
      </c>
      <c r="C582" s="89" t="s">
        <v>509</v>
      </c>
      <c r="D582" s="141">
        <v>0.03</v>
      </c>
      <c r="E582" s="89" t="s">
        <v>450</v>
      </c>
    </row>
    <row r="583" spans="1:5" x14ac:dyDescent="0.25">
      <c r="A583" s="46">
        <v>278</v>
      </c>
      <c r="B583" s="143" t="s">
        <v>309</v>
      </c>
      <c r="C583" s="89" t="s">
        <v>480</v>
      </c>
      <c r="D583" s="141">
        <v>1E-3</v>
      </c>
      <c r="E583" s="89" t="s">
        <v>458</v>
      </c>
    </row>
    <row r="584" spans="1:5" x14ac:dyDescent="0.25">
      <c r="A584" s="46">
        <v>278</v>
      </c>
      <c r="B584" s="143" t="s">
        <v>309</v>
      </c>
      <c r="C584" s="89" t="s">
        <v>971</v>
      </c>
      <c r="D584" s="141">
        <v>0.01</v>
      </c>
      <c r="E584" s="89" t="s">
        <v>458</v>
      </c>
    </row>
    <row r="585" spans="1:5" x14ac:dyDescent="0.25">
      <c r="A585" s="46">
        <v>278</v>
      </c>
      <c r="B585" s="143" t="s">
        <v>309</v>
      </c>
      <c r="C585" s="90" t="s">
        <v>702</v>
      </c>
      <c r="D585" s="141">
        <v>0.03</v>
      </c>
      <c r="E585" s="89" t="s">
        <v>458</v>
      </c>
    </row>
    <row r="586" spans="1:5" x14ac:dyDescent="0.25">
      <c r="A586" s="46">
        <v>278</v>
      </c>
      <c r="B586" s="143" t="s">
        <v>309</v>
      </c>
      <c r="C586" s="89" t="s">
        <v>470</v>
      </c>
      <c r="D586" s="141">
        <v>1E-3</v>
      </c>
      <c r="E586" s="89" t="s">
        <v>458</v>
      </c>
    </row>
    <row r="587" spans="1:5" x14ac:dyDescent="0.25">
      <c r="A587" s="46"/>
      <c r="B587" s="98" t="s">
        <v>383</v>
      </c>
      <c r="C587" s="89" t="s">
        <v>527</v>
      </c>
      <c r="D587" s="141">
        <v>1</v>
      </c>
      <c r="E587" s="150" t="s">
        <v>450</v>
      </c>
    </row>
    <row r="588" spans="1:5" x14ac:dyDescent="0.25">
      <c r="A588" s="46">
        <v>279</v>
      </c>
      <c r="B588" s="143" t="s">
        <v>310</v>
      </c>
      <c r="C588" s="89" t="s">
        <v>451</v>
      </c>
      <c r="D588" s="141">
        <v>0.12</v>
      </c>
      <c r="E588" s="89" t="s">
        <v>450</v>
      </c>
    </row>
    <row r="589" spans="1:5" x14ac:dyDescent="0.25">
      <c r="A589" s="46">
        <v>279</v>
      </c>
      <c r="B589" s="143" t="s">
        <v>310</v>
      </c>
      <c r="C589" s="89" t="s">
        <v>488</v>
      </c>
      <c r="D589" s="141">
        <v>1E-3</v>
      </c>
      <c r="E589" s="89" t="s">
        <v>450</v>
      </c>
    </row>
    <row r="590" spans="1:5" x14ac:dyDescent="0.25">
      <c r="A590" s="46">
        <v>279</v>
      </c>
      <c r="B590" s="143" t="s">
        <v>310</v>
      </c>
      <c r="C590" s="89" t="s">
        <v>629</v>
      </c>
      <c r="D590" s="141">
        <v>1E-4</v>
      </c>
      <c r="E590" s="89" t="s">
        <v>450</v>
      </c>
    </row>
    <row r="591" spans="1:5" x14ac:dyDescent="0.25">
      <c r="A591" s="46">
        <v>279</v>
      </c>
      <c r="B591" s="143" t="s">
        <v>310</v>
      </c>
      <c r="C591" s="89" t="s">
        <v>498</v>
      </c>
      <c r="D591" s="141">
        <v>2E-3</v>
      </c>
      <c r="E591" s="89" t="s">
        <v>450</v>
      </c>
    </row>
    <row r="592" spans="1:5" x14ac:dyDescent="0.25">
      <c r="A592" s="46">
        <v>279</v>
      </c>
      <c r="B592" s="143" t="s">
        <v>310</v>
      </c>
      <c r="C592" s="89" t="s">
        <v>466</v>
      </c>
      <c r="D592" s="141">
        <v>1E-3</v>
      </c>
      <c r="E592" s="89" t="s">
        <v>450</v>
      </c>
    </row>
    <row r="593" spans="1:5" x14ac:dyDescent="0.25">
      <c r="A593" s="46">
        <v>279</v>
      </c>
      <c r="B593" s="143" t="s">
        <v>310</v>
      </c>
      <c r="C593" s="89" t="s">
        <v>533</v>
      </c>
      <c r="D593" s="141">
        <v>2E-3</v>
      </c>
      <c r="E593" s="89" t="s">
        <v>450</v>
      </c>
    </row>
    <row r="594" spans="1:5" x14ac:dyDescent="0.25">
      <c r="A594" s="46">
        <v>279</v>
      </c>
      <c r="B594" s="143" t="s">
        <v>310</v>
      </c>
      <c r="C594" s="89" t="s">
        <v>493</v>
      </c>
      <c r="D594" s="141">
        <v>1.0000000000000001E-5</v>
      </c>
      <c r="E594" s="89" t="s">
        <v>450</v>
      </c>
    </row>
    <row r="595" spans="1:5" x14ac:dyDescent="0.25">
      <c r="A595" s="46">
        <v>279</v>
      </c>
      <c r="B595" s="143" t="s">
        <v>310</v>
      </c>
      <c r="C595" s="143" t="s">
        <v>566</v>
      </c>
      <c r="D595" s="141">
        <v>7.0000000000000007E-2</v>
      </c>
      <c r="E595" s="89" t="s">
        <v>450</v>
      </c>
    </row>
    <row r="596" spans="1:5" x14ac:dyDescent="0.25">
      <c r="A596" s="46">
        <v>279</v>
      </c>
      <c r="B596" s="143" t="s">
        <v>310</v>
      </c>
      <c r="C596" s="90" t="s">
        <v>702</v>
      </c>
      <c r="D596" s="141">
        <v>0.02</v>
      </c>
      <c r="E596" s="89" t="s">
        <v>450</v>
      </c>
    </row>
    <row r="597" spans="1:5" x14ac:dyDescent="0.25">
      <c r="A597" s="46">
        <v>252</v>
      </c>
      <c r="B597" s="143" t="s">
        <v>285</v>
      </c>
      <c r="C597" s="146" t="s">
        <v>451</v>
      </c>
      <c r="D597" s="148">
        <v>0.09</v>
      </c>
      <c r="E597" s="145" t="s">
        <v>450</v>
      </c>
    </row>
    <row r="598" spans="1:5" x14ac:dyDescent="0.25">
      <c r="A598" s="46">
        <v>252</v>
      </c>
      <c r="B598" s="143" t="s">
        <v>285</v>
      </c>
      <c r="C598" s="146" t="s">
        <v>481</v>
      </c>
      <c r="D598" s="148">
        <v>1E-3</v>
      </c>
      <c r="E598" s="145" t="s">
        <v>450</v>
      </c>
    </row>
    <row r="599" spans="1:5" x14ac:dyDescent="0.25">
      <c r="A599" s="46">
        <v>252</v>
      </c>
      <c r="B599" s="143" t="s">
        <v>285</v>
      </c>
      <c r="C599" s="146" t="s">
        <v>482</v>
      </c>
      <c r="D599" s="148">
        <v>1E-3</v>
      </c>
      <c r="E599" s="145" t="s">
        <v>450</v>
      </c>
    </row>
    <row r="600" spans="1:5" x14ac:dyDescent="0.25">
      <c r="A600" s="46">
        <v>252</v>
      </c>
      <c r="B600" s="143" t="s">
        <v>285</v>
      </c>
      <c r="C600" s="146" t="s">
        <v>476</v>
      </c>
      <c r="D600" s="148">
        <v>1E-3</v>
      </c>
      <c r="E600" s="145" t="s">
        <v>450</v>
      </c>
    </row>
    <row r="601" spans="1:5" x14ac:dyDescent="0.25">
      <c r="A601" s="46">
        <v>252</v>
      </c>
      <c r="B601" s="143" t="s">
        <v>285</v>
      </c>
      <c r="C601" s="146" t="s">
        <v>483</v>
      </c>
      <c r="D601" s="148">
        <v>3.0000000000000001E-3</v>
      </c>
      <c r="E601" s="145" t="s">
        <v>448</v>
      </c>
    </row>
    <row r="602" spans="1:5" x14ac:dyDescent="0.25">
      <c r="A602" s="46">
        <v>252</v>
      </c>
      <c r="B602" s="143" t="s">
        <v>285</v>
      </c>
      <c r="C602" s="146" t="s">
        <v>484</v>
      </c>
      <c r="D602" s="148">
        <v>0.15</v>
      </c>
      <c r="E602" s="145" t="s">
        <v>450</v>
      </c>
    </row>
    <row r="603" spans="1:5" x14ac:dyDescent="0.25">
      <c r="A603" s="46">
        <v>252</v>
      </c>
      <c r="B603" s="143" t="s">
        <v>285</v>
      </c>
      <c r="C603" s="146" t="s">
        <v>485</v>
      </c>
      <c r="D603" s="148">
        <v>5.0000000000000001E-3</v>
      </c>
      <c r="E603" s="145" t="s">
        <v>450</v>
      </c>
    </row>
    <row r="604" spans="1:5" x14ac:dyDescent="0.25">
      <c r="A604" s="46">
        <v>252</v>
      </c>
      <c r="B604" s="143" t="s">
        <v>285</v>
      </c>
      <c r="C604" s="143" t="s">
        <v>449</v>
      </c>
      <c r="D604" s="148">
        <v>1E-3</v>
      </c>
      <c r="E604" s="145" t="s">
        <v>450</v>
      </c>
    </row>
    <row r="605" spans="1:5" x14ac:dyDescent="0.25">
      <c r="A605" s="46"/>
      <c r="B605" s="98" t="s">
        <v>382</v>
      </c>
      <c r="C605" s="89" t="s">
        <v>527</v>
      </c>
      <c r="D605" s="141">
        <v>1</v>
      </c>
      <c r="E605" s="150" t="s">
        <v>450</v>
      </c>
    </row>
    <row r="606" spans="1:5" x14ac:dyDescent="0.25">
      <c r="A606" s="46">
        <v>128</v>
      </c>
      <c r="B606" s="143" t="s">
        <v>28</v>
      </c>
      <c r="C606" s="143" t="s">
        <v>527</v>
      </c>
      <c r="D606" s="141">
        <v>0.09</v>
      </c>
      <c r="E606" s="145" t="s">
        <v>450</v>
      </c>
    </row>
    <row r="607" spans="1:5" x14ac:dyDescent="0.25">
      <c r="A607" s="46">
        <v>128</v>
      </c>
      <c r="B607" s="143" t="s">
        <v>28</v>
      </c>
      <c r="C607" s="143" t="s">
        <v>588</v>
      </c>
      <c r="D607" s="148">
        <v>1E-3</v>
      </c>
      <c r="E607" s="145" t="s">
        <v>450</v>
      </c>
    </row>
    <row r="608" spans="1:5" x14ac:dyDescent="0.25">
      <c r="A608" s="46">
        <v>128</v>
      </c>
      <c r="B608" s="143" t="s">
        <v>28</v>
      </c>
      <c r="C608" s="143" t="s">
        <v>892</v>
      </c>
      <c r="D608" s="148">
        <v>1E-3</v>
      </c>
      <c r="E608" s="145" t="s">
        <v>450</v>
      </c>
    </row>
    <row r="609" spans="1:5" x14ac:dyDescent="0.25">
      <c r="A609" s="46">
        <v>128</v>
      </c>
      <c r="B609" s="143" t="s">
        <v>28</v>
      </c>
      <c r="C609" s="143" t="s">
        <v>485</v>
      </c>
      <c r="D609" s="148">
        <v>0.05</v>
      </c>
      <c r="E609" s="145" t="s">
        <v>450</v>
      </c>
    </row>
    <row r="610" spans="1:5" x14ac:dyDescent="0.25">
      <c r="A610" s="46">
        <v>128</v>
      </c>
      <c r="B610" s="143" t="s">
        <v>28</v>
      </c>
      <c r="C610" s="143" t="s">
        <v>484</v>
      </c>
      <c r="D610" s="148">
        <v>0.02</v>
      </c>
      <c r="E610" s="145" t="s">
        <v>450</v>
      </c>
    </row>
    <row r="611" spans="1:5" x14ac:dyDescent="0.25">
      <c r="A611" s="46">
        <v>128</v>
      </c>
      <c r="B611" s="143" t="s">
        <v>28</v>
      </c>
      <c r="C611" s="143" t="s">
        <v>533</v>
      </c>
      <c r="D611" s="141">
        <v>1E-3</v>
      </c>
      <c r="E611" s="145" t="s">
        <v>450</v>
      </c>
    </row>
    <row r="612" spans="1:5" x14ac:dyDescent="0.25">
      <c r="A612" s="46">
        <v>128</v>
      </c>
      <c r="B612" s="143" t="s">
        <v>28</v>
      </c>
      <c r="C612" s="143" t="s">
        <v>892</v>
      </c>
      <c r="D612" s="141">
        <v>0.01</v>
      </c>
      <c r="E612" s="145" t="s">
        <v>450</v>
      </c>
    </row>
    <row r="613" spans="1:5" x14ac:dyDescent="0.25">
      <c r="A613" s="46">
        <v>128</v>
      </c>
      <c r="B613" s="143" t="s">
        <v>28</v>
      </c>
      <c r="C613" s="143" t="s">
        <v>461</v>
      </c>
      <c r="D613" s="141">
        <v>2E-3</v>
      </c>
      <c r="E613" s="145" t="s">
        <v>450</v>
      </c>
    </row>
    <row r="614" spans="1:5" x14ac:dyDescent="0.25">
      <c r="A614" s="46">
        <v>128</v>
      </c>
      <c r="B614" s="143" t="s">
        <v>28</v>
      </c>
      <c r="C614" s="143" t="s">
        <v>893</v>
      </c>
      <c r="D614" s="141">
        <v>2E-3</v>
      </c>
      <c r="E614" s="145" t="s">
        <v>450</v>
      </c>
    </row>
    <row r="615" spans="1:5" x14ac:dyDescent="0.25">
      <c r="A615" s="46">
        <v>128</v>
      </c>
      <c r="B615" s="143" t="s">
        <v>28</v>
      </c>
      <c r="C615" s="143" t="s">
        <v>519</v>
      </c>
      <c r="D615" s="141">
        <v>2E-3</v>
      </c>
      <c r="E615" s="145" t="s">
        <v>450</v>
      </c>
    </row>
    <row r="616" spans="1:5" x14ac:dyDescent="0.25">
      <c r="A616" s="46">
        <v>128</v>
      </c>
      <c r="B616" s="143" t="s">
        <v>28</v>
      </c>
      <c r="C616" s="143" t="s">
        <v>894</v>
      </c>
      <c r="D616" s="141">
        <v>7.0000000000000001E-3</v>
      </c>
      <c r="E616" s="145" t="s">
        <v>450</v>
      </c>
    </row>
    <row r="617" spans="1:5" x14ac:dyDescent="0.25">
      <c r="A617" s="46">
        <v>128</v>
      </c>
      <c r="B617" s="143" t="s">
        <v>28</v>
      </c>
      <c r="C617" s="89" t="s">
        <v>895</v>
      </c>
      <c r="D617" s="141">
        <v>5.0000000000000001E-3</v>
      </c>
      <c r="E617" s="145" t="s">
        <v>450</v>
      </c>
    </row>
    <row r="618" spans="1:5" x14ac:dyDescent="0.25">
      <c r="A618" s="46">
        <v>128</v>
      </c>
      <c r="B618" s="143" t="s">
        <v>28</v>
      </c>
      <c r="C618" s="89" t="s">
        <v>896</v>
      </c>
      <c r="D618" s="141">
        <v>0.03</v>
      </c>
      <c r="E618" s="145" t="s">
        <v>450</v>
      </c>
    </row>
    <row r="619" spans="1:5" x14ac:dyDescent="0.25">
      <c r="A619" s="46">
        <v>128</v>
      </c>
      <c r="B619" s="143" t="s">
        <v>28</v>
      </c>
      <c r="C619" s="143" t="s">
        <v>449</v>
      </c>
      <c r="D619" s="141">
        <v>5.0000000000000001E-3</v>
      </c>
      <c r="E619" s="145" t="s">
        <v>458</v>
      </c>
    </row>
    <row r="620" spans="1:5" x14ac:dyDescent="0.25">
      <c r="A620" s="46">
        <v>128</v>
      </c>
      <c r="B620" s="143" t="s">
        <v>28</v>
      </c>
      <c r="C620" s="143" t="s">
        <v>897</v>
      </c>
      <c r="D620" s="141">
        <v>1E-3</v>
      </c>
      <c r="E620" s="145" t="s">
        <v>450</v>
      </c>
    </row>
    <row r="621" spans="1:5" x14ac:dyDescent="0.25">
      <c r="A621" s="46"/>
      <c r="B621" s="98" t="s">
        <v>1534</v>
      </c>
      <c r="C621" s="89" t="s">
        <v>1536</v>
      </c>
      <c r="D621" s="141">
        <v>1</v>
      </c>
      <c r="E621" s="150" t="s">
        <v>450</v>
      </c>
    </row>
    <row r="622" spans="1:5" x14ac:dyDescent="0.25">
      <c r="A622" s="46"/>
      <c r="B622" s="98" t="s">
        <v>1535</v>
      </c>
      <c r="C622" s="89" t="s">
        <v>769</v>
      </c>
      <c r="D622" s="141">
        <v>1</v>
      </c>
      <c r="E622" s="150" t="s">
        <v>450</v>
      </c>
    </row>
    <row r="623" spans="1:5" x14ac:dyDescent="0.25">
      <c r="A623" s="46"/>
      <c r="B623" s="98" t="s">
        <v>1535</v>
      </c>
      <c r="C623" s="98" t="s">
        <v>525</v>
      </c>
      <c r="D623" s="141">
        <v>0.1</v>
      </c>
      <c r="E623" s="150" t="s">
        <v>450</v>
      </c>
    </row>
    <row r="624" spans="1:5" x14ac:dyDescent="0.25">
      <c r="A624" s="46"/>
      <c r="B624" s="98" t="s">
        <v>1535</v>
      </c>
      <c r="C624" s="89" t="s">
        <v>1029</v>
      </c>
      <c r="D624" s="141">
        <v>0.1</v>
      </c>
      <c r="E624" s="150" t="s">
        <v>450</v>
      </c>
    </row>
    <row r="625" spans="1:5" x14ac:dyDescent="0.25">
      <c r="A625" s="46">
        <v>60</v>
      </c>
      <c r="B625" s="143" t="s">
        <v>190</v>
      </c>
      <c r="C625" s="143" t="s">
        <v>756</v>
      </c>
      <c r="D625" s="144">
        <v>2E-3</v>
      </c>
      <c r="E625" s="142" t="s">
        <v>450</v>
      </c>
    </row>
    <row r="626" spans="1:5" x14ac:dyDescent="0.25">
      <c r="A626" s="46">
        <v>60</v>
      </c>
      <c r="B626" s="143" t="s">
        <v>190</v>
      </c>
      <c r="C626" s="143" t="s">
        <v>621</v>
      </c>
      <c r="D626" s="144">
        <v>1E-3</v>
      </c>
      <c r="E626" s="142" t="s">
        <v>450</v>
      </c>
    </row>
    <row r="627" spans="1:5" x14ac:dyDescent="0.25">
      <c r="A627" s="46">
        <v>60</v>
      </c>
      <c r="B627" s="143" t="s">
        <v>190</v>
      </c>
      <c r="C627" s="143" t="s">
        <v>665</v>
      </c>
      <c r="D627" s="144">
        <v>0</v>
      </c>
      <c r="E627" s="142" t="s">
        <v>450</v>
      </c>
    </row>
    <row r="628" spans="1:5" x14ac:dyDescent="0.25">
      <c r="A628" s="46">
        <v>60</v>
      </c>
      <c r="B628" s="143" t="s">
        <v>190</v>
      </c>
      <c r="C628" s="143" t="s">
        <v>519</v>
      </c>
      <c r="D628" s="141">
        <v>0.1</v>
      </c>
      <c r="E628" s="145" t="s">
        <v>749</v>
      </c>
    </row>
    <row r="629" spans="1:5" x14ac:dyDescent="0.25">
      <c r="A629" s="46">
        <v>60</v>
      </c>
      <c r="B629" s="143" t="s">
        <v>190</v>
      </c>
      <c r="C629" s="143" t="s">
        <v>572</v>
      </c>
      <c r="D629" s="144">
        <v>8.0000000000000002E-3</v>
      </c>
      <c r="E629" s="142" t="s">
        <v>458</v>
      </c>
    </row>
    <row r="630" spans="1:5" x14ac:dyDescent="0.25">
      <c r="A630" s="46">
        <v>66</v>
      </c>
      <c r="B630" s="143" t="s">
        <v>191</v>
      </c>
      <c r="C630" s="89" t="s">
        <v>667</v>
      </c>
      <c r="D630" s="144">
        <v>0.13</v>
      </c>
      <c r="E630" s="142" t="s">
        <v>448</v>
      </c>
    </row>
    <row r="631" spans="1:5" x14ac:dyDescent="0.25">
      <c r="A631" s="46">
        <v>66</v>
      </c>
      <c r="B631" s="143" t="s">
        <v>191</v>
      </c>
      <c r="C631" s="143" t="s">
        <v>449</v>
      </c>
      <c r="D631" s="144">
        <v>6.0000000000000001E-3</v>
      </c>
      <c r="E631" s="142" t="s">
        <v>450</v>
      </c>
    </row>
    <row r="632" spans="1:5" x14ac:dyDescent="0.25">
      <c r="A632" s="46">
        <v>66</v>
      </c>
      <c r="B632" s="143" t="s">
        <v>191</v>
      </c>
      <c r="C632" s="143" t="s">
        <v>461</v>
      </c>
      <c r="D632" s="144">
        <v>0.02</v>
      </c>
      <c r="E632" s="142" t="s">
        <v>450</v>
      </c>
    </row>
    <row r="633" spans="1:5" x14ac:dyDescent="0.25">
      <c r="A633" s="46">
        <v>66</v>
      </c>
      <c r="B633" s="143" t="s">
        <v>191</v>
      </c>
      <c r="C633" s="143" t="s">
        <v>452</v>
      </c>
      <c r="D633" s="144">
        <v>0.125</v>
      </c>
      <c r="E633" s="142" t="s">
        <v>450</v>
      </c>
    </row>
    <row r="634" spans="1:5" x14ac:dyDescent="0.25">
      <c r="A634" s="46">
        <v>66</v>
      </c>
      <c r="B634" s="143" t="s">
        <v>191</v>
      </c>
      <c r="C634" s="143" t="s">
        <v>668</v>
      </c>
      <c r="D634" s="144">
        <v>7.0000000000000001E-3</v>
      </c>
      <c r="E634" s="142" t="s">
        <v>448</v>
      </c>
    </row>
    <row r="635" spans="1:5" x14ac:dyDescent="0.25">
      <c r="A635" s="46">
        <v>100</v>
      </c>
      <c r="B635" s="143" t="s">
        <v>205</v>
      </c>
      <c r="C635" s="89" t="s">
        <v>714</v>
      </c>
      <c r="D635" s="144">
        <v>0.1</v>
      </c>
      <c r="E635" s="142" t="s">
        <v>450</v>
      </c>
    </row>
    <row r="636" spans="1:5" x14ac:dyDescent="0.25">
      <c r="A636" s="46">
        <v>100</v>
      </c>
      <c r="B636" s="143" t="s">
        <v>205</v>
      </c>
      <c r="C636" s="143" t="s">
        <v>452</v>
      </c>
      <c r="D636" s="144">
        <v>0.13</v>
      </c>
      <c r="E636" s="142" t="s">
        <v>450</v>
      </c>
    </row>
    <row r="637" spans="1:5" x14ac:dyDescent="0.25">
      <c r="A637" s="46">
        <v>100</v>
      </c>
      <c r="B637" s="143" t="s">
        <v>205</v>
      </c>
      <c r="C637" s="143" t="s">
        <v>713</v>
      </c>
      <c r="D637" s="144">
        <v>0.06</v>
      </c>
      <c r="E637" s="142" t="s">
        <v>450</v>
      </c>
    </row>
    <row r="638" spans="1:5" x14ac:dyDescent="0.25">
      <c r="A638" s="46">
        <v>100</v>
      </c>
      <c r="B638" s="143" t="s">
        <v>205</v>
      </c>
      <c r="C638" s="143" t="s">
        <v>519</v>
      </c>
      <c r="D638" s="144">
        <v>0.04</v>
      </c>
      <c r="E638" s="142" t="s">
        <v>450</v>
      </c>
    </row>
    <row r="639" spans="1:5" x14ac:dyDescent="0.25">
      <c r="A639" s="46">
        <v>100</v>
      </c>
      <c r="B639" s="143" t="s">
        <v>205</v>
      </c>
      <c r="C639" s="143" t="s">
        <v>447</v>
      </c>
      <c r="D639" s="144">
        <v>0.04</v>
      </c>
      <c r="E639" s="142" t="s">
        <v>448</v>
      </c>
    </row>
    <row r="640" spans="1:5" x14ac:dyDescent="0.25">
      <c r="A640" s="46">
        <v>100</v>
      </c>
      <c r="B640" s="143" t="s">
        <v>205</v>
      </c>
      <c r="C640" s="143" t="s">
        <v>451</v>
      </c>
      <c r="D640" s="144">
        <v>0.04</v>
      </c>
      <c r="E640" s="142" t="s">
        <v>450</v>
      </c>
    </row>
    <row r="641" spans="1:5" x14ac:dyDescent="0.25">
      <c r="A641" s="46">
        <v>100</v>
      </c>
      <c r="B641" s="143" t="s">
        <v>205</v>
      </c>
      <c r="C641" s="143" t="s">
        <v>455</v>
      </c>
      <c r="D641" s="171">
        <v>0.5</v>
      </c>
      <c r="E641" s="142"/>
    </row>
    <row r="642" spans="1:5" x14ac:dyDescent="0.25">
      <c r="A642" s="46">
        <v>100</v>
      </c>
      <c r="B642" s="143" t="s">
        <v>205</v>
      </c>
      <c r="C642" s="143" t="s">
        <v>715</v>
      </c>
      <c r="D642" s="171">
        <v>0.5</v>
      </c>
      <c r="E642" s="142"/>
    </row>
    <row r="643" spans="1:5" x14ac:dyDescent="0.25">
      <c r="A643" s="46">
        <v>100</v>
      </c>
      <c r="B643" s="143" t="s">
        <v>205</v>
      </c>
      <c r="C643" s="89" t="s">
        <v>716</v>
      </c>
      <c r="D643" s="141">
        <v>0.02</v>
      </c>
      <c r="E643" s="141" t="s">
        <v>448</v>
      </c>
    </row>
    <row r="644" spans="1:5" x14ac:dyDescent="0.25">
      <c r="A644" s="46">
        <v>280</v>
      </c>
      <c r="B644" s="143" t="s">
        <v>311</v>
      </c>
      <c r="C644" s="89" t="s">
        <v>981</v>
      </c>
      <c r="D644" s="141">
        <v>5.0000000000000001E-3</v>
      </c>
      <c r="E644" s="89" t="s">
        <v>450</v>
      </c>
    </row>
    <row r="645" spans="1:5" x14ac:dyDescent="0.25">
      <c r="A645" s="46">
        <v>280</v>
      </c>
      <c r="B645" s="143" t="s">
        <v>311</v>
      </c>
      <c r="C645" s="89" t="s">
        <v>982</v>
      </c>
      <c r="D645" s="141">
        <v>0.03</v>
      </c>
      <c r="E645" s="89" t="s">
        <v>450</v>
      </c>
    </row>
    <row r="646" spans="1:5" x14ac:dyDescent="0.25">
      <c r="A646" s="46">
        <v>280</v>
      </c>
      <c r="B646" s="143" t="s">
        <v>311</v>
      </c>
      <c r="C646" s="89" t="s">
        <v>983</v>
      </c>
      <c r="D646" s="141">
        <v>2E-3</v>
      </c>
      <c r="E646" s="89" t="s">
        <v>450</v>
      </c>
    </row>
    <row r="647" spans="1:5" x14ac:dyDescent="0.25">
      <c r="A647" s="46">
        <v>280</v>
      </c>
      <c r="B647" s="143" t="s">
        <v>311</v>
      </c>
      <c r="C647" s="89" t="s">
        <v>713</v>
      </c>
      <c r="D647" s="141">
        <v>0.06</v>
      </c>
      <c r="E647" s="89" t="s">
        <v>450</v>
      </c>
    </row>
    <row r="648" spans="1:5" x14ac:dyDescent="0.25">
      <c r="A648" s="46">
        <v>280</v>
      </c>
      <c r="B648" s="143" t="s">
        <v>311</v>
      </c>
      <c r="C648" s="143" t="s">
        <v>566</v>
      </c>
      <c r="D648" s="141">
        <v>0.2</v>
      </c>
      <c r="E648" s="89" t="s">
        <v>450</v>
      </c>
    </row>
    <row r="649" spans="1:5" x14ac:dyDescent="0.25">
      <c r="A649" s="46">
        <v>206</v>
      </c>
      <c r="B649" s="143" t="s">
        <v>265</v>
      </c>
      <c r="C649" s="146" t="s">
        <v>858</v>
      </c>
      <c r="D649" s="148">
        <v>0.03</v>
      </c>
      <c r="E649" s="145" t="s">
        <v>450</v>
      </c>
    </row>
    <row r="650" spans="1:5" x14ac:dyDescent="0.25">
      <c r="A650" s="46">
        <v>206</v>
      </c>
      <c r="B650" s="143" t="s">
        <v>265</v>
      </c>
      <c r="C650" s="143" t="s">
        <v>856</v>
      </c>
      <c r="D650" s="148">
        <v>7.0000000000000007E-2</v>
      </c>
      <c r="E650" s="145" t="s">
        <v>450</v>
      </c>
    </row>
    <row r="651" spans="1:5" x14ac:dyDescent="0.25">
      <c r="A651" s="46">
        <v>206</v>
      </c>
      <c r="B651" s="143" t="s">
        <v>265</v>
      </c>
      <c r="C651" s="143" t="s">
        <v>857</v>
      </c>
      <c r="D651" s="148">
        <v>5.0000000000000001E-3</v>
      </c>
      <c r="E651" s="145" t="s">
        <v>448</v>
      </c>
    </row>
    <row r="652" spans="1:5" x14ac:dyDescent="0.25">
      <c r="A652" s="46">
        <v>206</v>
      </c>
      <c r="B652" s="143" t="s">
        <v>265</v>
      </c>
      <c r="C652" s="143" t="s">
        <v>883</v>
      </c>
      <c r="D652" s="148">
        <v>0.05</v>
      </c>
      <c r="E652" s="145" t="s">
        <v>450</v>
      </c>
    </row>
    <row r="653" spans="1:5" x14ac:dyDescent="0.25">
      <c r="A653" s="46">
        <v>206</v>
      </c>
      <c r="B653" s="143" t="s">
        <v>265</v>
      </c>
      <c r="C653" s="143" t="s">
        <v>884</v>
      </c>
      <c r="D653" s="148">
        <v>0.05</v>
      </c>
      <c r="E653" s="145" t="s">
        <v>450</v>
      </c>
    </row>
    <row r="654" spans="1:5" x14ac:dyDescent="0.25">
      <c r="A654" s="46">
        <v>206</v>
      </c>
      <c r="B654" s="143" t="s">
        <v>265</v>
      </c>
      <c r="C654" s="147" t="s">
        <v>532</v>
      </c>
      <c r="D654" s="148">
        <v>3.5000000000000003E-2</v>
      </c>
      <c r="E654" s="145" t="s">
        <v>450</v>
      </c>
    </row>
    <row r="655" spans="1:5" x14ac:dyDescent="0.25">
      <c r="A655" s="46">
        <v>206</v>
      </c>
      <c r="B655" s="143" t="s">
        <v>265</v>
      </c>
      <c r="C655" s="143" t="s">
        <v>461</v>
      </c>
      <c r="D655" s="148">
        <v>0.01</v>
      </c>
      <c r="E655" s="145" t="s">
        <v>450</v>
      </c>
    </row>
    <row r="656" spans="1:5" x14ac:dyDescent="0.25">
      <c r="A656" s="46">
        <v>206</v>
      </c>
      <c r="B656" s="143" t="s">
        <v>265</v>
      </c>
      <c r="C656" s="143" t="s">
        <v>700</v>
      </c>
      <c r="D656" s="148">
        <v>1</v>
      </c>
      <c r="E656" s="145" t="s">
        <v>749</v>
      </c>
    </row>
    <row r="657" spans="1:5" x14ac:dyDescent="0.25">
      <c r="A657" s="46">
        <v>206</v>
      </c>
      <c r="B657" s="143" t="s">
        <v>265</v>
      </c>
      <c r="C657" s="143" t="s">
        <v>449</v>
      </c>
      <c r="D657" s="148">
        <v>0.05</v>
      </c>
      <c r="E657" s="145" t="s">
        <v>450</v>
      </c>
    </row>
    <row r="658" spans="1:5" x14ac:dyDescent="0.25">
      <c r="A658" s="46">
        <v>206</v>
      </c>
      <c r="B658" s="143" t="s">
        <v>265</v>
      </c>
      <c r="C658" s="143" t="s">
        <v>885</v>
      </c>
      <c r="D658" s="148">
        <v>1</v>
      </c>
      <c r="E658" s="145" t="s">
        <v>749</v>
      </c>
    </row>
    <row r="659" spans="1:5" x14ac:dyDescent="0.25">
      <c r="A659" s="46">
        <v>189</v>
      </c>
      <c r="B659" s="143" t="s">
        <v>254</v>
      </c>
      <c r="C659" s="146" t="s">
        <v>859</v>
      </c>
      <c r="D659" s="148">
        <v>7.0000000000000007E-2</v>
      </c>
      <c r="E659" s="145" t="s">
        <v>450</v>
      </c>
    </row>
    <row r="660" spans="1:5" x14ac:dyDescent="0.25">
      <c r="A660" s="46">
        <v>189</v>
      </c>
      <c r="B660" s="143" t="s">
        <v>254</v>
      </c>
      <c r="C660" s="143" t="s">
        <v>566</v>
      </c>
      <c r="D660" s="148">
        <v>0.03</v>
      </c>
      <c r="E660" s="145" t="s">
        <v>448</v>
      </c>
    </row>
    <row r="661" spans="1:5" x14ac:dyDescent="0.25">
      <c r="A661" s="46">
        <v>189</v>
      </c>
      <c r="B661" s="143" t="s">
        <v>254</v>
      </c>
      <c r="C661" s="143" t="s">
        <v>461</v>
      </c>
      <c r="D661" s="148">
        <v>0.05</v>
      </c>
      <c r="E661" s="145" t="s">
        <v>450</v>
      </c>
    </row>
    <row r="662" spans="1:5" x14ac:dyDescent="0.25">
      <c r="A662" s="46">
        <v>189</v>
      </c>
      <c r="B662" s="143" t="s">
        <v>254</v>
      </c>
      <c r="C662" s="143" t="s">
        <v>694</v>
      </c>
      <c r="D662" s="148">
        <v>3.0000000000000001E-3</v>
      </c>
      <c r="E662" s="145" t="s">
        <v>450</v>
      </c>
    </row>
    <row r="663" spans="1:5" x14ac:dyDescent="0.25">
      <c r="A663" s="46">
        <v>189</v>
      </c>
      <c r="B663" s="143" t="s">
        <v>254</v>
      </c>
      <c r="C663" s="143" t="s">
        <v>614</v>
      </c>
      <c r="D663" s="148">
        <v>5.0000000000000001E-3</v>
      </c>
      <c r="E663" s="145" t="s">
        <v>450</v>
      </c>
    </row>
    <row r="664" spans="1:5" x14ac:dyDescent="0.25">
      <c r="A664" s="46">
        <v>189</v>
      </c>
      <c r="B664" s="143" t="s">
        <v>254</v>
      </c>
      <c r="C664" s="89" t="s">
        <v>745</v>
      </c>
      <c r="D664" s="148">
        <v>3.0000000000000001E-3</v>
      </c>
      <c r="E664" s="145" t="s">
        <v>450</v>
      </c>
    </row>
    <row r="665" spans="1:5" x14ac:dyDescent="0.25">
      <c r="A665" s="46">
        <v>189</v>
      </c>
      <c r="B665" s="143" t="s">
        <v>254</v>
      </c>
      <c r="C665" s="143" t="s">
        <v>449</v>
      </c>
      <c r="D665" s="148">
        <v>8.0000000000000002E-3</v>
      </c>
      <c r="E665" s="145" t="s">
        <v>450</v>
      </c>
    </row>
    <row r="666" spans="1:5" x14ac:dyDescent="0.25">
      <c r="A666" s="46">
        <v>189</v>
      </c>
      <c r="B666" s="143" t="s">
        <v>254</v>
      </c>
      <c r="C666" s="89" t="s">
        <v>576</v>
      </c>
      <c r="D666" s="148">
        <v>2E-3</v>
      </c>
      <c r="E666" s="145" t="s">
        <v>450</v>
      </c>
    </row>
    <row r="667" spans="1:5" x14ac:dyDescent="0.25">
      <c r="A667" s="46">
        <v>189</v>
      </c>
      <c r="B667" s="143" t="s">
        <v>254</v>
      </c>
      <c r="C667" s="89" t="s">
        <v>488</v>
      </c>
      <c r="D667" s="148">
        <v>2E-3</v>
      </c>
      <c r="E667" s="145" t="s">
        <v>450</v>
      </c>
    </row>
    <row r="668" spans="1:5" x14ac:dyDescent="0.25">
      <c r="A668" s="46">
        <v>189</v>
      </c>
      <c r="B668" s="143" t="s">
        <v>254</v>
      </c>
      <c r="C668" s="89" t="s">
        <v>487</v>
      </c>
      <c r="D668" s="148">
        <v>2E-3</v>
      </c>
      <c r="E668" s="145" t="s">
        <v>450</v>
      </c>
    </row>
    <row r="669" spans="1:5" x14ac:dyDescent="0.25">
      <c r="A669" s="46">
        <v>189</v>
      </c>
      <c r="B669" s="143" t="s">
        <v>254</v>
      </c>
      <c r="C669" s="89" t="s">
        <v>816</v>
      </c>
      <c r="D669" s="148">
        <v>5.0000000000000001E-3</v>
      </c>
      <c r="E669" s="145" t="s">
        <v>450</v>
      </c>
    </row>
    <row r="670" spans="1:5" x14ac:dyDescent="0.25">
      <c r="A670" s="46">
        <v>189</v>
      </c>
      <c r="B670" s="143" t="s">
        <v>254</v>
      </c>
      <c r="C670" s="89" t="s">
        <v>629</v>
      </c>
      <c r="D670" s="148">
        <v>1E-3</v>
      </c>
      <c r="E670" s="145" t="s">
        <v>450</v>
      </c>
    </row>
    <row r="671" spans="1:5" x14ac:dyDescent="0.25">
      <c r="A671" s="46">
        <v>189</v>
      </c>
      <c r="B671" s="143" t="s">
        <v>254</v>
      </c>
      <c r="C671" s="143" t="s">
        <v>478</v>
      </c>
      <c r="D671" s="148">
        <v>1.4999999999999999E-2</v>
      </c>
      <c r="E671" s="145" t="s">
        <v>448</v>
      </c>
    </row>
    <row r="672" spans="1:5" x14ac:dyDescent="0.25">
      <c r="A672" s="46">
        <v>79</v>
      </c>
      <c r="B672" s="143" t="s">
        <v>103</v>
      </c>
      <c r="C672" s="89" t="s">
        <v>459</v>
      </c>
      <c r="D672" s="141">
        <v>2.5000000000000001E-2</v>
      </c>
      <c r="E672" s="145" t="s">
        <v>450</v>
      </c>
    </row>
    <row r="673" spans="1:5" x14ac:dyDescent="0.25">
      <c r="A673" s="46">
        <v>79</v>
      </c>
      <c r="B673" s="143" t="s">
        <v>103</v>
      </c>
      <c r="C673" s="147" t="s">
        <v>532</v>
      </c>
      <c r="D673" s="141">
        <v>6.4000000000000001E-2</v>
      </c>
      <c r="E673" s="145" t="s">
        <v>450</v>
      </c>
    </row>
    <row r="674" spans="1:5" x14ac:dyDescent="0.25">
      <c r="A674" s="46">
        <v>79</v>
      </c>
      <c r="B674" s="143" t="s">
        <v>103</v>
      </c>
      <c r="C674" s="89" t="s">
        <v>947</v>
      </c>
      <c r="D674" s="141">
        <v>1.7000000000000001E-2</v>
      </c>
      <c r="E674" s="145" t="s">
        <v>450</v>
      </c>
    </row>
    <row r="675" spans="1:5" x14ac:dyDescent="0.25">
      <c r="A675" s="46">
        <v>79</v>
      </c>
      <c r="B675" s="143" t="s">
        <v>103</v>
      </c>
      <c r="C675" s="143" t="s">
        <v>886</v>
      </c>
      <c r="D675" s="141">
        <v>6.3E-2</v>
      </c>
      <c r="E675" s="145" t="s">
        <v>450</v>
      </c>
    </row>
    <row r="676" spans="1:5" x14ac:dyDescent="0.25">
      <c r="A676" s="46">
        <v>79</v>
      </c>
      <c r="B676" s="143" t="s">
        <v>103</v>
      </c>
      <c r="C676" s="89" t="s">
        <v>559</v>
      </c>
      <c r="D676" s="141">
        <v>1</v>
      </c>
      <c r="E676" s="145" t="s">
        <v>749</v>
      </c>
    </row>
    <row r="677" spans="1:5" x14ac:dyDescent="0.25">
      <c r="A677" s="46">
        <v>79</v>
      </c>
      <c r="B677" s="143" t="s">
        <v>103</v>
      </c>
      <c r="C677" s="89" t="s">
        <v>827</v>
      </c>
      <c r="D677" s="141">
        <v>8.0000000000000002E-3</v>
      </c>
      <c r="E677" s="145" t="s">
        <v>450</v>
      </c>
    </row>
    <row r="678" spans="1:5" x14ac:dyDescent="0.25">
      <c r="A678" s="46">
        <v>79</v>
      </c>
      <c r="B678" s="143" t="s">
        <v>103</v>
      </c>
      <c r="C678" s="89" t="s">
        <v>755</v>
      </c>
      <c r="D678" s="141">
        <v>4.0000000000000001E-3</v>
      </c>
      <c r="E678" s="145" t="s">
        <v>450</v>
      </c>
    </row>
    <row r="679" spans="1:5" x14ac:dyDescent="0.25">
      <c r="A679" s="46">
        <v>79</v>
      </c>
      <c r="B679" s="143" t="s">
        <v>103</v>
      </c>
      <c r="C679" s="146" t="s">
        <v>612</v>
      </c>
      <c r="D679" s="141">
        <v>8.0000000000000002E-3</v>
      </c>
      <c r="E679" s="145" t="s">
        <v>448</v>
      </c>
    </row>
    <row r="680" spans="1:5" x14ac:dyDescent="0.25">
      <c r="A680" s="46">
        <v>79</v>
      </c>
      <c r="B680" s="143" t="s">
        <v>103</v>
      </c>
      <c r="C680" s="143" t="s">
        <v>449</v>
      </c>
      <c r="D680" s="141">
        <v>1E-3</v>
      </c>
      <c r="E680" s="145" t="s">
        <v>450</v>
      </c>
    </row>
    <row r="681" spans="1:5" x14ac:dyDescent="0.25">
      <c r="A681" s="46">
        <v>281</v>
      </c>
      <c r="B681" s="143" t="s">
        <v>312</v>
      </c>
      <c r="C681" s="89" t="s">
        <v>972</v>
      </c>
      <c r="D681" s="141" t="s">
        <v>974</v>
      </c>
      <c r="E681" s="89" t="s">
        <v>458</v>
      </c>
    </row>
    <row r="682" spans="1:5" x14ac:dyDescent="0.25">
      <c r="A682" s="46">
        <v>281</v>
      </c>
      <c r="B682" s="143" t="s">
        <v>312</v>
      </c>
      <c r="C682" s="89" t="s">
        <v>542</v>
      </c>
      <c r="D682" s="141">
        <v>4.4999999999999998E-2</v>
      </c>
      <c r="E682" s="89" t="s">
        <v>458</v>
      </c>
    </row>
    <row r="683" spans="1:5" x14ac:dyDescent="0.25">
      <c r="A683" s="46">
        <v>281</v>
      </c>
      <c r="B683" s="143" t="s">
        <v>312</v>
      </c>
      <c r="C683" s="89" t="s">
        <v>554</v>
      </c>
      <c r="D683" s="141">
        <v>5.5E-2</v>
      </c>
      <c r="E683" s="89" t="s">
        <v>458</v>
      </c>
    </row>
    <row r="684" spans="1:5" x14ac:dyDescent="0.25">
      <c r="A684" s="46">
        <v>281</v>
      </c>
      <c r="B684" s="143" t="s">
        <v>312</v>
      </c>
      <c r="C684" s="89" t="s">
        <v>890</v>
      </c>
      <c r="D684" s="141">
        <v>0.05</v>
      </c>
      <c r="E684" s="89" t="s">
        <v>458</v>
      </c>
    </row>
    <row r="685" spans="1:5" x14ac:dyDescent="0.25">
      <c r="A685" s="46">
        <v>281</v>
      </c>
      <c r="B685" s="143" t="s">
        <v>312</v>
      </c>
      <c r="C685" s="89" t="s">
        <v>891</v>
      </c>
      <c r="D685" s="141">
        <v>0.05</v>
      </c>
      <c r="E685" s="89" t="s">
        <v>458</v>
      </c>
    </row>
    <row r="686" spans="1:5" x14ac:dyDescent="0.25">
      <c r="A686" s="46">
        <v>281</v>
      </c>
      <c r="B686" s="143" t="s">
        <v>312</v>
      </c>
      <c r="C686" s="89" t="s">
        <v>469</v>
      </c>
      <c r="D686" s="141">
        <v>1.4999999999999999E-2</v>
      </c>
      <c r="E686" s="89" t="s">
        <v>448</v>
      </c>
    </row>
    <row r="687" spans="1:5" x14ac:dyDescent="0.25">
      <c r="A687" s="46">
        <v>281</v>
      </c>
      <c r="B687" s="143" t="s">
        <v>312</v>
      </c>
      <c r="C687" s="89" t="s">
        <v>955</v>
      </c>
      <c r="D687" s="141">
        <v>1</v>
      </c>
      <c r="E687" s="89" t="s">
        <v>458</v>
      </c>
    </row>
    <row r="688" spans="1:5" x14ac:dyDescent="0.25">
      <c r="A688" s="46">
        <v>281</v>
      </c>
      <c r="B688" s="143" t="s">
        <v>312</v>
      </c>
      <c r="C688" s="89" t="s">
        <v>470</v>
      </c>
      <c r="D688" s="141">
        <v>1E-3</v>
      </c>
      <c r="E688" s="89" t="s">
        <v>458</v>
      </c>
    </row>
    <row r="689" spans="1:5" x14ac:dyDescent="0.25">
      <c r="A689" s="46">
        <v>281</v>
      </c>
      <c r="B689" s="143" t="s">
        <v>312</v>
      </c>
      <c r="C689" s="89" t="s">
        <v>516</v>
      </c>
      <c r="D689" s="141">
        <v>1E-4</v>
      </c>
      <c r="E689" s="89" t="s">
        <v>458</v>
      </c>
    </row>
    <row r="690" spans="1:5" x14ac:dyDescent="0.25">
      <c r="A690" s="46">
        <v>281</v>
      </c>
      <c r="B690" s="143" t="s">
        <v>312</v>
      </c>
      <c r="C690" s="89" t="s">
        <v>971</v>
      </c>
      <c r="D690" s="141">
        <v>0.05</v>
      </c>
      <c r="E690" s="89" t="s">
        <v>458</v>
      </c>
    </row>
    <row r="691" spans="1:5" x14ac:dyDescent="0.25">
      <c r="A691" s="46">
        <v>281</v>
      </c>
      <c r="B691" s="143" t="s">
        <v>312</v>
      </c>
      <c r="C691" s="89" t="s">
        <v>785</v>
      </c>
      <c r="D691" s="141">
        <v>4.2999999999999997E-2</v>
      </c>
      <c r="E691" s="89" t="s">
        <v>458</v>
      </c>
    </row>
    <row r="692" spans="1:5" x14ac:dyDescent="0.25">
      <c r="A692" s="46"/>
      <c r="B692" s="98" t="s">
        <v>408</v>
      </c>
      <c r="C692" s="89" t="s">
        <v>1548</v>
      </c>
      <c r="D692" s="141">
        <v>1</v>
      </c>
      <c r="E692" s="150" t="s">
        <v>450</v>
      </c>
    </row>
    <row r="693" spans="1:5" x14ac:dyDescent="0.25">
      <c r="A693" s="46">
        <v>114</v>
      </c>
      <c r="B693" s="143" t="s">
        <v>209</v>
      </c>
      <c r="C693" s="89" t="s">
        <v>721</v>
      </c>
      <c r="D693" s="141">
        <v>1</v>
      </c>
      <c r="E693" s="145" t="s">
        <v>749</v>
      </c>
    </row>
    <row r="694" spans="1:5" x14ac:dyDescent="0.25">
      <c r="A694" s="46">
        <v>114</v>
      </c>
      <c r="B694" s="143" t="s">
        <v>209</v>
      </c>
      <c r="C694" s="89" t="s">
        <v>648</v>
      </c>
      <c r="D694" s="141">
        <v>0.03</v>
      </c>
      <c r="E694" s="141" t="s">
        <v>450</v>
      </c>
    </row>
    <row r="695" spans="1:5" x14ac:dyDescent="0.25">
      <c r="A695" s="46">
        <v>114</v>
      </c>
      <c r="B695" s="143" t="s">
        <v>209</v>
      </c>
      <c r="C695" s="143" t="s">
        <v>500</v>
      </c>
      <c r="D695" s="141">
        <v>1.2E-2</v>
      </c>
      <c r="E695" s="141" t="s">
        <v>450</v>
      </c>
    </row>
    <row r="696" spans="1:5" x14ac:dyDescent="0.25">
      <c r="A696" s="46">
        <v>114</v>
      </c>
      <c r="B696" s="143" t="s">
        <v>209</v>
      </c>
      <c r="C696" s="89" t="s">
        <v>569</v>
      </c>
      <c r="D696" s="141">
        <v>8.0000000000000002E-3</v>
      </c>
      <c r="E696" s="141" t="s">
        <v>458</v>
      </c>
    </row>
    <row r="697" spans="1:5" x14ac:dyDescent="0.25">
      <c r="A697" s="46">
        <v>114</v>
      </c>
      <c r="B697" s="143" t="s">
        <v>209</v>
      </c>
      <c r="C697" s="89" t="s">
        <v>726</v>
      </c>
      <c r="D697" s="141">
        <v>6.0000000000000001E-3</v>
      </c>
      <c r="E697" s="141" t="s">
        <v>458</v>
      </c>
    </row>
    <row r="698" spans="1:5" x14ac:dyDescent="0.25">
      <c r="A698" s="46">
        <v>114</v>
      </c>
      <c r="B698" s="143" t="s">
        <v>209</v>
      </c>
      <c r="C698" s="89" t="s">
        <v>404</v>
      </c>
      <c r="D698" s="141">
        <v>3.5000000000000003E-2</v>
      </c>
      <c r="E698" s="141" t="s">
        <v>450</v>
      </c>
    </row>
    <row r="699" spans="1:5" x14ac:dyDescent="0.25">
      <c r="A699" s="46">
        <v>114</v>
      </c>
      <c r="B699" s="143" t="s">
        <v>209</v>
      </c>
      <c r="C699" s="89" t="s">
        <v>759</v>
      </c>
      <c r="D699" s="141">
        <v>5.0000000000000001E-3</v>
      </c>
      <c r="E699" s="141" t="s">
        <v>450</v>
      </c>
    </row>
    <row r="700" spans="1:5" x14ac:dyDescent="0.25">
      <c r="A700" s="46">
        <v>114</v>
      </c>
      <c r="B700" s="143" t="s">
        <v>209</v>
      </c>
      <c r="C700" s="89" t="s">
        <v>488</v>
      </c>
      <c r="D700" s="141">
        <v>1E-3</v>
      </c>
      <c r="E700" s="141" t="s">
        <v>450</v>
      </c>
    </row>
    <row r="701" spans="1:5" x14ac:dyDescent="0.25">
      <c r="A701" s="46">
        <v>104</v>
      </c>
      <c r="B701" s="143" t="s">
        <v>99</v>
      </c>
      <c r="C701" s="143" t="s">
        <v>456</v>
      </c>
      <c r="D701" s="141">
        <v>1</v>
      </c>
      <c r="E701" s="145" t="s">
        <v>749</v>
      </c>
    </row>
    <row r="702" spans="1:5" x14ac:dyDescent="0.25">
      <c r="A702" s="46">
        <v>104</v>
      </c>
      <c r="B702" s="143" t="s">
        <v>99</v>
      </c>
      <c r="C702" s="89" t="s">
        <v>700</v>
      </c>
      <c r="D702" s="141">
        <v>2.5000000000000001E-2</v>
      </c>
      <c r="E702" s="141" t="s">
        <v>450</v>
      </c>
    </row>
    <row r="703" spans="1:5" x14ac:dyDescent="0.25">
      <c r="A703" s="46">
        <v>104</v>
      </c>
      <c r="B703" s="143" t="s">
        <v>99</v>
      </c>
      <c r="C703" s="89" t="s">
        <v>522</v>
      </c>
      <c r="D703" s="141">
        <v>1</v>
      </c>
      <c r="E703" s="145" t="s">
        <v>749</v>
      </c>
    </row>
    <row r="704" spans="1:5" x14ac:dyDescent="0.25">
      <c r="A704" s="46">
        <v>104</v>
      </c>
      <c r="B704" s="143" t="s">
        <v>99</v>
      </c>
      <c r="C704" s="89" t="s">
        <v>736</v>
      </c>
      <c r="D704" s="141">
        <v>8.0000000000000002E-3</v>
      </c>
      <c r="E704" s="141" t="s">
        <v>450</v>
      </c>
    </row>
    <row r="705" spans="1:5" x14ac:dyDescent="0.25">
      <c r="A705" s="46">
        <v>104</v>
      </c>
      <c r="B705" s="143" t="s">
        <v>99</v>
      </c>
      <c r="C705" s="89" t="s">
        <v>737</v>
      </c>
      <c r="D705" s="141">
        <v>0.03</v>
      </c>
      <c r="E705" s="141" t="s">
        <v>450</v>
      </c>
    </row>
    <row r="706" spans="1:5" x14ac:dyDescent="0.25">
      <c r="A706" s="46">
        <v>104</v>
      </c>
      <c r="B706" s="143" t="s">
        <v>99</v>
      </c>
      <c r="C706" s="89" t="s">
        <v>738</v>
      </c>
      <c r="D706" s="141">
        <v>0.02</v>
      </c>
      <c r="E706" s="141" t="s">
        <v>450</v>
      </c>
    </row>
    <row r="707" spans="1:5" x14ac:dyDescent="0.25">
      <c r="A707" s="46">
        <v>104</v>
      </c>
      <c r="B707" s="143" t="s">
        <v>99</v>
      </c>
      <c r="C707" s="89" t="s">
        <v>739</v>
      </c>
      <c r="D707" s="141">
        <v>1E-3</v>
      </c>
      <c r="E707" s="141" t="s">
        <v>450</v>
      </c>
    </row>
    <row r="708" spans="1:5" x14ac:dyDescent="0.25">
      <c r="A708" s="46">
        <v>104</v>
      </c>
      <c r="B708" s="143" t="s">
        <v>99</v>
      </c>
      <c r="C708" s="89" t="s">
        <v>740</v>
      </c>
      <c r="D708" s="141">
        <v>0.3</v>
      </c>
      <c r="E708" s="141" t="s">
        <v>448</v>
      </c>
    </row>
    <row r="709" spans="1:5" x14ac:dyDescent="0.25">
      <c r="A709" s="46">
        <v>104</v>
      </c>
      <c r="B709" s="143" t="s">
        <v>99</v>
      </c>
      <c r="C709" s="143" t="s">
        <v>449</v>
      </c>
      <c r="D709" s="141">
        <v>2E-3</v>
      </c>
      <c r="E709" s="141" t="s">
        <v>450</v>
      </c>
    </row>
    <row r="710" spans="1:5" x14ac:dyDescent="0.25">
      <c r="A710" s="46">
        <v>104</v>
      </c>
      <c r="B710" s="143" t="s">
        <v>99</v>
      </c>
      <c r="C710" s="143" t="s">
        <v>124</v>
      </c>
      <c r="D710" s="141">
        <v>0.09</v>
      </c>
      <c r="E710" s="141" t="s">
        <v>450</v>
      </c>
    </row>
    <row r="711" spans="1:5" x14ac:dyDescent="0.25">
      <c r="A711" s="46">
        <v>102</v>
      </c>
      <c r="B711" s="143" t="s">
        <v>97</v>
      </c>
      <c r="C711" s="89" t="s">
        <v>727</v>
      </c>
      <c r="D711" s="141">
        <v>1</v>
      </c>
      <c r="E711" s="145" t="s">
        <v>749</v>
      </c>
    </row>
    <row r="712" spans="1:5" x14ac:dyDescent="0.25">
      <c r="A712" s="46">
        <v>102</v>
      </c>
      <c r="B712" s="143" t="s">
        <v>97</v>
      </c>
      <c r="C712" s="89" t="s">
        <v>728</v>
      </c>
      <c r="D712" s="141">
        <v>2.5000000000000001E-2</v>
      </c>
      <c r="E712" s="141" t="s">
        <v>450</v>
      </c>
    </row>
    <row r="713" spans="1:5" x14ac:dyDescent="0.25">
      <c r="A713" s="46">
        <v>102</v>
      </c>
      <c r="B713" s="143" t="s">
        <v>97</v>
      </c>
      <c r="C713" s="89" t="s">
        <v>729</v>
      </c>
      <c r="D713" s="141">
        <v>1</v>
      </c>
      <c r="E713" s="145" t="s">
        <v>749</v>
      </c>
    </row>
    <row r="714" spans="1:5" x14ac:dyDescent="0.25">
      <c r="A714" s="46">
        <v>102</v>
      </c>
      <c r="B714" s="143" t="s">
        <v>97</v>
      </c>
      <c r="C714" s="89" t="s">
        <v>730</v>
      </c>
      <c r="D714" s="141">
        <v>8.0000000000000002E-3</v>
      </c>
      <c r="E714" s="145" t="s">
        <v>749</v>
      </c>
    </row>
    <row r="715" spans="1:5" x14ac:dyDescent="0.25">
      <c r="A715" s="46">
        <v>102</v>
      </c>
      <c r="B715" s="143" t="s">
        <v>97</v>
      </c>
      <c r="C715" s="89" t="s">
        <v>625</v>
      </c>
      <c r="D715" s="141">
        <v>2</v>
      </c>
      <c r="E715" s="145" t="s">
        <v>749</v>
      </c>
    </row>
    <row r="716" spans="1:5" x14ac:dyDescent="0.25">
      <c r="A716" s="46">
        <v>102</v>
      </c>
      <c r="B716" s="143" t="s">
        <v>97</v>
      </c>
      <c r="C716" s="89" t="s">
        <v>731</v>
      </c>
      <c r="D716" s="141">
        <v>1</v>
      </c>
      <c r="E716" s="145" t="s">
        <v>749</v>
      </c>
    </row>
    <row r="717" spans="1:5" x14ac:dyDescent="0.25">
      <c r="A717" s="46">
        <v>103</v>
      </c>
      <c r="B717" s="143" t="s">
        <v>98</v>
      </c>
      <c r="C717" s="89" t="s">
        <v>732</v>
      </c>
      <c r="D717" s="141">
        <v>0.1</v>
      </c>
      <c r="E717" s="141" t="s">
        <v>450</v>
      </c>
    </row>
    <row r="718" spans="1:5" x14ac:dyDescent="0.25">
      <c r="A718" s="46">
        <v>103</v>
      </c>
      <c r="B718" s="143" t="s">
        <v>98</v>
      </c>
      <c r="C718" s="89" t="s">
        <v>733</v>
      </c>
      <c r="D718" s="141">
        <v>0.04</v>
      </c>
      <c r="E718" s="141" t="s">
        <v>450</v>
      </c>
    </row>
    <row r="719" spans="1:5" x14ac:dyDescent="0.25">
      <c r="A719" s="46">
        <v>103</v>
      </c>
      <c r="B719" s="143" t="s">
        <v>98</v>
      </c>
      <c r="C719" s="89" t="s">
        <v>734</v>
      </c>
      <c r="D719" s="141">
        <v>0.03</v>
      </c>
      <c r="E719" s="141" t="s">
        <v>450</v>
      </c>
    </row>
    <row r="720" spans="1:5" x14ac:dyDescent="0.25">
      <c r="A720" s="46">
        <v>103</v>
      </c>
      <c r="B720" s="143" t="s">
        <v>98</v>
      </c>
      <c r="C720" s="89" t="s">
        <v>735</v>
      </c>
      <c r="D720" s="141">
        <v>3</v>
      </c>
      <c r="E720" s="145" t="s">
        <v>749</v>
      </c>
    </row>
    <row r="721" spans="1:5" x14ac:dyDescent="0.25">
      <c r="A721" s="46">
        <v>103</v>
      </c>
      <c r="B721" s="143" t="s">
        <v>98</v>
      </c>
      <c r="C721" s="89" t="s">
        <v>625</v>
      </c>
      <c r="D721" s="141">
        <v>2</v>
      </c>
      <c r="E721" s="145" t="s">
        <v>749</v>
      </c>
    </row>
    <row r="722" spans="1:5" x14ac:dyDescent="0.25">
      <c r="A722" s="46">
        <v>103</v>
      </c>
      <c r="B722" s="143" t="s">
        <v>98</v>
      </c>
      <c r="C722" s="89" t="s">
        <v>731</v>
      </c>
      <c r="D722" s="141">
        <v>1</v>
      </c>
      <c r="E722" s="145" t="s">
        <v>749</v>
      </c>
    </row>
    <row r="723" spans="1:5" x14ac:dyDescent="0.25">
      <c r="A723" s="46">
        <v>157</v>
      </c>
      <c r="B723" s="143" t="s">
        <v>53</v>
      </c>
      <c r="C723" s="172" t="s">
        <v>574</v>
      </c>
      <c r="D723" s="144">
        <v>0.1</v>
      </c>
      <c r="E723" s="142" t="s">
        <v>450</v>
      </c>
    </row>
    <row r="724" spans="1:5" x14ac:dyDescent="0.25">
      <c r="A724" s="46">
        <v>157</v>
      </c>
      <c r="B724" s="143" t="s">
        <v>53</v>
      </c>
      <c r="C724" s="143" t="s">
        <v>327</v>
      </c>
      <c r="D724" s="144">
        <v>0.03</v>
      </c>
      <c r="E724" s="142" t="s">
        <v>450</v>
      </c>
    </row>
    <row r="725" spans="1:5" x14ac:dyDescent="0.25">
      <c r="A725" s="46">
        <v>157</v>
      </c>
      <c r="B725" s="143" t="s">
        <v>53</v>
      </c>
      <c r="C725" s="143" t="s">
        <v>404</v>
      </c>
      <c r="D725" s="144">
        <v>1.4999999999999999E-2</v>
      </c>
      <c r="E725" s="142" t="s">
        <v>450</v>
      </c>
    </row>
    <row r="726" spans="1:5" x14ac:dyDescent="0.25">
      <c r="A726" s="46">
        <v>157</v>
      </c>
      <c r="B726" s="143" t="s">
        <v>53</v>
      </c>
      <c r="C726" s="143" t="s">
        <v>584</v>
      </c>
      <c r="D726" s="144">
        <v>5.0000000000000001E-3</v>
      </c>
      <c r="E726" s="142" t="s">
        <v>450</v>
      </c>
    </row>
    <row r="727" spans="1:5" x14ac:dyDescent="0.25">
      <c r="A727" s="46">
        <v>157</v>
      </c>
      <c r="B727" s="143" t="s">
        <v>53</v>
      </c>
      <c r="C727" s="143" t="s">
        <v>488</v>
      </c>
      <c r="D727" s="144">
        <v>2E-3</v>
      </c>
      <c r="E727" s="142" t="s">
        <v>450</v>
      </c>
    </row>
    <row r="728" spans="1:5" x14ac:dyDescent="0.25">
      <c r="A728" s="46">
        <v>157</v>
      </c>
      <c r="B728" s="143" t="s">
        <v>53</v>
      </c>
      <c r="C728" s="143" t="s">
        <v>467</v>
      </c>
      <c r="D728" s="144">
        <v>2E-3</v>
      </c>
      <c r="E728" s="142" t="s">
        <v>448</v>
      </c>
    </row>
    <row r="729" spans="1:5" x14ac:dyDescent="0.25">
      <c r="A729" s="46">
        <v>157</v>
      </c>
      <c r="B729" s="143" t="s">
        <v>53</v>
      </c>
      <c r="C729" s="143" t="s">
        <v>487</v>
      </c>
      <c r="D729" s="144">
        <v>1E-3</v>
      </c>
      <c r="E729" s="142" t="s">
        <v>450</v>
      </c>
    </row>
    <row r="730" spans="1:5" x14ac:dyDescent="0.25">
      <c r="A730" s="46">
        <v>157</v>
      </c>
      <c r="B730" s="143" t="s">
        <v>53</v>
      </c>
      <c r="C730" s="143" t="s">
        <v>590</v>
      </c>
      <c r="D730" s="144">
        <v>0.01</v>
      </c>
      <c r="E730" s="142" t="s">
        <v>450</v>
      </c>
    </row>
    <row r="731" spans="1:5" x14ac:dyDescent="0.25">
      <c r="A731" s="46">
        <v>157</v>
      </c>
      <c r="B731" s="143" t="s">
        <v>53</v>
      </c>
      <c r="C731" s="143" t="s">
        <v>466</v>
      </c>
      <c r="D731" s="144">
        <v>1E-3</v>
      </c>
      <c r="E731" s="142" t="s">
        <v>450</v>
      </c>
    </row>
    <row r="732" spans="1:5" x14ac:dyDescent="0.25">
      <c r="A732" s="46">
        <v>157</v>
      </c>
      <c r="B732" s="143" t="s">
        <v>53</v>
      </c>
      <c r="C732" s="143" t="s">
        <v>482</v>
      </c>
      <c r="D732" s="144">
        <v>2E-3</v>
      </c>
      <c r="E732" s="142" t="s">
        <v>450</v>
      </c>
    </row>
    <row r="733" spans="1:5" x14ac:dyDescent="0.25">
      <c r="A733" s="46">
        <v>157</v>
      </c>
      <c r="B733" s="143" t="s">
        <v>53</v>
      </c>
      <c r="C733" s="89" t="s">
        <v>745</v>
      </c>
      <c r="D733" s="144" t="s">
        <v>811</v>
      </c>
      <c r="E733" s="142" t="s">
        <v>458</v>
      </c>
    </row>
    <row r="734" spans="1:5" x14ac:dyDescent="0.25">
      <c r="A734" s="46">
        <v>157</v>
      </c>
      <c r="B734" s="143" t="s">
        <v>53</v>
      </c>
      <c r="C734" s="143" t="s">
        <v>694</v>
      </c>
      <c r="D734" s="144">
        <v>1E-3</v>
      </c>
      <c r="E734" s="142" t="s">
        <v>458</v>
      </c>
    </row>
    <row r="735" spans="1:5" x14ac:dyDescent="0.25">
      <c r="A735" s="46">
        <v>157</v>
      </c>
      <c r="B735" s="143" t="s">
        <v>53</v>
      </c>
      <c r="C735" s="143" t="s">
        <v>461</v>
      </c>
      <c r="D735" s="144">
        <v>4.0000000000000001E-3</v>
      </c>
      <c r="E735" s="142" t="s">
        <v>448</v>
      </c>
    </row>
    <row r="736" spans="1:5" x14ac:dyDescent="0.25">
      <c r="A736" s="46">
        <v>13</v>
      </c>
      <c r="B736" s="143" t="s">
        <v>159</v>
      </c>
      <c r="C736" s="143" t="s">
        <v>574</v>
      </c>
      <c r="D736" s="144">
        <v>0.1</v>
      </c>
      <c r="E736" s="142" t="s">
        <v>450</v>
      </c>
    </row>
    <row r="737" spans="1:5" x14ac:dyDescent="0.25">
      <c r="A737" s="46">
        <v>13</v>
      </c>
      <c r="B737" s="143" t="s">
        <v>159</v>
      </c>
      <c r="C737" s="143" t="s">
        <v>447</v>
      </c>
      <c r="D737" s="144">
        <v>0.4</v>
      </c>
      <c r="E737" s="142" t="s">
        <v>450</v>
      </c>
    </row>
    <row r="738" spans="1:5" x14ac:dyDescent="0.25">
      <c r="A738" s="46">
        <v>13</v>
      </c>
      <c r="B738" s="143" t="s">
        <v>159</v>
      </c>
      <c r="C738" s="139" t="s">
        <v>575</v>
      </c>
      <c r="D738" s="144">
        <v>1.4999999999999999E-2</v>
      </c>
      <c r="E738" s="142" t="s">
        <v>458</v>
      </c>
    </row>
    <row r="739" spans="1:5" x14ac:dyDescent="0.25">
      <c r="A739" s="46">
        <v>13</v>
      </c>
      <c r="B739" s="143" t="s">
        <v>159</v>
      </c>
      <c r="C739" s="143" t="s">
        <v>498</v>
      </c>
      <c r="D739" s="144">
        <v>0.02</v>
      </c>
      <c r="E739" s="142" t="s">
        <v>458</v>
      </c>
    </row>
    <row r="740" spans="1:5" x14ac:dyDescent="0.25">
      <c r="A740" s="46">
        <v>13</v>
      </c>
      <c r="B740" s="143" t="s">
        <v>159</v>
      </c>
      <c r="C740" s="143" t="s">
        <v>451</v>
      </c>
      <c r="D740" s="144">
        <v>0.02</v>
      </c>
      <c r="E740" s="142" t="s">
        <v>450</v>
      </c>
    </row>
    <row r="741" spans="1:5" x14ac:dyDescent="0.25">
      <c r="A741" s="46">
        <v>13</v>
      </c>
      <c r="B741" s="143" t="s">
        <v>159</v>
      </c>
      <c r="C741" s="143" t="s">
        <v>487</v>
      </c>
      <c r="D741" s="144">
        <v>1E-3</v>
      </c>
      <c r="E741" s="142" t="s">
        <v>450</v>
      </c>
    </row>
    <row r="742" spans="1:5" x14ac:dyDescent="0.25">
      <c r="A742" s="46">
        <v>13</v>
      </c>
      <c r="B742" s="143" t="s">
        <v>159</v>
      </c>
      <c r="C742" s="143" t="s">
        <v>467</v>
      </c>
      <c r="D742" s="144">
        <v>2E-3</v>
      </c>
      <c r="E742" s="142" t="s">
        <v>448</v>
      </c>
    </row>
    <row r="743" spans="1:5" x14ac:dyDescent="0.25">
      <c r="A743" s="46">
        <v>13</v>
      </c>
      <c r="B743" s="143" t="s">
        <v>159</v>
      </c>
      <c r="C743" s="143" t="s">
        <v>488</v>
      </c>
      <c r="D743" s="144">
        <v>2E-3</v>
      </c>
      <c r="E743" s="142" t="s">
        <v>450</v>
      </c>
    </row>
    <row r="744" spans="1:5" x14ac:dyDescent="0.25">
      <c r="A744" s="46">
        <v>13</v>
      </c>
      <c r="B744" s="143" t="s">
        <v>159</v>
      </c>
      <c r="C744" s="143" t="s">
        <v>576</v>
      </c>
      <c r="D744" s="144">
        <v>2E-3</v>
      </c>
      <c r="E744" s="142" t="s">
        <v>450</v>
      </c>
    </row>
    <row r="745" spans="1:5" x14ac:dyDescent="0.25">
      <c r="A745" s="46">
        <v>13</v>
      </c>
      <c r="B745" s="143" t="s">
        <v>159</v>
      </c>
      <c r="C745" s="143" t="s">
        <v>577</v>
      </c>
      <c r="D745" s="144">
        <v>2E-3</v>
      </c>
      <c r="E745" s="142" t="s">
        <v>450</v>
      </c>
    </row>
    <row r="746" spans="1:5" x14ac:dyDescent="0.25">
      <c r="A746" s="46">
        <v>13</v>
      </c>
      <c r="B746" s="143" t="s">
        <v>159</v>
      </c>
      <c r="C746" s="143" t="s">
        <v>578</v>
      </c>
      <c r="D746" s="144">
        <v>1</v>
      </c>
      <c r="E746" s="142" t="s">
        <v>579</v>
      </c>
    </row>
    <row r="747" spans="1:5" x14ac:dyDescent="0.25">
      <c r="A747" s="46"/>
      <c r="B747" s="98" t="s">
        <v>402</v>
      </c>
      <c r="C747" s="89" t="s">
        <v>935</v>
      </c>
      <c r="D747" s="141">
        <v>1</v>
      </c>
      <c r="E747" s="150" t="s">
        <v>450</v>
      </c>
    </row>
    <row r="748" spans="1:5" x14ac:dyDescent="0.25">
      <c r="A748" s="46">
        <v>45</v>
      </c>
      <c r="B748" s="143" t="s">
        <v>178</v>
      </c>
      <c r="C748" s="146" t="s">
        <v>402</v>
      </c>
      <c r="D748" s="148">
        <v>0.09</v>
      </c>
      <c r="E748" s="145" t="s">
        <v>458</v>
      </c>
    </row>
    <row r="749" spans="1:5" x14ac:dyDescent="0.25">
      <c r="A749" s="46">
        <v>45</v>
      </c>
      <c r="B749" s="143" t="s">
        <v>178</v>
      </c>
      <c r="C749" s="146" t="s">
        <v>644</v>
      </c>
      <c r="D749" s="157">
        <v>0.02</v>
      </c>
      <c r="E749" s="169" t="s">
        <v>450</v>
      </c>
    </row>
    <row r="750" spans="1:5" x14ac:dyDescent="0.25">
      <c r="A750" s="46">
        <v>45</v>
      </c>
      <c r="B750" s="143" t="s">
        <v>178</v>
      </c>
      <c r="C750" s="146" t="s">
        <v>459</v>
      </c>
      <c r="D750" s="157">
        <v>0.01</v>
      </c>
      <c r="E750" s="169"/>
    </row>
    <row r="751" spans="1:5" x14ac:dyDescent="0.25">
      <c r="A751" s="46">
        <v>45</v>
      </c>
      <c r="B751" s="143" t="s">
        <v>178</v>
      </c>
      <c r="C751" s="146" t="s">
        <v>591</v>
      </c>
      <c r="D751" s="157">
        <v>0.04</v>
      </c>
      <c r="E751" s="169"/>
    </row>
    <row r="752" spans="1:5" x14ac:dyDescent="0.25">
      <c r="A752" s="46">
        <v>45</v>
      </c>
      <c r="B752" s="143" t="s">
        <v>178</v>
      </c>
      <c r="C752" s="146" t="s">
        <v>488</v>
      </c>
      <c r="D752" s="148">
        <v>4.0000000000000001E-3</v>
      </c>
      <c r="E752" s="145" t="s">
        <v>450</v>
      </c>
    </row>
    <row r="753" spans="1:5" x14ac:dyDescent="0.25">
      <c r="A753" s="46">
        <v>45</v>
      </c>
      <c r="B753" s="143" t="s">
        <v>178</v>
      </c>
      <c r="C753" s="143" t="s">
        <v>487</v>
      </c>
      <c r="D753" s="157">
        <v>1E-3</v>
      </c>
      <c r="E753" s="145" t="s">
        <v>458</v>
      </c>
    </row>
    <row r="754" spans="1:5" x14ac:dyDescent="0.25">
      <c r="A754" s="46">
        <v>45</v>
      </c>
      <c r="B754" s="143" t="s">
        <v>178</v>
      </c>
      <c r="C754" s="146" t="s">
        <v>612</v>
      </c>
      <c r="D754" s="157">
        <v>0.04</v>
      </c>
      <c r="E754" s="145" t="s">
        <v>458</v>
      </c>
    </row>
    <row r="755" spans="1:5" x14ac:dyDescent="0.25">
      <c r="A755" s="46">
        <v>45</v>
      </c>
      <c r="B755" s="143" t="s">
        <v>178</v>
      </c>
      <c r="C755" s="146" t="s">
        <v>613</v>
      </c>
      <c r="D755" s="159">
        <v>2</v>
      </c>
      <c r="E755" s="145" t="s">
        <v>579</v>
      </c>
    </row>
    <row r="756" spans="1:5" x14ac:dyDescent="0.25">
      <c r="A756" s="46">
        <v>45</v>
      </c>
      <c r="B756" s="143" t="s">
        <v>178</v>
      </c>
      <c r="C756" s="146" t="s">
        <v>645</v>
      </c>
      <c r="D756" s="157">
        <v>1E-3</v>
      </c>
      <c r="E756" s="145" t="s">
        <v>458</v>
      </c>
    </row>
    <row r="757" spans="1:5" x14ac:dyDescent="0.25">
      <c r="A757" s="46">
        <v>194</v>
      </c>
      <c r="B757" s="143" t="s">
        <v>257</v>
      </c>
      <c r="C757" s="143" t="s">
        <v>691</v>
      </c>
      <c r="D757" s="141">
        <v>0.08</v>
      </c>
      <c r="E757" s="145" t="s">
        <v>450</v>
      </c>
    </row>
    <row r="758" spans="1:5" x14ac:dyDescent="0.25">
      <c r="A758" s="46">
        <v>194</v>
      </c>
      <c r="B758" s="143" t="s">
        <v>257</v>
      </c>
      <c r="C758" s="143" t="s">
        <v>402</v>
      </c>
      <c r="D758" s="141">
        <v>0.06</v>
      </c>
      <c r="E758" s="145" t="s">
        <v>450</v>
      </c>
    </row>
    <row r="759" spans="1:5" x14ac:dyDescent="0.25">
      <c r="A759" s="46">
        <v>194</v>
      </c>
      <c r="B759" s="143" t="s">
        <v>257</v>
      </c>
      <c r="C759" s="143" t="s">
        <v>868</v>
      </c>
      <c r="D759" s="141">
        <v>0.06</v>
      </c>
      <c r="E759" s="145" t="s">
        <v>450</v>
      </c>
    </row>
    <row r="760" spans="1:5" x14ac:dyDescent="0.25">
      <c r="A760" s="46">
        <v>194</v>
      </c>
      <c r="B760" s="143" t="s">
        <v>257</v>
      </c>
      <c r="C760" s="143" t="s">
        <v>478</v>
      </c>
      <c r="D760" s="148">
        <v>3.0000000000000001E-3</v>
      </c>
      <c r="E760" s="145" t="s">
        <v>448</v>
      </c>
    </row>
    <row r="761" spans="1:5" x14ac:dyDescent="0.25">
      <c r="A761" s="46">
        <v>194</v>
      </c>
      <c r="B761" s="143" t="s">
        <v>257</v>
      </c>
      <c r="C761" s="143" t="s">
        <v>470</v>
      </c>
      <c r="D761" s="148">
        <v>2E-3</v>
      </c>
      <c r="E761" s="145" t="s">
        <v>450</v>
      </c>
    </row>
    <row r="762" spans="1:5" x14ac:dyDescent="0.25">
      <c r="A762" s="46">
        <v>194</v>
      </c>
      <c r="B762" s="143" t="s">
        <v>257</v>
      </c>
      <c r="C762" s="143" t="s">
        <v>516</v>
      </c>
      <c r="D762" s="149">
        <v>5.0000000000000001E-4</v>
      </c>
      <c r="E762" s="145" t="s">
        <v>450</v>
      </c>
    </row>
    <row r="763" spans="1:5" x14ac:dyDescent="0.25">
      <c r="A763" s="46">
        <v>193</v>
      </c>
      <c r="B763" s="143" t="s">
        <v>256</v>
      </c>
      <c r="C763" s="143" t="s">
        <v>866</v>
      </c>
      <c r="D763" s="148">
        <v>4.4999999999999998E-2</v>
      </c>
      <c r="E763" s="145" t="s">
        <v>450</v>
      </c>
    </row>
    <row r="764" spans="1:5" x14ac:dyDescent="0.25">
      <c r="A764" s="46">
        <v>193</v>
      </c>
      <c r="B764" s="143" t="s">
        <v>256</v>
      </c>
      <c r="C764" s="143" t="s">
        <v>867</v>
      </c>
      <c r="D764" s="148">
        <v>7.0000000000000001E-3</v>
      </c>
      <c r="E764" s="145" t="s">
        <v>450</v>
      </c>
    </row>
    <row r="765" spans="1:5" x14ac:dyDescent="0.25">
      <c r="A765" s="46">
        <v>193</v>
      </c>
      <c r="B765" s="143" t="s">
        <v>256</v>
      </c>
      <c r="C765" s="143" t="s">
        <v>558</v>
      </c>
      <c r="D765" s="148">
        <v>2E-3</v>
      </c>
      <c r="E765" s="145" t="s">
        <v>448</v>
      </c>
    </row>
    <row r="766" spans="1:5" x14ac:dyDescent="0.25">
      <c r="A766" s="46">
        <v>193</v>
      </c>
      <c r="B766" s="143" t="s">
        <v>256</v>
      </c>
      <c r="C766" s="143" t="s">
        <v>687</v>
      </c>
      <c r="D766" s="148">
        <v>2E-3</v>
      </c>
      <c r="E766" s="145" t="s">
        <v>450</v>
      </c>
    </row>
    <row r="767" spans="1:5" x14ac:dyDescent="0.25">
      <c r="A767" s="46">
        <v>193</v>
      </c>
      <c r="B767" s="143" t="s">
        <v>256</v>
      </c>
      <c r="C767" s="143" t="s">
        <v>546</v>
      </c>
      <c r="D767" s="148">
        <v>5.0000000000000001E-3</v>
      </c>
      <c r="E767" s="145" t="s">
        <v>450</v>
      </c>
    </row>
    <row r="768" spans="1:5" x14ac:dyDescent="0.25">
      <c r="A768" s="46">
        <v>193</v>
      </c>
      <c r="B768" s="143" t="s">
        <v>256</v>
      </c>
      <c r="C768" s="143" t="s">
        <v>461</v>
      </c>
      <c r="D768" s="148">
        <v>0.02</v>
      </c>
      <c r="E768" s="145" t="s">
        <v>450</v>
      </c>
    </row>
    <row r="769" spans="1:5" x14ac:dyDescent="0.25">
      <c r="A769" s="46">
        <v>193</v>
      </c>
      <c r="B769" s="143" t="s">
        <v>256</v>
      </c>
      <c r="C769" s="143" t="s">
        <v>478</v>
      </c>
      <c r="D769" s="148">
        <v>3.0000000000000001E-3</v>
      </c>
      <c r="E769" s="145" t="s">
        <v>448</v>
      </c>
    </row>
    <row r="770" spans="1:5" x14ac:dyDescent="0.25">
      <c r="A770" s="46">
        <v>193</v>
      </c>
      <c r="B770" s="143" t="s">
        <v>256</v>
      </c>
      <c r="C770" s="143" t="s">
        <v>470</v>
      </c>
      <c r="D770" s="148">
        <v>2E-3</v>
      </c>
      <c r="E770" s="145" t="s">
        <v>450</v>
      </c>
    </row>
    <row r="771" spans="1:5" x14ac:dyDescent="0.25">
      <c r="A771" s="46">
        <v>193</v>
      </c>
      <c r="B771" s="143" t="s">
        <v>256</v>
      </c>
      <c r="C771" s="143" t="s">
        <v>516</v>
      </c>
      <c r="D771" s="148">
        <v>1E-3</v>
      </c>
      <c r="E771" s="145" t="s">
        <v>450</v>
      </c>
    </row>
    <row r="772" spans="1:5" x14ac:dyDescent="0.25">
      <c r="A772" s="46">
        <v>193</v>
      </c>
      <c r="B772" s="143" t="s">
        <v>256</v>
      </c>
      <c r="C772" s="143" t="s">
        <v>453</v>
      </c>
      <c r="D772" s="148">
        <v>6.0000000000000001E-3</v>
      </c>
      <c r="E772" s="145" t="s">
        <v>450</v>
      </c>
    </row>
    <row r="773" spans="1:5" x14ac:dyDescent="0.25">
      <c r="A773" s="46">
        <v>91</v>
      </c>
      <c r="B773" s="143" t="s">
        <v>203</v>
      </c>
      <c r="C773" s="89" t="s">
        <v>677</v>
      </c>
      <c r="D773" s="144">
        <v>0.03</v>
      </c>
      <c r="E773" s="142" t="s">
        <v>450</v>
      </c>
    </row>
    <row r="774" spans="1:5" x14ac:dyDescent="0.25">
      <c r="A774" s="46">
        <v>91</v>
      </c>
      <c r="B774" s="143" t="s">
        <v>203</v>
      </c>
      <c r="C774" s="143" t="s">
        <v>449</v>
      </c>
      <c r="D774" s="144">
        <v>5.0000000000000001E-3</v>
      </c>
      <c r="E774" s="142" t="s">
        <v>450</v>
      </c>
    </row>
    <row r="775" spans="1:5" x14ac:dyDescent="0.25">
      <c r="A775" s="46">
        <v>91</v>
      </c>
      <c r="B775" s="143" t="s">
        <v>203</v>
      </c>
      <c r="C775" s="143" t="s">
        <v>523</v>
      </c>
      <c r="D775" s="144">
        <v>3.5000000000000003E-2</v>
      </c>
      <c r="E775" s="142" t="s">
        <v>450</v>
      </c>
    </row>
    <row r="776" spans="1:5" x14ac:dyDescent="0.25">
      <c r="A776" s="46">
        <v>91</v>
      </c>
      <c r="B776" s="143" t="s">
        <v>203</v>
      </c>
      <c r="C776" s="143" t="s">
        <v>452</v>
      </c>
      <c r="D776" s="144">
        <v>0.13</v>
      </c>
      <c r="E776" s="142" t="s">
        <v>450</v>
      </c>
    </row>
    <row r="777" spans="1:5" x14ac:dyDescent="0.25">
      <c r="A777" s="46">
        <v>91</v>
      </c>
      <c r="B777" s="143" t="s">
        <v>203</v>
      </c>
      <c r="C777" s="156" t="s">
        <v>710</v>
      </c>
      <c r="D777" s="144">
        <v>0.15</v>
      </c>
      <c r="E777" s="142" t="s">
        <v>448</v>
      </c>
    </row>
    <row r="778" spans="1:5" x14ac:dyDescent="0.25">
      <c r="A778" s="46">
        <v>91</v>
      </c>
      <c r="B778" s="143" t="s">
        <v>203</v>
      </c>
      <c r="C778" s="89" t="s">
        <v>461</v>
      </c>
      <c r="D778" s="173">
        <v>0.03</v>
      </c>
      <c r="E778" s="142" t="s">
        <v>450</v>
      </c>
    </row>
    <row r="779" spans="1:5" x14ac:dyDescent="0.25">
      <c r="A779" s="46">
        <v>91</v>
      </c>
      <c r="B779" s="143" t="s">
        <v>203</v>
      </c>
      <c r="C779" s="143" t="s">
        <v>453</v>
      </c>
      <c r="D779" s="144">
        <v>6.0000000000000001E-3</v>
      </c>
      <c r="E779" s="142" t="s">
        <v>450</v>
      </c>
    </row>
    <row r="780" spans="1:5" x14ac:dyDescent="0.25">
      <c r="A780" s="46">
        <v>91</v>
      </c>
      <c r="B780" s="143" t="s">
        <v>203</v>
      </c>
      <c r="C780" s="143" t="s">
        <v>694</v>
      </c>
      <c r="D780" s="144">
        <v>0.01</v>
      </c>
      <c r="E780" s="142" t="s">
        <v>450</v>
      </c>
    </row>
    <row r="781" spans="1:5" x14ac:dyDescent="0.25">
      <c r="A781" s="46">
        <v>53</v>
      </c>
      <c r="B781" s="143" t="s">
        <v>183</v>
      </c>
      <c r="C781" s="146" t="s">
        <v>528</v>
      </c>
      <c r="D781" s="148">
        <v>0.2</v>
      </c>
      <c r="E781" s="145" t="s">
        <v>458</v>
      </c>
    </row>
    <row r="782" spans="1:5" x14ac:dyDescent="0.25">
      <c r="A782" s="46">
        <v>53</v>
      </c>
      <c r="B782" s="143" t="s">
        <v>183</v>
      </c>
      <c r="C782" s="146" t="s">
        <v>509</v>
      </c>
      <c r="D782" s="148">
        <v>1E-3</v>
      </c>
      <c r="E782" s="145" t="s">
        <v>458</v>
      </c>
    </row>
    <row r="783" spans="1:5" x14ac:dyDescent="0.25">
      <c r="A783" s="46">
        <v>53</v>
      </c>
      <c r="B783" s="143" t="s">
        <v>183</v>
      </c>
      <c r="C783" s="146" t="s">
        <v>527</v>
      </c>
      <c r="D783" s="148">
        <v>1E-3</v>
      </c>
      <c r="E783" s="145" t="s">
        <v>458</v>
      </c>
    </row>
    <row r="784" spans="1:5" x14ac:dyDescent="0.25">
      <c r="A784" s="46">
        <v>53</v>
      </c>
      <c r="B784" s="143" t="s">
        <v>183</v>
      </c>
      <c r="C784" s="146" t="s">
        <v>493</v>
      </c>
      <c r="D784" s="148">
        <v>1E-4</v>
      </c>
      <c r="E784" s="145" t="s">
        <v>458</v>
      </c>
    </row>
    <row r="785" spans="1:5" x14ac:dyDescent="0.25">
      <c r="A785" s="46">
        <v>53</v>
      </c>
      <c r="B785" s="143" t="s">
        <v>183</v>
      </c>
      <c r="C785" s="146" t="s">
        <v>480</v>
      </c>
      <c r="D785" s="148">
        <v>1E-3</v>
      </c>
      <c r="E785" s="145" t="s">
        <v>458</v>
      </c>
    </row>
    <row r="786" spans="1:5" x14ac:dyDescent="0.25">
      <c r="A786" s="46">
        <v>53</v>
      </c>
      <c r="B786" s="143" t="s">
        <v>183</v>
      </c>
      <c r="C786" s="146" t="s">
        <v>659</v>
      </c>
      <c r="D786" s="148">
        <v>1E-3</v>
      </c>
      <c r="E786" s="145"/>
    </row>
    <row r="787" spans="1:5" x14ac:dyDescent="0.25">
      <c r="A787" s="46">
        <v>53</v>
      </c>
      <c r="B787" s="143" t="s">
        <v>183</v>
      </c>
      <c r="C787" s="146" t="s">
        <v>572</v>
      </c>
      <c r="D787" s="148">
        <v>0.02</v>
      </c>
      <c r="E787" s="145" t="s">
        <v>450</v>
      </c>
    </row>
    <row r="788" spans="1:5" x14ac:dyDescent="0.25">
      <c r="A788" s="46">
        <v>53</v>
      </c>
      <c r="B788" s="143" t="s">
        <v>183</v>
      </c>
      <c r="C788" s="143" t="s">
        <v>620</v>
      </c>
      <c r="D788" s="148">
        <v>1.4999999999999999E-2</v>
      </c>
      <c r="E788" s="145" t="s">
        <v>450</v>
      </c>
    </row>
    <row r="789" spans="1:5" x14ac:dyDescent="0.25">
      <c r="A789" s="46">
        <v>53</v>
      </c>
      <c r="B789" s="143" t="s">
        <v>183</v>
      </c>
      <c r="C789" s="146" t="s">
        <v>619</v>
      </c>
      <c r="D789" s="148">
        <v>1.4999999999999999E-2</v>
      </c>
      <c r="E789" s="145" t="s">
        <v>450</v>
      </c>
    </row>
    <row r="790" spans="1:5" x14ac:dyDescent="0.25">
      <c r="A790" s="46">
        <v>53</v>
      </c>
      <c r="B790" s="143" t="s">
        <v>183</v>
      </c>
      <c r="C790" s="146" t="s">
        <v>618</v>
      </c>
      <c r="D790" s="148">
        <v>1.4999999999999999E-2</v>
      </c>
      <c r="E790" s="145" t="s">
        <v>450</v>
      </c>
    </row>
    <row r="791" spans="1:5" x14ac:dyDescent="0.25">
      <c r="A791" s="46">
        <v>53</v>
      </c>
      <c r="B791" s="143" t="s">
        <v>183</v>
      </c>
      <c r="C791" s="146" t="s">
        <v>488</v>
      </c>
      <c r="D791" s="148">
        <v>2E-3</v>
      </c>
      <c r="E791" s="145" t="s">
        <v>458</v>
      </c>
    </row>
    <row r="792" spans="1:5" x14ac:dyDescent="0.25">
      <c r="A792" s="46">
        <v>53</v>
      </c>
      <c r="B792" s="143" t="s">
        <v>183</v>
      </c>
      <c r="C792" s="143" t="s">
        <v>487</v>
      </c>
      <c r="D792" s="149">
        <v>5.0000000000000001E-4</v>
      </c>
      <c r="E792" s="145" t="s">
        <v>458</v>
      </c>
    </row>
    <row r="793" spans="1:5" x14ac:dyDescent="0.25">
      <c r="A793" s="46">
        <v>101</v>
      </c>
      <c r="B793" s="143" t="s">
        <v>206</v>
      </c>
      <c r="C793" s="89" t="s">
        <v>717</v>
      </c>
      <c r="D793" s="144">
        <v>0.04</v>
      </c>
      <c r="E793" s="142" t="s">
        <v>450</v>
      </c>
    </row>
    <row r="794" spans="1:5" x14ac:dyDescent="0.25">
      <c r="A794" s="46">
        <v>101</v>
      </c>
      <c r="B794" s="143" t="s">
        <v>206</v>
      </c>
      <c r="C794" s="143" t="s">
        <v>718</v>
      </c>
      <c r="D794" s="144">
        <v>0.15</v>
      </c>
      <c r="E794" s="142" t="s">
        <v>448</v>
      </c>
    </row>
    <row r="795" spans="1:5" x14ac:dyDescent="0.25">
      <c r="A795" s="46">
        <v>101</v>
      </c>
      <c r="B795" s="143" t="s">
        <v>206</v>
      </c>
      <c r="C795" s="143" t="s">
        <v>663</v>
      </c>
      <c r="D795" s="144">
        <v>0.1</v>
      </c>
      <c r="E795" s="142" t="s">
        <v>450</v>
      </c>
    </row>
    <row r="796" spans="1:5" x14ac:dyDescent="0.25">
      <c r="A796" s="46">
        <v>101</v>
      </c>
      <c r="B796" s="143" t="s">
        <v>206</v>
      </c>
      <c r="C796" s="143" t="s">
        <v>719</v>
      </c>
      <c r="D796" s="144">
        <v>0.14000000000000001</v>
      </c>
      <c r="E796" s="142" t="s">
        <v>450</v>
      </c>
    </row>
    <row r="797" spans="1:5" x14ac:dyDescent="0.25">
      <c r="A797" s="46">
        <v>101</v>
      </c>
      <c r="B797" s="143" t="s">
        <v>206</v>
      </c>
      <c r="C797" s="143" t="s">
        <v>720</v>
      </c>
      <c r="D797" s="144">
        <v>3.0000000000000001E-3</v>
      </c>
      <c r="E797" s="142" t="s">
        <v>450</v>
      </c>
    </row>
    <row r="798" spans="1:5" x14ac:dyDescent="0.25">
      <c r="A798" s="46">
        <v>282</v>
      </c>
      <c r="B798" s="143" t="s">
        <v>313</v>
      </c>
      <c r="C798" s="146" t="s">
        <v>950</v>
      </c>
      <c r="D798" s="141">
        <v>0.08</v>
      </c>
      <c r="E798" s="141" t="s">
        <v>458</v>
      </c>
    </row>
    <row r="799" spans="1:5" x14ac:dyDescent="0.25">
      <c r="A799" s="46">
        <v>282</v>
      </c>
      <c r="B799" s="143" t="s">
        <v>313</v>
      </c>
      <c r="C799" s="89" t="s">
        <v>954</v>
      </c>
      <c r="D799" s="141">
        <v>0.03</v>
      </c>
      <c r="E799" s="141" t="s">
        <v>448</v>
      </c>
    </row>
    <row r="800" spans="1:5" x14ac:dyDescent="0.25">
      <c r="A800" s="46">
        <v>282</v>
      </c>
      <c r="B800" s="143" t="s">
        <v>313</v>
      </c>
      <c r="C800" s="89" t="s">
        <v>955</v>
      </c>
      <c r="D800" s="141">
        <v>1</v>
      </c>
      <c r="E800" s="145" t="s">
        <v>749</v>
      </c>
    </row>
    <row r="801" spans="1:5" x14ac:dyDescent="0.25">
      <c r="A801" s="46">
        <v>283</v>
      </c>
      <c r="B801" s="143" t="s">
        <v>314</v>
      </c>
      <c r="C801" s="89" t="s">
        <v>908</v>
      </c>
      <c r="D801" s="141">
        <v>5.5E-2</v>
      </c>
      <c r="E801" s="89" t="s">
        <v>458</v>
      </c>
    </row>
    <row r="802" spans="1:5" x14ac:dyDescent="0.25">
      <c r="A802" s="46">
        <v>283</v>
      </c>
      <c r="B802" s="143" t="s">
        <v>314</v>
      </c>
      <c r="C802" s="146" t="s">
        <v>612</v>
      </c>
      <c r="D802" s="141">
        <v>0.03</v>
      </c>
      <c r="E802" s="89" t="s">
        <v>458</v>
      </c>
    </row>
    <row r="803" spans="1:5" x14ac:dyDescent="0.25">
      <c r="A803" s="46">
        <v>283</v>
      </c>
      <c r="B803" s="143" t="s">
        <v>314</v>
      </c>
      <c r="C803" s="165" t="s">
        <v>977</v>
      </c>
      <c r="D803" s="141">
        <v>0.05</v>
      </c>
      <c r="E803" s="145" t="s">
        <v>448</v>
      </c>
    </row>
    <row r="804" spans="1:5" x14ac:dyDescent="0.25">
      <c r="A804" s="46">
        <v>283</v>
      </c>
      <c r="B804" s="143" t="s">
        <v>314</v>
      </c>
      <c r="C804" s="165" t="s">
        <v>583</v>
      </c>
      <c r="D804" s="141">
        <v>4.0000000000000001E-3</v>
      </c>
      <c r="E804" s="145" t="s">
        <v>458</v>
      </c>
    </row>
    <row r="805" spans="1:5" x14ac:dyDescent="0.25">
      <c r="A805" s="46">
        <v>283</v>
      </c>
      <c r="B805" s="143" t="s">
        <v>314</v>
      </c>
      <c r="C805" s="165" t="s">
        <v>575</v>
      </c>
      <c r="D805" s="141">
        <v>4.0000000000000001E-3</v>
      </c>
      <c r="E805" s="89" t="s">
        <v>450</v>
      </c>
    </row>
    <row r="806" spans="1:5" x14ac:dyDescent="0.25">
      <c r="A806" s="46">
        <v>283</v>
      </c>
      <c r="B806" s="143" t="s">
        <v>314</v>
      </c>
      <c r="C806" s="165" t="s">
        <v>726</v>
      </c>
      <c r="D806" s="141">
        <v>4.0000000000000001E-3</v>
      </c>
      <c r="E806" s="89" t="s">
        <v>450</v>
      </c>
    </row>
    <row r="807" spans="1:5" x14ac:dyDescent="0.25">
      <c r="A807" s="46">
        <v>283</v>
      </c>
      <c r="B807" s="143" t="s">
        <v>314</v>
      </c>
      <c r="C807" s="89" t="s">
        <v>470</v>
      </c>
      <c r="D807" s="141">
        <v>1E-3</v>
      </c>
      <c r="E807" s="89" t="s">
        <v>458</v>
      </c>
    </row>
    <row r="808" spans="1:5" x14ac:dyDescent="0.25">
      <c r="A808" s="46">
        <v>201</v>
      </c>
      <c r="B808" s="143" t="s">
        <v>262</v>
      </c>
      <c r="C808" s="143" t="s">
        <v>878</v>
      </c>
      <c r="D808" s="148">
        <v>0.2</v>
      </c>
      <c r="E808" s="145" t="s">
        <v>450</v>
      </c>
    </row>
    <row r="809" spans="1:5" x14ac:dyDescent="0.25">
      <c r="A809" s="46">
        <v>201</v>
      </c>
      <c r="B809" s="143" t="s">
        <v>262</v>
      </c>
      <c r="C809" s="143" t="s">
        <v>507</v>
      </c>
      <c r="D809" s="148">
        <v>4.4999999999999998E-2</v>
      </c>
      <c r="E809" s="145" t="s">
        <v>448</v>
      </c>
    </row>
    <row r="810" spans="1:5" x14ac:dyDescent="0.25">
      <c r="A810" s="46">
        <v>201</v>
      </c>
      <c r="B810" s="143" t="s">
        <v>262</v>
      </c>
      <c r="C810" s="143" t="s">
        <v>470</v>
      </c>
      <c r="D810" s="148">
        <v>1E-3</v>
      </c>
      <c r="E810" s="145" t="s">
        <v>450</v>
      </c>
    </row>
    <row r="811" spans="1:5" x14ac:dyDescent="0.25">
      <c r="A811" s="46">
        <v>111</v>
      </c>
      <c r="B811" s="143" t="s">
        <v>208</v>
      </c>
      <c r="C811" s="89" t="s">
        <v>522</v>
      </c>
      <c r="D811" s="141">
        <v>0.2</v>
      </c>
      <c r="E811" s="141" t="s">
        <v>450</v>
      </c>
    </row>
    <row r="812" spans="1:5" x14ac:dyDescent="0.25">
      <c r="A812" s="46">
        <v>111</v>
      </c>
      <c r="B812" s="143" t="s">
        <v>208</v>
      </c>
      <c r="C812" s="89" t="s">
        <v>736</v>
      </c>
      <c r="D812" s="141">
        <v>0.05</v>
      </c>
      <c r="E812" s="141" t="s">
        <v>450</v>
      </c>
    </row>
    <row r="813" spans="1:5" x14ac:dyDescent="0.25">
      <c r="A813" s="46">
        <v>111</v>
      </c>
      <c r="B813" s="143" t="s">
        <v>208</v>
      </c>
      <c r="C813" s="143" t="s">
        <v>124</v>
      </c>
      <c r="D813" s="141">
        <v>0.1</v>
      </c>
      <c r="E813" s="141" t="s">
        <v>450</v>
      </c>
    </row>
    <row r="814" spans="1:5" x14ac:dyDescent="0.25">
      <c r="A814" s="46">
        <v>111</v>
      </c>
      <c r="B814" s="143" t="s">
        <v>208</v>
      </c>
      <c r="C814" s="89" t="s">
        <v>453</v>
      </c>
      <c r="D814" s="141">
        <v>0.05</v>
      </c>
      <c r="E814" s="141" t="s">
        <v>450</v>
      </c>
    </row>
    <row r="815" spans="1:5" x14ac:dyDescent="0.25">
      <c r="A815" s="46">
        <v>111</v>
      </c>
      <c r="B815" s="143" t="s">
        <v>208</v>
      </c>
      <c r="C815" s="89" t="s">
        <v>746</v>
      </c>
      <c r="D815" s="141">
        <v>0.05</v>
      </c>
      <c r="E815" s="141" t="s">
        <v>450</v>
      </c>
    </row>
    <row r="816" spans="1:5" x14ac:dyDescent="0.25">
      <c r="A816" s="46">
        <v>111</v>
      </c>
      <c r="B816" s="143" t="s">
        <v>208</v>
      </c>
      <c r="C816" s="89" t="s">
        <v>747</v>
      </c>
      <c r="D816" s="141">
        <v>2.5000000000000001E-2</v>
      </c>
      <c r="E816" s="141" t="s">
        <v>450</v>
      </c>
    </row>
    <row r="817" spans="1:5" x14ac:dyDescent="0.25">
      <c r="A817" s="46">
        <v>111</v>
      </c>
      <c r="B817" s="143" t="s">
        <v>208</v>
      </c>
      <c r="C817" s="89" t="s">
        <v>481</v>
      </c>
      <c r="D817" s="141">
        <v>0.01</v>
      </c>
      <c r="E817" s="141" t="s">
        <v>450</v>
      </c>
    </row>
    <row r="818" spans="1:5" x14ac:dyDescent="0.25">
      <c r="A818" s="46">
        <v>111</v>
      </c>
      <c r="B818" s="143" t="s">
        <v>208</v>
      </c>
      <c r="C818" s="89" t="s">
        <v>748</v>
      </c>
      <c r="D818" s="141">
        <v>0.05</v>
      </c>
      <c r="E818" s="141" t="s">
        <v>450</v>
      </c>
    </row>
    <row r="819" spans="1:5" x14ac:dyDescent="0.25">
      <c r="A819" s="46">
        <v>111</v>
      </c>
      <c r="B819" s="143" t="s">
        <v>208</v>
      </c>
      <c r="C819" s="167" t="s">
        <v>556</v>
      </c>
      <c r="D819" s="141">
        <v>0.1</v>
      </c>
      <c r="E819" s="145" t="s">
        <v>749</v>
      </c>
    </row>
    <row r="820" spans="1:5" x14ac:dyDescent="0.25">
      <c r="A820" s="46">
        <v>111</v>
      </c>
      <c r="B820" s="143" t="s">
        <v>208</v>
      </c>
      <c r="C820" s="143" t="s">
        <v>663</v>
      </c>
      <c r="D820" s="141">
        <v>1</v>
      </c>
      <c r="E820" s="145" t="s">
        <v>749</v>
      </c>
    </row>
    <row r="821" spans="1:5" x14ac:dyDescent="0.25">
      <c r="A821" s="46">
        <v>111</v>
      </c>
      <c r="B821" s="143" t="s">
        <v>208</v>
      </c>
      <c r="C821" s="89" t="s">
        <v>750</v>
      </c>
      <c r="D821" s="141">
        <v>0.1</v>
      </c>
      <c r="E821" s="141" t="s">
        <v>450</v>
      </c>
    </row>
    <row r="822" spans="1:5" x14ac:dyDescent="0.25">
      <c r="A822" s="46">
        <v>111</v>
      </c>
      <c r="B822" s="143" t="s">
        <v>208</v>
      </c>
      <c r="C822" s="89" t="s">
        <v>572</v>
      </c>
      <c r="D822" s="141">
        <v>0.01</v>
      </c>
      <c r="E822" s="141" t="s">
        <v>450</v>
      </c>
    </row>
    <row r="823" spans="1:5" x14ac:dyDescent="0.25">
      <c r="A823" s="46">
        <v>105</v>
      </c>
      <c r="B823" s="143" t="s">
        <v>101</v>
      </c>
      <c r="C823" s="89" t="s">
        <v>625</v>
      </c>
      <c r="D823" s="141">
        <v>2</v>
      </c>
      <c r="E823" s="145" t="s">
        <v>749</v>
      </c>
    </row>
    <row r="824" spans="1:5" x14ac:dyDescent="0.25">
      <c r="A824" s="46">
        <v>105</v>
      </c>
      <c r="B824" s="143" t="s">
        <v>101</v>
      </c>
      <c r="C824" s="89" t="s">
        <v>741</v>
      </c>
      <c r="D824" s="141">
        <v>0.01</v>
      </c>
      <c r="E824" s="141" t="s">
        <v>450</v>
      </c>
    </row>
    <row r="825" spans="1:5" x14ac:dyDescent="0.25">
      <c r="A825" s="46">
        <v>105</v>
      </c>
      <c r="B825" s="143" t="s">
        <v>101</v>
      </c>
      <c r="C825" s="89" t="s">
        <v>703</v>
      </c>
      <c r="D825" s="141">
        <v>0.02</v>
      </c>
      <c r="E825" s="141" t="s">
        <v>450</v>
      </c>
    </row>
    <row r="826" spans="1:5" x14ac:dyDescent="0.25">
      <c r="A826" s="46">
        <v>105</v>
      </c>
      <c r="B826" s="143" t="s">
        <v>101</v>
      </c>
      <c r="C826" s="89" t="s">
        <v>734</v>
      </c>
      <c r="D826" s="141">
        <v>0.02</v>
      </c>
      <c r="E826" s="141" t="s">
        <v>458</v>
      </c>
    </row>
    <row r="827" spans="1:5" x14ac:dyDescent="0.25">
      <c r="A827" s="46">
        <v>105</v>
      </c>
      <c r="B827" s="143" t="s">
        <v>101</v>
      </c>
      <c r="C827" s="89" t="s">
        <v>119</v>
      </c>
      <c r="D827" s="141">
        <v>0.02</v>
      </c>
      <c r="E827" s="141" t="s">
        <v>458</v>
      </c>
    </row>
    <row r="828" spans="1:5" x14ac:dyDescent="0.25">
      <c r="A828" s="46">
        <v>105</v>
      </c>
      <c r="B828" s="143" t="s">
        <v>101</v>
      </c>
      <c r="C828" s="89" t="s">
        <v>657</v>
      </c>
      <c r="D828" s="141">
        <v>0.02</v>
      </c>
      <c r="E828" s="141" t="s">
        <v>450</v>
      </c>
    </row>
    <row r="829" spans="1:5" x14ac:dyDescent="0.25">
      <c r="A829" s="46">
        <v>105</v>
      </c>
      <c r="B829" s="143" t="s">
        <v>101</v>
      </c>
      <c r="C829" s="89" t="s">
        <v>742</v>
      </c>
      <c r="D829" s="141">
        <v>0.02</v>
      </c>
      <c r="E829" s="141" t="s">
        <v>450</v>
      </c>
    </row>
    <row r="830" spans="1:5" x14ac:dyDescent="0.25">
      <c r="A830" s="46">
        <v>105</v>
      </c>
      <c r="B830" s="143" t="s">
        <v>101</v>
      </c>
      <c r="C830" s="89" t="s">
        <v>743</v>
      </c>
      <c r="D830" s="141">
        <v>0.02</v>
      </c>
      <c r="E830" s="141" t="s">
        <v>450</v>
      </c>
    </row>
    <row r="831" spans="1:5" x14ac:dyDescent="0.25">
      <c r="A831" s="46">
        <v>105</v>
      </c>
      <c r="B831" s="143" t="s">
        <v>101</v>
      </c>
      <c r="C831" s="89" t="s">
        <v>744</v>
      </c>
      <c r="D831" s="141">
        <v>0.02</v>
      </c>
      <c r="E831" s="141" t="s">
        <v>450</v>
      </c>
    </row>
    <row r="832" spans="1:5" x14ac:dyDescent="0.25">
      <c r="A832" s="46">
        <v>105</v>
      </c>
      <c r="B832" s="143" t="s">
        <v>101</v>
      </c>
      <c r="C832" s="89" t="s">
        <v>656</v>
      </c>
      <c r="D832" s="141">
        <v>1E-3</v>
      </c>
      <c r="E832" s="141" t="s">
        <v>450</v>
      </c>
    </row>
    <row r="833" spans="1:5" x14ac:dyDescent="0.25">
      <c r="A833" s="46">
        <v>105</v>
      </c>
      <c r="B833" s="143" t="s">
        <v>101</v>
      </c>
      <c r="C833" s="89" t="s">
        <v>745</v>
      </c>
      <c r="D833" s="141">
        <v>2E-3</v>
      </c>
      <c r="E833" s="141" t="s">
        <v>450</v>
      </c>
    </row>
    <row r="834" spans="1:5" x14ac:dyDescent="0.25">
      <c r="A834" s="46">
        <v>105</v>
      </c>
      <c r="B834" s="143" t="s">
        <v>101</v>
      </c>
      <c r="C834" s="89" t="s">
        <v>327</v>
      </c>
      <c r="D834" s="141">
        <v>1.4999999999999999E-2</v>
      </c>
      <c r="E834" s="141" t="s">
        <v>450</v>
      </c>
    </row>
    <row r="835" spans="1:5" x14ac:dyDescent="0.25">
      <c r="A835" s="46">
        <v>105</v>
      </c>
      <c r="B835" s="143" t="s">
        <v>101</v>
      </c>
      <c r="C835" s="89" t="s">
        <v>694</v>
      </c>
      <c r="D835" s="141">
        <v>2E-3</v>
      </c>
      <c r="E835" s="141" t="s">
        <v>450</v>
      </c>
    </row>
    <row r="836" spans="1:5" x14ac:dyDescent="0.25">
      <c r="A836" s="46">
        <v>33</v>
      </c>
      <c r="B836" s="143" t="s">
        <v>170</v>
      </c>
      <c r="C836" s="146" t="s">
        <v>457</v>
      </c>
      <c r="D836" s="148">
        <v>0.16</v>
      </c>
      <c r="E836" s="145" t="s">
        <v>458</v>
      </c>
    </row>
    <row r="837" spans="1:5" x14ac:dyDescent="0.25">
      <c r="A837" s="46">
        <v>33</v>
      </c>
      <c r="B837" s="143" t="s">
        <v>170</v>
      </c>
      <c r="C837" s="146" t="s">
        <v>459</v>
      </c>
      <c r="D837" s="148">
        <v>0.03</v>
      </c>
      <c r="E837" s="145" t="s">
        <v>458</v>
      </c>
    </row>
    <row r="838" spans="1:5" x14ac:dyDescent="0.25">
      <c r="A838" s="46">
        <v>33</v>
      </c>
      <c r="B838" s="143" t="s">
        <v>170</v>
      </c>
      <c r="C838" s="146" t="s">
        <v>460</v>
      </c>
      <c r="D838" s="148">
        <v>0.01</v>
      </c>
      <c r="E838" s="145" t="s">
        <v>458</v>
      </c>
    </row>
    <row r="839" spans="1:5" x14ac:dyDescent="0.25">
      <c r="A839" s="46">
        <v>33</v>
      </c>
      <c r="B839" s="143" t="s">
        <v>170</v>
      </c>
      <c r="C839" s="143" t="s">
        <v>461</v>
      </c>
      <c r="D839" s="148">
        <v>0.05</v>
      </c>
      <c r="E839" s="145" t="s">
        <v>458</v>
      </c>
    </row>
    <row r="840" spans="1:5" x14ac:dyDescent="0.25">
      <c r="A840" s="46">
        <v>33</v>
      </c>
      <c r="B840" s="143" t="s">
        <v>170</v>
      </c>
      <c r="C840" s="146" t="s">
        <v>470</v>
      </c>
      <c r="D840" s="148">
        <v>3.0000000000000001E-3</v>
      </c>
      <c r="E840" s="145" t="s">
        <v>458</v>
      </c>
    </row>
    <row r="841" spans="1:5" x14ac:dyDescent="0.25">
      <c r="A841" s="46">
        <v>202</v>
      </c>
      <c r="B841" s="143" t="s">
        <v>170</v>
      </c>
      <c r="C841" s="143" t="s">
        <v>879</v>
      </c>
      <c r="D841" s="148">
        <v>0.27</v>
      </c>
      <c r="E841" s="145" t="s">
        <v>450</v>
      </c>
    </row>
    <row r="842" spans="1:5" x14ac:dyDescent="0.25">
      <c r="A842" s="46">
        <v>202</v>
      </c>
      <c r="B842" s="143" t="s">
        <v>170</v>
      </c>
      <c r="C842" s="143" t="s">
        <v>527</v>
      </c>
      <c r="D842" s="148">
        <v>0.01</v>
      </c>
      <c r="E842" s="145" t="s">
        <v>450</v>
      </c>
    </row>
    <row r="843" spans="1:5" x14ac:dyDescent="0.25">
      <c r="A843" s="46">
        <v>202</v>
      </c>
      <c r="B843" s="143" t="s">
        <v>170</v>
      </c>
      <c r="C843" s="143" t="s">
        <v>498</v>
      </c>
      <c r="D843" s="148">
        <v>0.01</v>
      </c>
      <c r="E843" s="145" t="s">
        <v>450</v>
      </c>
    </row>
    <row r="844" spans="1:5" x14ac:dyDescent="0.25">
      <c r="A844" s="46">
        <v>202</v>
      </c>
      <c r="B844" s="143" t="s">
        <v>170</v>
      </c>
      <c r="C844" s="143" t="s">
        <v>493</v>
      </c>
      <c r="D844" s="149">
        <v>5.0000000000000001E-4</v>
      </c>
      <c r="E844" s="145" t="s">
        <v>450</v>
      </c>
    </row>
    <row r="845" spans="1:5" x14ac:dyDescent="0.25">
      <c r="A845" s="46">
        <v>202</v>
      </c>
      <c r="B845" s="143" t="s">
        <v>170</v>
      </c>
      <c r="C845" s="143" t="s">
        <v>624</v>
      </c>
      <c r="D845" s="149">
        <v>5.0000000000000001E-4</v>
      </c>
      <c r="E845" s="145" t="s">
        <v>450</v>
      </c>
    </row>
    <row r="846" spans="1:5" x14ac:dyDescent="0.25">
      <c r="A846" s="46">
        <v>202</v>
      </c>
      <c r="B846" s="143" t="s">
        <v>170</v>
      </c>
      <c r="C846" s="143" t="s">
        <v>495</v>
      </c>
      <c r="D846" s="149">
        <v>5.0000000000000001E-4</v>
      </c>
      <c r="E846" s="145" t="s">
        <v>450</v>
      </c>
    </row>
    <row r="847" spans="1:5" x14ac:dyDescent="0.25">
      <c r="A847" s="46">
        <v>202</v>
      </c>
      <c r="B847" s="143" t="s">
        <v>170</v>
      </c>
      <c r="C847" s="143" t="s">
        <v>546</v>
      </c>
      <c r="D847" s="148">
        <v>2E-3</v>
      </c>
      <c r="E847" s="145" t="s">
        <v>450</v>
      </c>
    </row>
    <row r="848" spans="1:5" x14ac:dyDescent="0.25">
      <c r="A848" s="46">
        <v>202</v>
      </c>
      <c r="B848" s="143" t="s">
        <v>170</v>
      </c>
      <c r="C848" s="146" t="s">
        <v>618</v>
      </c>
      <c r="D848" s="148">
        <v>0.05</v>
      </c>
      <c r="E848" s="145" t="s">
        <v>450</v>
      </c>
    </row>
    <row r="849" spans="1:5" x14ac:dyDescent="0.25">
      <c r="A849" s="46">
        <v>202</v>
      </c>
      <c r="B849" s="143" t="s">
        <v>170</v>
      </c>
      <c r="C849" s="146" t="s">
        <v>619</v>
      </c>
      <c r="D849" s="148">
        <v>0.02</v>
      </c>
      <c r="E849" s="145" t="s">
        <v>450</v>
      </c>
    </row>
    <row r="850" spans="1:5" x14ac:dyDescent="0.25">
      <c r="A850" s="46">
        <v>202</v>
      </c>
      <c r="B850" s="143" t="s">
        <v>170</v>
      </c>
      <c r="C850" s="143" t="s">
        <v>620</v>
      </c>
      <c r="D850" s="148">
        <v>0.02</v>
      </c>
      <c r="E850" s="145" t="s">
        <v>450</v>
      </c>
    </row>
    <row r="851" spans="1:5" x14ac:dyDescent="0.25">
      <c r="A851" s="46">
        <v>202</v>
      </c>
      <c r="B851" s="143" t="s">
        <v>170</v>
      </c>
      <c r="C851" s="143" t="s">
        <v>470</v>
      </c>
      <c r="D851" s="148">
        <v>4.0000000000000001E-3</v>
      </c>
      <c r="E851" s="145" t="s">
        <v>450</v>
      </c>
    </row>
    <row r="852" spans="1:5" x14ac:dyDescent="0.25">
      <c r="A852" s="46">
        <v>202</v>
      </c>
      <c r="B852" s="143" t="s">
        <v>170</v>
      </c>
      <c r="C852" s="143" t="s">
        <v>516</v>
      </c>
      <c r="D852" s="148">
        <v>1E-3</v>
      </c>
      <c r="E852" s="145" t="s">
        <v>450</v>
      </c>
    </row>
    <row r="853" spans="1:5" x14ac:dyDescent="0.25">
      <c r="A853" s="46">
        <v>202</v>
      </c>
      <c r="B853" s="143" t="s">
        <v>170</v>
      </c>
      <c r="C853" s="143" t="s">
        <v>545</v>
      </c>
      <c r="D853" s="148">
        <v>0.01</v>
      </c>
      <c r="E853" s="145" t="s">
        <v>458</v>
      </c>
    </row>
    <row r="854" spans="1:5" x14ac:dyDescent="0.25">
      <c r="A854" s="46">
        <v>202</v>
      </c>
      <c r="B854" s="143" t="s">
        <v>170</v>
      </c>
      <c r="C854" s="143" t="s">
        <v>459</v>
      </c>
      <c r="D854" s="148">
        <v>0.01</v>
      </c>
      <c r="E854" s="145" t="s">
        <v>450</v>
      </c>
    </row>
    <row r="855" spans="1:5" x14ac:dyDescent="0.25">
      <c r="A855" s="46"/>
      <c r="B855" s="98" t="s">
        <v>416</v>
      </c>
      <c r="C855" s="89" t="s">
        <v>1539</v>
      </c>
      <c r="D855" s="141">
        <v>1</v>
      </c>
      <c r="E855" s="150" t="s">
        <v>450</v>
      </c>
    </row>
    <row r="856" spans="1:5" x14ac:dyDescent="0.25">
      <c r="A856" s="46"/>
      <c r="B856" s="98" t="s">
        <v>394</v>
      </c>
      <c r="C856" s="89" t="s">
        <v>1086</v>
      </c>
      <c r="D856" s="141">
        <v>1</v>
      </c>
      <c r="E856" s="150" t="s">
        <v>450</v>
      </c>
    </row>
    <row r="857" spans="1:5" x14ac:dyDescent="0.25">
      <c r="A857" s="46">
        <v>160</v>
      </c>
      <c r="B857" s="143" t="s">
        <v>50</v>
      </c>
      <c r="C857" s="89" t="s">
        <v>814</v>
      </c>
      <c r="D857" s="141">
        <v>0.08</v>
      </c>
      <c r="E857" s="141" t="s">
        <v>450</v>
      </c>
    </row>
    <row r="858" spans="1:5" x14ac:dyDescent="0.25">
      <c r="A858" s="46">
        <v>160</v>
      </c>
      <c r="B858" s="143" t="s">
        <v>50</v>
      </c>
      <c r="C858" s="89" t="s">
        <v>815</v>
      </c>
      <c r="D858" s="141">
        <v>0.05</v>
      </c>
      <c r="E858" s="141" t="s">
        <v>450</v>
      </c>
    </row>
    <row r="859" spans="1:5" x14ac:dyDescent="0.25">
      <c r="A859" s="46">
        <v>160</v>
      </c>
      <c r="B859" s="143" t="s">
        <v>50</v>
      </c>
      <c r="C859" s="89" t="s">
        <v>580</v>
      </c>
      <c r="D859" s="141">
        <v>1.4999999999999999E-2</v>
      </c>
      <c r="E859" s="141" t="s">
        <v>450</v>
      </c>
    </row>
    <row r="860" spans="1:5" x14ac:dyDescent="0.25">
      <c r="A860" s="46">
        <v>160</v>
      </c>
      <c r="B860" s="143" t="s">
        <v>50</v>
      </c>
      <c r="C860" s="143" t="s">
        <v>578</v>
      </c>
      <c r="D860" s="141">
        <v>1E-3</v>
      </c>
      <c r="E860" s="141" t="s">
        <v>448</v>
      </c>
    </row>
    <row r="861" spans="1:5" x14ac:dyDescent="0.25">
      <c r="A861" s="46">
        <v>160</v>
      </c>
      <c r="B861" s="143" t="s">
        <v>50</v>
      </c>
      <c r="C861" s="143" t="s">
        <v>449</v>
      </c>
      <c r="D861" s="141">
        <v>3.0000000000000001E-3</v>
      </c>
      <c r="E861" s="141" t="s">
        <v>450</v>
      </c>
    </row>
    <row r="862" spans="1:5" x14ac:dyDescent="0.25">
      <c r="A862" s="46">
        <v>160</v>
      </c>
      <c r="B862" s="143" t="s">
        <v>50</v>
      </c>
      <c r="C862" s="89" t="s">
        <v>488</v>
      </c>
      <c r="D862" s="141">
        <v>2E-3</v>
      </c>
      <c r="E862" s="141" t="s">
        <v>450</v>
      </c>
    </row>
    <row r="863" spans="1:5" x14ac:dyDescent="0.25">
      <c r="A863" s="46">
        <v>160</v>
      </c>
      <c r="B863" s="143" t="s">
        <v>50</v>
      </c>
      <c r="C863" s="89" t="s">
        <v>467</v>
      </c>
      <c r="D863" s="141">
        <v>2E-3</v>
      </c>
      <c r="E863" s="141" t="s">
        <v>448</v>
      </c>
    </row>
    <row r="864" spans="1:5" x14ac:dyDescent="0.25">
      <c r="A864" s="46">
        <v>160</v>
      </c>
      <c r="B864" s="143" t="s">
        <v>50</v>
      </c>
      <c r="C864" s="89" t="s">
        <v>487</v>
      </c>
      <c r="D864" s="141">
        <v>1E-3</v>
      </c>
      <c r="E864" s="141" t="s">
        <v>450</v>
      </c>
    </row>
    <row r="865" spans="1:5" x14ac:dyDescent="0.25">
      <c r="A865" s="46">
        <v>154</v>
      </c>
      <c r="B865" s="143" t="s">
        <v>235</v>
      </c>
      <c r="C865" s="89" t="s">
        <v>590</v>
      </c>
      <c r="D865" s="144">
        <v>0.23</v>
      </c>
      <c r="E865" s="142" t="s">
        <v>450</v>
      </c>
    </row>
    <row r="866" spans="1:5" x14ac:dyDescent="0.25">
      <c r="A866" s="46">
        <v>154</v>
      </c>
      <c r="B866" s="143" t="s">
        <v>235</v>
      </c>
      <c r="C866" s="89" t="s">
        <v>693</v>
      </c>
      <c r="D866" s="144">
        <v>0.23</v>
      </c>
      <c r="E866" s="142" t="s">
        <v>458</v>
      </c>
    </row>
    <row r="867" spans="1:5" x14ac:dyDescent="0.25">
      <c r="A867" s="46">
        <v>154</v>
      </c>
      <c r="B867" s="143" t="s">
        <v>235</v>
      </c>
      <c r="C867" s="143" t="s">
        <v>589</v>
      </c>
      <c r="D867" s="144">
        <v>0.08</v>
      </c>
      <c r="E867" s="142" t="s">
        <v>450</v>
      </c>
    </row>
    <row r="868" spans="1:5" x14ac:dyDescent="0.25">
      <c r="A868" s="46">
        <v>154</v>
      </c>
      <c r="B868" s="143" t="s">
        <v>235</v>
      </c>
      <c r="C868" s="143" t="s">
        <v>584</v>
      </c>
      <c r="D868" s="144">
        <v>8.0000000000000002E-3</v>
      </c>
      <c r="E868" s="142" t="s">
        <v>450</v>
      </c>
    </row>
    <row r="869" spans="1:5" x14ac:dyDescent="0.25">
      <c r="A869" s="46">
        <v>154</v>
      </c>
      <c r="B869" s="143" t="s">
        <v>235</v>
      </c>
      <c r="C869" s="143" t="s">
        <v>694</v>
      </c>
      <c r="D869" s="144">
        <v>1E-3</v>
      </c>
      <c r="E869" s="142" t="s">
        <v>450</v>
      </c>
    </row>
    <row r="870" spans="1:5" x14ac:dyDescent="0.25">
      <c r="A870" s="46">
        <v>154</v>
      </c>
      <c r="B870" s="143" t="s">
        <v>235</v>
      </c>
      <c r="C870" s="143" t="s">
        <v>488</v>
      </c>
      <c r="D870" s="144">
        <v>2E-3</v>
      </c>
      <c r="E870" s="142" t="s">
        <v>450</v>
      </c>
    </row>
    <row r="871" spans="1:5" x14ac:dyDescent="0.25">
      <c r="A871" s="46">
        <v>154</v>
      </c>
      <c r="B871" s="143" t="s">
        <v>235</v>
      </c>
      <c r="C871" s="143" t="s">
        <v>467</v>
      </c>
      <c r="D871" s="144">
        <v>2E-3</v>
      </c>
      <c r="E871" s="142" t="s">
        <v>448</v>
      </c>
    </row>
    <row r="872" spans="1:5" x14ac:dyDescent="0.25">
      <c r="A872" s="46">
        <v>154</v>
      </c>
      <c r="B872" s="143" t="s">
        <v>235</v>
      </c>
      <c r="C872" s="143" t="s">
        <v>487</v>
      </c>
      <c r="D872" s="144">
        <v>1E-3</v>
      </c>
      <c r="E872" s="142" t="s">
        <v>450</v>
      </c>
    </row>
    <row r="873" spans="1:5" x14ac:dyDescent="0.25">
      <c r="A873" s="46">
        <v>154</v>
      </c>
      <c r="B873" s="143" t="s">
        <v>235</v>
      </c>
      <c r="C873" s="143" t="s">
        <v>578</v>
      </c>
      <c r="D873" s="144">
        <v>1E-3</v>
      </c>
      <c r="E873" s="142" t="s">
        <v>450</v>
      </c>
    </row>
    <row r="874" spans="1:5" x14ac:dyDescent="0.25">
      <c r="A874" s="46">
        <v>154</v>
      </c>
      <c r="B874" s="143" t="s">
        <v>235</v>
      </c>
      <c r="C874" s="143" t="s">
        <v>466</v>
      </c>
      <c r="D874" s="144">
        <v>2E-3</v>
      </c>
      <c r="E874" s="142" t="s">
        <v>450</v>
      </c>
    </row>
    <row r="875" spans="1:5" x14ac:dyDescent="0.25">
      <c r="A875" s="46">
        <v>124</v>
      </c>
      <c r="B875" s="143" t="s">
        <v>218</v>
      </c>
      <c r="C875" s="89" t="s">
        <v>601</v>
      </c>
      <c r="D875" s="174">
        <v>0.1</v>
      </c>
      <c r="E875" s="141" t="s">
        <v>450</v>
      </c>
    </row>
    <row r="876" spans="1:5" x14ac:dyDescent="0.25">
      <c r="A876" s="46">
        <v>124</v>
      </c>
      <c r="B876" s="143" t="s">
        <v>218</v>
      </c>
      <c r="C876" s="89" t="s">
        <v>777</v>
      </c>
      <c r="D876" s="141">
        <v>5.0000000000000001E-3</v>
      </c>
      <c r="E876" s="141" t="s">
        <v>450</v>
      </c>
    </row>
    <row r="877" spans="1:5" x14ac:dyDescent="0.25">
      <c r="A877" s="46">
        <v>124</v>
      </c>
      <c r="B877" s="143" t="s">
        <v>218</v>
      </c>
      <c r="C877" s="89" t="s">
        <v>459</v>
      </c>
      <c r="D877" s="141">
        <v>0.02</v>
      </c>
      <c r="E877" s="141" t="s">
        <v>450</v>
      </c>
    </row>
    <row r="878" spans="1:5" x14ac:dyDescent="0.25">
      <c r="A878" s="46">
        <v>124</v>
      </c>
      <c r="B878" s="143" t="s">
        <v>218</v>
      </c>
      <c r="C878" s="89" t="s">
        <v>467</v>
      </c>
      <c r="D878" s="141"/>
      <c r="E878" s="141"/>
    </row>
    <row r="879" spans="1:5" x14ac:dyDescent="0.25">
      <c r="A879" s="46">
        <v>124</v>
      </c>
      <c r="B879" s="143" t="s">
        <v>218</v>
      </c>
      <c r="C879" s="89" t="s">
        <v>519</v>
      </c>
      <c r="D879" s="141">
        <v>0.01</v>
      </c>
      <c r="E879" s="141" t="s">
        <v>458</v>
      </c>
    </row>
    <row r="880" spans="1:5" x14ac:dyDescent="0.25">
      <c r="A880" s="46">
        <v>124</v>
      </c>
      <c r="B880" s="143" t="s">
        <v>218</v>
      </c>
      <c r="C880" s="89" t="s">
        <v>636</v>
      </c>
      <c r="D880" s="141"/>
      <c r="E880" s="141"/>
    </row>
    <row r="881" spans="1:5" x14ac:dyDescent="0.25">
      <c r="A881" s="46">
        <v>124</v>
      </c>
      <c r="B881" s="143" t="s">
        <v>218</v>
      </c>
      <c r="C881" s="89" t="s">
        <v>488</v>
      </c>
      <c r="D881" s="141">
        <v>3.0000000000000001E-3</v>
      </c>
      <c r="E881" s="141" t="s">
        <v>450</v>
      </c>
    </row>
    <row r="882" spans="1:5" x14ac:dyDescent="0.25">
      <c r="A882" s="46">
        <v>322</v>
      </c>
      <c r="B882" s="143" t="s">
        <v>350</v>
      </c>
      <c r="C882" s="156" t="s">
        <v>1027</v>
      </c>
      <c r="D882" s="141">
        <v>0.05</v>
      </c>
      <c r="E882" s="89" t="s">
        <v>450</v>
      </c>
    </row>
    <row r="883" spans="1:5" x14ac:dyDescent="0.25">
      <c r="A883" s="46">
        <v>322</v>
      </c>
      <c r="B883" s="143" t="s">
        <v>350</v>
      </c>
      <c r="C883" s="89" t="s">
        <v>1028</v>
      </c>
      <c r="D883" s="141">
        <v>0.03</v>
      </c>
      <c r="E883" s="89" t="s">
        <v>450</v>
      </c>
    </row>
    <row r="884" spans="1:5" x14ac:dyDescent="0.25">
      <c r="A884" s="46">
        <v>322</v>
      </c>
      <c r="B884" s="143" t="s">
        <v>350</v>
      </c>
      <c r="C884" s="89" t="s">
        <v>802</v>
      </c>
      <c r="D884" s="141">
        <v>5.0000000000000001E-3</v>
      </c>
      <c r="E884" s="89" t="s">
        <v>450</v>
      </c>
    </row>
    <row r="885" spans="1:5" x14ac:dyDescent="0.25">
      <c r="A885" s="46">
        <v>322</v>
      </c>
      <c r="B885" s="143" t="s">
        <v>350</v>
      </c>
      <c r="C885" s="89" t="s">
        <v>909</v>
      </c>
      <c r="D885" s="141">
        <v>1.4999999999999999E-2</v>
      </c>
      <c r="E885" s="89" t="s">
        <v>450</v>
      </c>
    </row>
    <row r="886" spans="1:5" x14ac:dyDescent="0.25">
      <c r="A886" s="46">
        <v>322</v>
      </c>
      <c r="B886" s="143" t="s">
        <v>350</v>
      </c>
      <c r="C886" s="89" t="s">
        <v>614</v>
      </c>
      <c r="D886" s="141">
        <v>2E-3</v>
      </c>
      <c r="E886" s="89" t="s">
        <v>450</v>
      </c>
    </row>
    <row r="887" spans="1:5" x14ac:dyDescent="0.25">
      <c r="A887" s="46">
        <v>322</v>
      </c>
      <c r="B887" s="143" t="s">
        <v>350</v>
      </c>
      <c r="C887" s="156" t="s">
        <v>449</v>
      </c>
      <c r="D887" s="141">
        <v>4.0000000000000001E-3</v>
      </c>
      <c r="E887" s="89" t="s">
        <v>450</v>
      </c>
    </row>
    <row r="888" spans="1:5" x14ac:dyDescent="0.25">
      <c r="A888" s="46">
        <v>322</v>
      </c>
      <c r="B888" s="143" t="s">
        <v>350</v>
      </c>
      <c r="C888" s="89" t="s">
        <v>629</v>
      </c>
      <c r="D888" s="141">
        <v>2E-3</v>
      </c>
      <c r="E888" s="89" t="s">
        <v>450</v>
      </c>
    </row>
    <row r="889" spans="1:5" x14ac:dyDescent="0.25">
      <c r="A889" s="46">
        <v>322</v>
      </c>
      <c r="B889" s="143" t="s">
        <v>350</v>
      </c>
      <c r="C889" s="89" t="s">
        <v>466</v>
      </c>
      <c r="D889" s="141">
        <v>0.5</v>
      </c>
      <c r="E889" s="89" t="s">
        <v>992</v>
      </c>
    </row>
    <row r="890" spans="1:5" x14ac:dyDescent="0.25">
      <c r="A890" s="46">
        <v>322</v>
      </c>
      <c r="B890" s="143" t="s">
        <v>350</v>
      </c>
      <c r="C890" s="89" t="s">
        <v>1029</v>
      </c>
      <c r="D890" s="141">
        <v>0.02</v>
      </c>
      <c r="E890" s="89" t="s">
        <v>450</v>
      </c>
    </row>
    <row r="891" spans="1:5" x14ac:dyDescent="0.25">
      <c r="A891" s="46">
        <v>322</v>
      </c>
      <c r="B891" s="143" t="s">
        <v>350</v>
      </c>
      <c r="C891" s="89" t="s">
        <v>1030</v>
      </c>
      <c r="D891" s="141">
        <v>5.0000000000000001E-3</v>
      </c>
      <c r="E891" s="89" t="s">
        <v>448</v>
      </c>
    </row>
    <row r="892" spans="1:5" x14ac:dyDescent="0.25">
      <c r="A892" s="46">
        <v>322</v>
      </c>
      <c r="B892" s="143"/>
      <c r="C892" s="156"/>
      <c r="D892" s="141"/>
      <c r="E892" s="89"/>
    </row>
    <row r="893" spans="1:5" x14ac:dyDescent="0.25">
      <c r="A893" s="46">
        <v>322</v>
      </c>
      <c r="B893" s="143" t="s">
        <v>350</v>
      </c>
      <c r="C893" s="89" t="s">
        <v>1031</v>
      </c>
      <c r="D893" s="141">
        <v>2E-3</v>
      </c>
      <c r="E893" s="89" t="s">
        <v>450</v>
      </c>
    </row>
    <row r="894" spans="1:5" x14ac:dyDescent="0.25">
      <c r="A894" s="46">
        <v>322</v>
      </c>
      <c r="B894" s="143" t="s">
        <v>350</v>
      </c>
      <c r="C894" s="89" t="s">
        <v>989</v>
      </c>
      <c r="D894" s="141">
        <v>5.0000000000000001E-3</v>
      </c>
      <c r="E894" s="89" t="s">
        <v>450</v>
      </c>
    </row>
    <row r="895" spans="1:5" x14ac:dyDescent="0.25">
      <c r="A895" s="46">
        <v>322</v>
      </c>
      <c r="B895" s="143" t="s">
        <v>350</v>
      </c>
      <c r="C895" s="89" t="s">
        <v>1032</v>
      </c>
      <c r="D895" s="141">
        <v>5.0000000000000001E-3</v>
      </c>
      <c r="E895" s="89" t="s">
        <v>448</v>
      </c>
    </row>
    <row r="896" spans="1:5" x14ac:dyDescent="0.25">
      <c r="A896" s="46">
        <v>322</v>
      </c>
      <c r="B896" s="143" t="s">
        <v>350</v>
      </c>
      <c r="C896" s="89" t="s">
        <v>1025</v>
      </c>
      <c r="D896" s="141">
        <v>5.0000000000000001E-3</v>
      </c>
      <c r="E896" s="89" t="s">
        <v>450</v>
      </c>
    </row>
    <row r="897" spans="1:5" x14ac:dyDescent="0.25">
      <c r="A897" s="46">
        <v>322</v>
      </c>
      <c r="B897" s="143" t="s">
        <v>350</v>
      </c>
      <c r="C897" s="89" t="s">
        <v>1026</v>
      </c>
      <c r="D897" s="141">
        <v>1E-3</v>
      </c>
      <c r="E897" s="89" t="s">
        <v>450</v>
      </c>
    </row>
    <row r="898" spans="1:5" x14ac:dyDescent="0.25">
      <c r="A898" s="46">
        <v>322</v>
      </c>
      <c r="B898" s="143" t="s">
        <v>350</v>
      </c>
      <c r="C898" s="89" t="s">
        <v>488</v>
      </c>
      <c r="D898" s="141">
        <v>1E-3</v>
      </c>
      <c r="E898" s="89"/>
    </row>
    <row r="899" spans="1:5" x14ac:dyDescent="0.25">
      <c r="A899" s="46">
        <v>322</v>
      </c>
      <c r="B899" s="143" t="s">
        <v>350</v>
      </c>
      <c r="C899" s="89" t="s">
        <v>487</v>
      </c>
      <c r="D899" s="141">
        <v>1E-3</v>
      </c>
      <c r="E899" s="89"/>
    </row>
    <row r="900" spans="1:5" x14ac:dyDescent="0.25">
      <c r="A900" s="46">
        <v>348</v>
      </c>
      <c r="B900" s="143" t="s">
        <v>369</v>
      </c>
      <c r="C900" s="175" t="s">
        <v>554</v>
      </c>
      <c r="D900" s="175">
        <v>0.08</v>
      </c>
      <c r="E900" s="176"/>
    </row>
    <row r="901" spans="1:5" x14ac:dyDescent="0.25">
      <c r="A901" s="46">
        <v>348</v>
      </c>
      <c r="B901" s="143" t="s">
        <v>369</v>
      </c>
      <c r="C901" s="175" t="s">
        <v>1037</v>
      </c>
      <c r="D901" s="175">
        <v>0.01</v>
      </c>
      <c r="E901" s="176"/>
    </row>
    <row r="902" spans="1:5" x14ac:dyDescent="0.25">
      <c r="A902" s="46">
        <v>348</v>
      </c>
      <c r="B902" s="143" t="s">
        <v>369</v>
      </c>
      <c r="C902" s="175" t="s">
        <v>1089</v>
      </c>
      <c r="D902" s="175">
        <v>1E-3</v>
      </c>
      <c r="E902" s="176"/>
    </row>
    <row r="903" spans="1:5" x14ac:dyDescent="0.25">
      <c r="A903" s="46">
        <v>348</v>
      </c>
      <c r="B903" s="143" t="s">
        <v>369</v>
      </c>
      <c r="C903" s="175" t="s">
        <v>1034</v>
      </c>
      <c r="D903" s="175">
        <v>5.0000000000000001E-3</v>
      </c>
      <c r="E903" s="176"/>
    </row>
    <row r="904" spans="1:5" x14ac:dyDescent="0.25">
      <c r="A904" s="46">
        <v>348</v>
      </c>
      <c r="B904" s="143" t="s">
        <v>369</v>
      </c>
      <c r="C904" s="175" t="s">
        <v>1090</v>
      </c>
      <c r="D904" s="175">
        <v>7.0000000000000007E-2</v>
      </c>
      <c r="E904" s="176"/>
    </row>
    <row r="905" spans="1:5" x14ac:dyDescent="0.25">
      <c r="A905" s="46">
        <v>348</v>
      </c>
      <c r="B905" s="143" t="s">
        <v>369</v>
      </c>
      <c r="C905" s="175" t="s">
        <v>1035</v>
      </c>
      <c r="D905" s="175">
        <v>0.02</v>
      </c>
      <c r="E905" s="176"/>
    </row>
    <row r="906" spans="1:5" x14ac:dyDescent="0.25">
      <c r="A906" s="46">
        <v>20</v>
      </c>
      <c r="B906" s="143" t="s">
        <v>43</v>
      </c>
      <c r="C906" s="90" t="s">
        <v>696</v>
      </c>
      <c r="D906" s="154">
        <v>0.08</v>
      </c>
      <c r="E906" s="155" t="s">
        <v>450</v>
      </c>
    </row>
    <row r="907" spans="1:5" x14ac:dyDescent="0.25">
      <c r="A907" s="46">
        <v>20</v>
      </c>
      <c r="B907" s="143" t="s">
        <v>43</v>
      </c>
      <c r="C907" s="90" t="s">
        <v>648</v>
      </c>
      <c r="D907" s="154">
        <v>4.4999999999999998E-2</v>
      </c>
      <c r="E907" s="155" t="s">
        <v>450</v>
      </c>
    </row>
    <row r="908" spans="1:5" x14ac:dyDescent="0.25">
      <c r="A908" s="46">
        <v>20</v>
      </c>
      <c r="B908" s="143" t="s">
        <v>43</v>
      </c>
      <c r="C908" s="90" t="s">
        <v>697</v>
      </c>
      <c r="D908" s="154">
        <v>2E-3</v>
      </c>
      <c r="E908" s="155" t="s">
        <v>458</v>
      </c>
    </row>
    <row r="909" spans="1:5" x14ac:dyDescent="0.25">
      <c r="A909" s="46">
        <v>20</v>
      </c>
      <c r="B909" s="143" t="s">
        <v>43</v>
      </c>
      <c r="C909" s="90" t="s">
        <v>482</v>
      </c>
      <c r="D909" s="154">
        <v>1E-3</v>
      </c>
      <c r="E909" s="155" t="s">
        <v>450</v>
      </c>
    </row>
    <row r="910" spans="1:5" x14ac:dyDescent="0.25">
      <c r="A910" s="46">
        <v>20</v>
      </c>
      <c r="B910" s="143" t="s">
        <v>43</v>
      </c>
      <c r="C910" s="90" t="s">
        <v>488</v>
      </c>
      <c r="D910" s="154">
        <v>2E-3</v>
      </c>
      <c r="E910" s="155" t="s">
        <v>450</v>
      </c>
    </row>
    <row r="911" spans="1:5" x14ac:dyDescent="0.25">
      <c r="A911" s="46">
        <v>20</v>
      </c>
      <c r="B911" s="143" t="s">
        <v>43</v>
      </c>
      <c r="C911" s="143" t="s">
        <v>487</v>
      </c>
      <c r="D911" s="154">
        <v>3.0000000000000001E-3</v>
      </c>
      <c r="E911" s="155" t="s">
        <v>458</v>
      </c>
    </row>
    <row r="912" spans="1:5" x14ac:dyDescent="0.25">
      <c r="A912" s="46">
        <v>20</v>
      </c>
      <c r="B912" s="143" t="s">
        <v>43</v>
      </c>
      <c r="C912" s="90" t="s">
        <v>698</v>
      </c>
      <c r="D912" s="154">
        <v>0.04</v>
      </c>
      <c r="E912" s="155" t="s">
        <v>450</v>
      </c>
    </row>
    <row r="913" spans="1:5" x14ac:dyDescent="0.25">
      <c r="A913" s="46">
        <v>20</v>
      </c>
      <c r="B913" s="143" t="s">
        <v>43</v>
      </c>
      <c r="C913" s="90" t="s">
        <v>453</v>
      </c>
      <c r="D913" s="154">
        <v>2E-3</v>
      </c>
      <c r="E913" s="155" t="s">
        <v>450</v>
      </c>
    </row>
    <row r="914" spans="1:5" x14ac:dyDescent="0.25">
      <c r="A914" s="46">
        <v>20</v>
      </c>
      <c r="B914" s="143" t="s">
        <v>43</v>
      </c>
      <c r="C914" s="143" t="s">
        <v>467</v>
      </c>
      <c r="D914" s="154">
        <v>2E-3</v>
      </c>
      <c r="E914" s="155" t="s">
        <v>448</v>
      </c>
    </row>
    <row r="915" spans="1:5" x14ac:dyDescent="0.25">
      <c r="A915" s="46">
        <v>20</v>
      </c>
      <c r="B915" s="143" t="s">
        <v>43</v>
      </c>
      <c r="C915" s="90" t="s">
        <v>581</v>
      </c>
      <c r="D915" s="154">
        <v>1.2E-2</v>
      </c>
      <c r="E915" s="155" t="s">
        <v>458</v>
      </c>
    </row>
    <row r="916" spans="1:5" x14ac:dyDescent="0.25">
      <c r="A916" s="46">
        <v>20</v>
      </c>
      <c r="B916" s="143" t="s">
        <v>43</v>
      </c>
      <c r="C916" s="152" t="s">
        <v>512</v>
      </c>
      <c r="D916" s="154">
        <v>1.4E-2</v>
      </c>
      <c r="E916" s="155" t="s">
        <v>458</v>
      </c>
    </row>
    <row r="917" spans="1:5" x14ac:dyDescent="0.25">
      <c r="A917" s="46">
        <v>231</v>
      </c>
      <c r="B917" s="143" t="s">
        <v>42</v>
      </c>
      <c r="C917" s="90" t="s">
        <v>696</v>
      </c>
      <c r="D917" s="141">
        <v>0.09</v>
      </c>
      <c r="E917" s="145" t="s">
        <v>450</v>
      </c>
    </row>
    <row r="918" spans="1:5" x14ac:dyDescent="0.25">
      <c r="A918" s="46">
        <v>231</v>
      </c>
      <c r="B918" s="143" t="s">
        <v>42</v>
      </c>
      <c r="C918" s="89" t="s">
        <v>898</v>
      </c>
      <c r="D918" s="141">
        <v>2E-3</v>
      </c>
      <c r="E918" s="145" t="s">
        <v>448</v>
      </c>
    </row>
    <row r="919" spans="1:5" x14ac:dyDescent="0.25">
      <c r="A919" s="46">
        <v>231</v>
      </c>
      <c r="B919" s="143" t="s">
        <v>42</v>
      </c>
      <c r="C919" s="89" t="s">
        <v>927</v>
      </c>
      <c r="D919" s="141">
        <v>2.5000000000000001E-2</v>
      </c>
      <c r="E919" s="145" t="s">
        <v>450</v>
      </c>
    </row>
    <row r="920" spans="1:5" x14ac:dyDescent="0.25">
      <c r="A920" s="46">
        <v>231</v>
      </c>
      <c r="B920" s="143" t="s">
        <v>42</v>
      </c>
      <c r="C920" s="89" t="s">
        <v>928</v>
      </c>
      <c r="D920" s="141">
        <v>0.01</v>
      </c>
      <c r="E920" s="145" t="s">
        <v>450</v>
      </c>
    </row>
    <row r="921" spans="1:5" x14ac:dyDescent="0.25">
      <c r="A921" s="46">
        <v>231</v>
      </c>
      <c r="B921" s="143" t="s">
        <v>42</v>
      </c>
      <c r="C921" s="89" t="s">
        <v>917</v>
      </c>
      <c r="D921" s="141">
        <v>3.5000000000000003E-2</v>
      </c>
      <c r="E921" s="145" t="s">
        <v>450</v>
      </c>
    </row>
    <row r="922" spans="1:5" x14ac:dyDescent="0.25">
      <c r="A922" s="46">
        <v>231</v>
      </c>
      <c r="B922" s="143" t="s">
        <v>42</v>
      </c>
      <c r="C922" s="89" t="s">
        <v>535</v>
      </c>
      <c r="D922" s="141">
        <v>5.0000000000000001E-3</v>
      </c>
      <c r="E922" s="145" t="s">
        <v>448</v>
      </c>
    </row>
    <row r="923" spans="1:5" x14ac:dyDescent="0.25">
      <c r="A923" s="46">
        <v>231</v>
      </c>
      <c r="B923" s="143" t="s">
        <v>42</v>
      </c>
      <c r="C923" s="89" t="s">
        <v>483</v>
      </c>
      <c r="D923" s="141">
        <v>1E-3</v>
      </c>
      <c r="E923" s="145" t="s">
        <v>448</v>
      </c>
    </row>
    <row r="924" spans="1:5" x14ac:dyDescent="0.25">
      <c r="A924" s="46">
        <v>231</v>
      </c>
      <c r="B924" s="143" t="s">
        <v>42</v>
      </c>
      <c r="C924" s="147" t="s">
        <v>532</v>
      </c>
      <c r="D924" s="141">
        <v>2E-3</v>
      </c>
      <c r="E924" s="141" t="s">
        <v>450</v>
      </c>
    </row>
    <row r="925" spans="1:5" x14ac:dyDescent="0.25">
      <c r="A925" s="46">
        <v>231</v>
      </c>
      <c r="B925" s="143" t="s">
        <v>42</v>
      </c>
      <c r="C925" s="89" t="s">
        <v>470</v>
      </c>
      <c r="D925" s="141">
        <v>1E-3</v>
      </c>
      <c r="E925" s="145" t="s">
        <v>450</v>
      </c>
    </row>
    <row r="926" spans="1:5" x14ac:dyDescent="0.25">
      <c r="A926" s="46">
        <v>231</v>
      </c>
      <c r="B926" s="143" t="s">
        <v>42</v>
      </c>
      <c r="C926" s="89" t="s">
        <v>516</v>
      </c>
      <c r="D926" s="141">
        <v>1E-3</v>
      </c>
      <c r="E926" s="145" t="s">
        <v>450</v>
      </c>
    </row>
    <row r="927" spans="1:5" x14ac:dyDescent="0.25">
      <c r="A927" s="46">
        <v>231</v>
      </c>
      <c r="B927" s="143" t="s">
        <v>42</v>
      </c>
      <c r="C927" s="89" t="s">
        <v>529</v>
      </c>
      <c r="D927" s="141">
        <v>2E-3</v>
      </c>
      <c r="E927" s="145" t="s">
        <v>450</v>
      </c>
    </row>
    <row r="928" spans="1:5" x14ac:dyDescent="0.25">
      <c r="A928" s="46">
        <v>168</v>
      </c>
      <c r="B928" s="143" t="s">
        <v>66</v>
      </c>
      <c r="C928" s="146" t="s">
        <v>656</v>
      </c>
      <c r="D928" s="148">
        <v>0.2</v>
      </c>
      <c r="E928" s="145" t="s">
        <v>450</v>
      </c>
    </row>
    <row r="929" spans="1:5" x14ac:dyDescent="0.25">
      <c r="A929" s="46">
        <v>168</v>
      </c>
      <c r="B929" s="143" t="s">
        <v>66</v>
      </c>
      <c r="C929" s="146" t="s">
        <v>822</v>
      </c>
      <c r="D929" s="148">
        <v>0.01</v>
      </c>
      <c r="E929" s="145" t="s">
        <v>450</v>
      </c>
    </row>
    <row r="930" spans="1:5" x14ac:dyDescent="0.25">
      <c r="A930" s="46">
        <v>168</v>
      </c>
      <c r="B930" s="143" t="s">
        <v>66</v>
      </c>
      <c r="C930" s="146" t="s">
        <v>467</v>
      </c>
      <c r="D930" s="148">
        <v>1E-3</v>
      </c>
      <c r="E930" s="145" t="s">
        <v>448</v>
      </c>
    </row>
    <row r="931" spans="1:5" x14ac:dyDescent="0.25">
      <c r="A931" s="46">
        <v>168</v>
      </c>
      <c r="B931" s="143" t="s">
        <v>66</v>
      </c>
      <c r="C931" s="146" t="s">
        <v>466</v>
      </c>
      <c r="D931" s="149">
        <v>5.0000000000000001E-4</v>
      </c>
      <c r="E931" s="145" t="s">
        <v>450</v>
      </c>
    </row>
    <row r="932" spans="1:5" x14ac:dyDescent="0.25">
      <c r="A932" s="46">
        <v>168</v>
      </c>
      <c r="B932" s="143" t="s">
        <v>66</v>
      </c>
      <c r="C932" s="146" t="s">
        <v>621</v>
      </c>
      <c r="D932" s="151">
        <v>1</v>
      </c>
      <c r="E932" s="145" t="s">
        <v>623</v>
      </c>
    </row>
    <row r="933" spans="1:5" x14ac:dyDescent="0.25">
      <c r="A933" s="46">
        <v>168</v>
      </c>
      <c r="B933" s="143" t="s">
        <v>66</v>
      </c>
      <c r="C933" s="146" t="s">
        <v>624</v>
      </c>
      <c r="D933" s="151">
        <v>1</v>
      </c>
      <c r="E933" s="145" t="s">
        <v>623</v>
      </c>
    </row>
    <row r="934" spans="1:5" x14ac:dyDescent="0.25">
      <c r="A934" s="46">
        <v>168</v>
      </c>
      <c r="B934" s="143" t="s">
        <v>66</v>
      </c>
      <c r="C934" s="146" t="s">
        <v>627</v>
      </c>
      <c r="D934" s="151">
        <v>1</v>
      </c>
      <c r="E934" s="145" t="s">
        <v>594</v>
      </c>
    </row>
    <row r="935" spans="1:5" x14ac:dyDescent="0.25">
      <c r="A935" s="46">
        <v>168</v>
      </c>
      <c r="B935" s="143" t="s">
        <v>66</v>
      </c>
      <c r="C935" s="146" t="s">
        <v>488</v>
      </c>
      <c r="D935" s="148">
        <v>1E-3</v>
      </c>
      <c r="E935" s="145" t="s">
        <v>450</v>
      </c>
    </row>
    <row r="936" spans="1:5" x14ac:dyDescent="0.25">
      <c r="A936" s="46">
        <v>168</v>
      </c>
      <c r="B936" s="143" t="s">
        <v>66</v>
      </c>
      <c r="C936" s="146" t="s">
        <v>487</v>
      </c>
      <c r="D936" s="148">
        <v>1E-3</v>
      </c>
      <c r="E936" s="145" t="s">
        <v>450</v>
      </c>
    </row>
    <row r="937" spans="1:5" x14ac:dyDescent="0.25">
      <c r="A937" s="46">
        <v>99</v>
      </c>
      <c r="B937" s="143" t="s">
        <v>204</v>
      </c>
      <c r="C937" s="89" t="s">
        <v>711</v>
      </c>
      <c r="D937" s="144">
        <v>5.0000000000000001E-3</v>
      </c>
      <c r="E937" s="142" t="s">
        <v>450</v>
      </c>
    </row>
    <row r="938" spans="1:5" x14ac:dyDescent="0.25">
      <c r="A938" s="46">
        <v>99</v>
      </c>
      <c r="B938" s="143" t="s">
        <v>204</v>
      </c>
      <c r="C938" s="143" t="s">
        <v>656</v>
      </c>
      <c r="D938" s="144">
        <v>0.01</v>
      </c>
      <c r="E938" s="142" t="s">
        <v>450</v>
      </c>
    </row>
    <row r="939" spans="1:5" x14ac:dyDescent="0.25">
      <c r="A939" s="46">
        <v>99</v>
      </c>
      <c r="B939" s="143" t="s">
        <v>204</v>
      </c>
      <c r="C939" s="143" t="s">
        <v>694</v>
      </c>
      <c r="D939" s="144">
        <v>0.01</v>
      </c>
      <c r="E939" s="142" t="s">
        <v>450</v>
      </c>
    </row>
    <row r="940" spans="1:5" x14ac:dyDescent="0.25">
      <c r="A940" s="46">
        <v>99</v>
      </c>
      <c r="B940" s="143" t="s">
        <v>204</v>
      </c>
      <c r="C940" s="152" t="s">
        <v>503</v>
      </c>
      <c r="D940" s="144">
        <v>1.4999999999999999E-2</v>
      </c>
      <c r="E940" s="142" t="s">
        <v>450</v>
      </c>
    </row>
    <row r="941" spans="1:5" x14ac:dyDescent="0.25">
      <c r="A941" s="46">
        <v>99</v>
      </c>
      <c r="B941" s="143" t="s">
        <v>204</v>
      </c>
      <c r="C941" s="143" t="s">
        <v>712</v>
      </c>
      <c r="D941" s="144">
        <v>0.1</v>
      </c>
      <c r="E941" s="142" t="s">
        <v>450</v>
      </c>
    </row>
    <row r="942" spans="1:5" x14ac:dyDescent="0.25">
      <c r="A942" s="46">
        <v>99</v>
      </c>
      <c r="B942" s="143" t="s">
        <v>204</v>
      </c>
      <c r="C942" s="89" t="s">
        <v>713</v>
      </c>
      <c r="D942" s="173">
        <v>0.1</v>
      </c>
      <c r="E942" s="142" t="s">
        <v>450</v>
      </c>
    </row>
    <row r="943" spans="1:5" x14ac:dyDescent="0.25">
      <c r="A943" s="46">
        <v>99</v>
      </c>
      <c r="B943" s="143" t="s">
        <v>204</v>
      </c>
      <c r="C943" s="143" t="s">
        <v>519</v>
      </c>
      <c r="D943" s="144">
        <v>0.02</v>
      </c>
      <c r="E943" s="142" t="s">
        <v>450</v>
      </c>
    </row>
    <row r="944" spans="1:5" x14ac:dyDescent="0.25">
      <c r="A944" s="46">
        <v>99</v>
      </c>
      <c r="B944" s="143" t="s">
        <v>204</v>
      </c>
      <c r="C944" s="143" t="s">
        <v>677</v>
      </c>
      <c r="D944" s="144">
        <v>1.4999999999999999E-2</v>
      </c>
      <c r="E944" s="142" t="s">
        <v>450</v>
      </c>
    </row>
    <row r="945" spans="1:5" x14ac:dyDescent="0.25">
      <c r="A945" s="46">
        <v>99</v>
      </c>
      <c r="B945" s="143" t="s">
        <v>204</v>
      </c>
      <c r="C945" s="143" t="s">
        <v>453</v>
      </c>
      <c r="D945" s="144">
        <v>8.0000000000000002E-3</v>
      </c>
      <c r="E945" s="142" t="s">
        <v>450</v>
      </c>
    </row>
    <row r="946" spans="1:5" x14ac:dyDescent="0.25">
      <c r="A946" s="46">
        <v>99</v>
      </c>
      <c r="B946" s="143" t="s">
        <v>204</v>
      </c>
      <c r="C946" s="156" t="s">
        <v>710</v>
      </c>
      <c r="D946" s="144">
        <v>0.15</v>
      </c>
      <c r="E946" s="142" t="s">
        <v>448</v>
      </c>
    </row>
    <row r="947" spans="1:5" x14ac:dyDescent="0.25">
      <c r="A947" s="46">
        <v>191</v>
      </c>
      <c r="B947" s="143" t="s">
        <v>33</v>
      </c>
      <c r="C947" s="143" t="s">
        <v>656</v>
      </c>
      <c r="D947" s="148">
        <v>0.12</v>
      </c>
      <c r="E947" s="145" t="s">
        <v>450</v>
      </c>
    </row>
    <row r="948" spans="1:5" x14ac:dyDescent="0.25">
      <c r="A948" s="46">
        <v>191</v>
      </c>
      <c r="B948" s="143" t="s">
        <v>33</v>
      </c>
      <c r="C948" s="143" t="s">
        <v>862</v>
      </c>
      <c r="D948" s="148">
        <v>8.0000000000000002E-3</v>
      </c>
      <c r="E948" s="145" t="s">
        <v>450</v>
      </c>
    </row>
    <row r="949" spans="1:5" x14ac:dyDescent="0.25">
      <c r="A949" s="46">
        <v>191</v>
      </c>
      <c r="B949" s="143" t="s">
        <v>33</v>
      </c>
      <c r="C949" s="143" t="s">
        <v>863</v>
      </c>
      <c r="D949" s="148">
        <v>2E-3</v>
      </c>
      <c r="E949" s="145" t="s">
        <v>448</v>
      </c>
    </row>
    <row r="950" spans="1:5" x14ac:dyDescent="0.25">
      <c r="A950" s="46">
        <v>191</v>
      </c>
      <c r="B950" s="143" t="s">
        <v>33</v>
      </c>
      <c r="C950" s="143" t="s">
        <v>589</v>
      </c>
      <c r="D950" s="148">
        <v>0.03</v>
      </c>
      <c r="E950" s="145" t="s">
        <v>450</v>
      </c>
    </row>
    <row r="951" spans="1:5" x14ac:dyDescent="0.25">
      <c r="A951" s="46">
        <v>191</v>
      </c>
      <c r="B951" s="143" t="s">
        <v>33</v>
      </c>
      <c r="C951" s="143" t="s">
        <v>554</v>
      </c>
      <c r="D951" s="148">
        <v>0.03</v>
      </c>
      <c r="E951" s="145" t="s">
        <v>450</v>
      </c>
    </row>
    <row r="952" spans="1:5" x14ac:dyDescent="0.25">
      <c r="A952" s="46">
        <v>191</v>
      </c>
      <c r="B952" s="143" t="s">
        <v>33</v>
      </c>
      <c r="C952" s="143" t="s">
        <v>478</v>
      </c>
      <c r="D952" s="148">
        <v>3.0000000000000001E-3</v>
      </c>
      <c r="E952" s="145" t="s">
        <v>448</v>
      </c>
    </row>
    <row r="953" spans="1:5" x14ac:dyDescent="0.25">
      <c r="A953" s="46">
        <v>191</v>
      </c>
      <c r="B953" s="143" t="s">
        <v>33</v>
      </c>
      <c r="C953" s="143" t="s">
        <v>470</v>
      </c>
      <c r="D953" s="148">
        <v>2E-3</v>
      </c>
      <c r="E953" s="145" t="s">
        <v>450</v>
      </c>
    </row>
    <row r="954" spans="1:5" x14ac:dyDescent="0.25">
      <c r="A954" s="46">
        <v>191</v>
      </c>
      <c r="B954" s="143" t="s">
        <v>33</v>
      </c>
      <c r="C954" s="143" t="s">
        <v>516</v>
      </c>
      <c r="D954" s="148">
        <v>1E-3</v>
      </c>
      <c r="E954" s="145" t="s">
        <v>450</v>
      </c>
    </row>
    <row r="955" spans="1:5" x14ac:dyDescent="0.25">
      <c r="A955" s="46">
        <v>191</v>
      </c>
      <c r="B955" s="143" t="s">
        <v>33</v>
      </c>
      <c r="C955" s="143" t="s">
        <v>864</v>
      </c>
      <c r="D955" s="148">
        <v>0.01</v>
      </c>
      <c r="E955" s="145" t="s">
        <v>450</v>
      </c>
    </row>
    <row r="956" spans="1:5" x14ac:dyDescent="0.25">
      <c r="A956" s="46">
        <v>143</v>
      </c>
      <c r="B956" s="143" t="s">
        <v>226</v>
      </c>
      <c r="C956" s="89" t="s">
        <v>601</v>
      </c>
      <c r="D956" s="141">
        <v>0.17</v>
      </c>
      <c r="E956" s="141" t="s">
        <v>458</v>
      </c>
    </row>
    <row r="957" spans="1:5" x14ac:dyDescent="0.25">
      <c r="A957" s="46">
        <v>143</v>
      </c>
      <c r="B957" s="143" t="s">
        <v>226</v>
      </c>
      <c r="C957" s="146" t="s">
        <v>612</v>
      </c>
      <c r="D957" s="141">
        <v>0.1</v>
      </c>
      <c r="E957" s="141" t="s">
        <v>448</v>
      </c>
    </row>
    <row r="958" spans="1:5" x14ac:dyDescent="0.25">
      <c r="A958" s="46">
        <v>143</v>
      </c>
      <c r="B958" s="143" t="s">
        <v>226</v>
      </c>
      <c r="C958" s="89" t="s">
        <v>795</v>
      </c>
      <c r="D958" s="141">
        <v>0.01</v>
      </c>
      <c r="E958" s="141" t="s">
        <v>448</v>
      </c>
    </row>
    <row r="959" spans="1:5" x14ac:dyDescent="0.25">
      <c r="A959" s="46">
        <v>143</v>
      </c>
      <c r="B959" s="143" t="s">
        <v>226</v>
      </c>
      <c r="C959" s="89" t="s">
        <v>622</v>
      </c>
      <c r="D959" s="141">
        <v>0.05</v>
      </c>
      <c r="E959" s="141" t="s">
        <v>448</v>
      </c>
    </row>
    <row r="960" spans="1:5" x14ac:dyDescent="0.25">
      <c r="A960" s="46">
        <v>143</v>
      </c>
      <c r="B960" s="143" t="s">
        <v>226</v>
      </c>
      <c r="C960" s="89" t="s">
        <v>796</v>
      </c>
      <c r="D960" s="141">
        <v>5.0000000000000001E-4</v>
      </c>
      <c r="E960" s="141" t="s">
        <v>448</v>
      </c>
    </row>
    <row r="961" spans="1:5" x14ac:dyDescent="0.25">
      <c r="A961" s="46">
        <v>143</v>
      </c>
      <c r="B961" s="143" t="s">
        <v>226</v>
      </c>
      <c r="C961" s="89" t="s">
        <v>488</v>
      </c>
      <c r="D961" s="141">
        <v>1.5E-3</v>
      </c>
      <c r="E961" s="141" t="s">
        <v>450</v>
      </c>
    </row>
    <row r="962" spans="1:5" x14ac:dyDescent="0.25">
      <c r="A962" s="46">
        <v>143</v>
      </c>
      <c r="B962" s="143" t="s">
        <v>226</v>
      </c>
      <c r="C962" s="89" t="s">
        <v>613</v>
      </c>
      <c r="D962" s="141">
        <v>1</v>
      </c>
      <c r="E962" s="141" t="s">
        <v>579</v>
      </c>
    </row>
    <row r="963" spans="1:5" x14ac:dyDescent="0.25">
      <c r="A963" s="46">
        <v>143</v>
      </c>
      <c r="B963" s="143" t="s">
        <v>226</v>
      </c>
      <c r="C963" s="89" t="s">
        <v>636</v>
      </c>
      <c r="D963" s="141">
        <v>5.0000000000000001E-4</v>
      </c>
      <c r="E963" s="141" t="s">
        <v>458</v>
      </c>
    </row>
    <row r="964" spans="1:5" x14ac:dyDescent="0.25">
      <c r="A964" s="46">
        <v>143</v>
      </c>
      <c r="B964" s="143" t="s">
        <v>226</v>
      </c>
      <c r="C964" s="89" t="s">
        <v>498</v>
      </c>
      <c r="D964" s="141">
        <v>5.0000000000000001E-3</v>
      </c>
      <c r="E964" s="141" t="s">
        <v>458</v>
      </c>
    </row>
    <row r="965" spans="1:5" x14ac:dyDescent="0.25">
      <c r="A965" s="46">
        <v>143</v>
      </c>
      <c r="B965" s="143" t="s">
        <v>226</v>
      </c>
      <c r="C965" s="89" t="s">
        <v>466</v>
      </c>
      <c r="D965" s="141">
        <v>1E-3</v>
      </c>
      <c r="E965" s="141" t="s">
        <v>458</v>
      </c>
    </row>
    <row r="966" spans="1:5" x14ac:dyDescent="0.25">
      <c r="A966" s="46">
        <v>143</v>
      </c>
      <c r="B966" s="143" t="s">
        <v>226</v>
      </c>
      <c r="C966" s="89" t="s">
        <v>797</v>
      </c>
      <c r="D966" s="141">
        <v>2.5000000000000001E-2</v>
      </c>
      <c r="E966" s="141" t="s">
        <v>458</v>
      </c>
    </row>
    <row r="967" spans="1:5" x14ac:dyDescent="0.25">
      <c r="A967" s="46">
        <v>16</v>
      </c>
      <c r="B967" s="143" t="s">
        <v>162</v>
      </c>
      <c r="C967" s="146" t="s">
        <v>691</v>
      </c>
      <c r="D967" s="154">
        <v>7.0000000000000007E-2</v>
      </c>
      <c r="E967" s="155" t="s">
        <v>450</v>
      </c>
    </row>
    <row r="968" spans="1:5" x14ac:dyDescent="0.25">
      <c r="A968" s="46">
        <v>16</v>
      </c>
      <c r="B968" s="143" t="s">
        <v>162</v>
      </c>
      <c r="C968" s="90" t="s">
        <v>692</v>
      </c>
      <c r="D968" s="154">
        <v>0.05</v>
      </c>
      <c r="E968" s="155" t="s">
        <v>450</v>
      </c>
    </row>
    <row r="969" spans="1:5" x14ac:dyDescent="0.25">
      <c r="A969" s="46">
        <v>16</v>
      </c>
      <c r="B969" s="143" t="s">
        <v>162</v>
      </c>
      <c r="C969" s="90" t="s">
        <v>550</v>
      </c>
      <c r="D969" s="154">
        <v>0.08</v>
      </c>
      <c r="E969" s="155" t="s">
        <v>458</v>
      </c>
    </row>
    <row r="970" spans="1:5" x14ac:dyDescent="0.25">
      <c r="A970" s="46">
        <v>16</v>
      </c>
      <c r="B970" s="143" t="s">
        <v>162</v>
      </c>
      <c r="C970" s="90" t="s">
        <v>693</v>
      </c>
      <c r="D970" s="154">
        <v>0.08</v>
      </c>
      <c r="E970" s="155" t="s">
        <v>458</v>
      </c>
    </row>
    <row r="971" spans="1:5" x14ac:dyDescent="0.25">
      <c r="A971" s="46">
        <v>16</v>
      </c>
      <c r="B971" s="143" t="s">
        <v>162</v>
      </c>
      <c r="C971" s="90" t="s">
        <v>694</v>
      </c>
      <c r="D971" s="154">
        <v>3.0000000000000001E-3</v>
      </c>
      <c r="E971" s="155" t="s">
        <v>458</v>
      </c>
    </row>
    <row r="972" spans="1:5" x14ac:dyDescent="0.25">
      <c r="A972" s="46">
        <v>16</v>
      </c>
      <c r="B972" s="143" t="s">
        <v>162</v>
      </c>
      <c r="C972" s="90" t="s">
        <v>488</v>
      </c>
      <c r="D972" s="154">
        <v>0.01</v>
      </c>
      <c r="E972" s="155" t="s">
        <v>450</v>
      </c>
    </row>
    <row r="973" spans="1:5" x14ac:dyDescent="0.25">
      <c r="A973" s="46">
        <v>16</v>
      </c>
      <c r="B973" s="143" t="s">
        <v>162</v>
      </c>
      <c r="C973" s="143" t="s">
        <v>487</v>
      </c>
      <c r="D973" s="154">
        <v>3.0000000000000001E-3</v>
      </c>
      <c r="E973" s="155" t="s">
        <v>458</v>
      </c>
    </row>
    <row r="974" spans="1:5" x14ac:dyDescent="0.25">
      <c r="A974" s="46">
        <v>16</v>
      </c>
      <c r="B974" s="143" t="s">
        <v>162</v>
      </c>
      <c r="C974" s="90" t="s">
        <v>694</v>
      </c>
      <c r="D974" s="154">
        <v>0.02</v>
      </c>
      <c r="E974" s="155" t="s">
        <v>450</v>
      </c>
    </row>
    <row r="975" spans="1:5" x14ac:dyDescent="0.25">
      <c r="A975" s="46">
        <v>16</v>
      </c>
      <c r="B975" s="143" t="s">
        <v>162</v>
      </c>
      <c r="C975" s="90" t="s">
        <v>695</v>
      </c>
      <c r="D975" s="154">
        <v>0.04</v>
      </c>
      <c r="E975" s="155" t="s">
        <v>450</v>
      </c>
    </row>
    <row r="976" spans="1:5" x14ac:dyDescent="0.25">
      <c r="A976" s="46">
        <v>16</v>
      </c>
      <c r="B976" s="143" t="s">
        <v>162</v>
      </c>
      <c r="C976" s="90" t="s">
        <v>689</v>
      </c>
      <c r="D976" s="154">
        <v>1E-3</v>
      </c>
      <c r="E976" s="155" t="s">
        <v>448</v>
      </c>
    </row>
    <row r="977" spans="1:5" x14ac:dyDescent="0.25">
      <c r="A977" s="46">
        <v>16</v>
      </c>
      <c r="B977" s="143" t="s">
        <v>162</v>
      </c>
      <c r="C977" s="90" t="s">
        <v>466</v>
      </c>
      <c r="D977" s="154">
        <v>3.0000000000000001E-3</v>
      </c>
      <c r="E977" s="155" t="s">
        <v>458</v>
      </c>
    </row>
    <row r="978" spans="1:5" x14ac:dyDescent="0.25">
      <c r="A978" s="46">
        <v>16</v>
      </c>
      <c r="B978" s="143" t="s">
        <v>162</v>
      </c>
      <c r="C978" s="90" t="s">
        <v>453</v>
      </c>
      <c r="D978" s="154">
        <v>0.01</v>
      </c>
      <c r="E978" s="155" t="s">
        <v>450</v>
      </c>
    </row>
    <row r="979" spans="1:5" x14ac:dyDescent="0.25">
      <c r="A979" s="46">
        <v>16</v>
      </c>
      <c r="B979" s="143" t="s">
        <v>162</v>
      </c>
      <c r="C979" s="143" t="s">
        <v>578</v>
      </c>
      <c r="D979" s="154">
        <v>5.0000000000000001E-3</v>
      </c>
      <c r="E979" s="155" t="s">
        <v>448</v>
      </c>
    </row>
    <row r="980" spans="1:5" x14ac:dyDescent="0.25">
      <c r="A980" s="46">
        <v>16</v>
      </c>
      <c r="B980" s="143" t="s">
        <v>162</v>
      </c>
      <c r="C980" s="90" t="s">
        <v>688</v>
      </c>
      <c r="D980" s="154">
        <v>1E-3</v>
      </c>
      <c r="E980" s="155" t="s">
        <v>458</v>
      </c>
    </row>
    <row r="981" spans="1:5" x14ac:dyDescent="0.25">
      <c r="A981" s="46">
        <v>16</v>
      </c>
      <c r="B981" s="143" t="s">
        <v>162</v>
      </c>
      <c r="C981" s="143" t="s">
        <v>467</v>
      </c>
      <c r="D981" s="154">
        <v>2E-3</v>
      </c>
      <c r="E981" s="155" t="s">
        <v>448</v>
      </c>
    </row>
    <row r="982" spans="1:5" x14ac:dyDescent="0.25">
      <c r="A982" s="46">
        <v>16</v>
      </c>
      <c r="B982" s="143" t="s">
        <v>162</v>
      </c>
      <c r="C982" s="90" t="s">
        <v>581</v>
      </c>
      <c r="D982" s="154">
        <v>1.2E-2</v>
      </c>
      <c r="E982" s="155" t="s">
        <v>458</v>
      </c>
    </row>
    <row r="983" spans="1:5" x14ac:dyDescent="0.25">
      <c r="A983" s="46">
        <v>16</v>
      </c>
      <c r="B983" s="143" t="s">
        <v>162</v>
      </c>
      <c r="C983" s="152" t="s">
        <v>512</v>
      </c>
      <c r="D983" s="154">
        <v>1.2E-2</v>
      </c>
      <c r="E983" s="155" t="s">
        <v>458</v>
      </c>
    </row>
    <row r="984" spans="1:5" x14ac:dyDescent="0.25">
      <c r="A984" s="46">
        <v>186</v>
      </c>
      <c r="B984" s="143" t="s">
        <v>252</v>
      </c>
      <c r="C984" s="146" t="s">
        <v>691</v>
      </c>
      <c r="D984" s="148">
        <v>0.09</v>
      </c>
      <c r="E984" s="145" t="s">
        <v>450</v>
      </c>
    </row>
    <row r="985" spans="1:5" x14ac:dyDescent="0.25">
      <c r="A985" s="46">
        <v>186</v>
      </c>
      <c r="B985" s="143" t="s">
        <v>252</v>
      </c>
      <c r="C985" s="146" t="s">
        <v>507</v>
      </c>
      <c r="D985" s="148">
        <v>0.05</v>
      </c>
      <c r="E985" s="145" t="s">
        <v>458</v>
      </c>
    </row>
    <row r="986" spans="1:5" x14ac:dyDescent="0.25">
      <c r="A986" s="46">
        <v>186</v>
      </c>
      <c r="B986" s="143" t="s">
        <v>252</v>
      </c>
      <c r="C986" s="146" t="s">
        <v>655</v>
      </c>
      <c r="D986" s="148">
        <v>1E-4</v>
      </c>
      <c r="E986" s="145" t="s">
        <v>458</v>
      </c>
    </row>
    <row r="987" spans="1:5" x14ac:dyDescent="0.25">
      <c r="A987" s="46">
        <v>186</v>
      </c>
      <c r="B987" s="143" t="s">
        <v>252</v>
      </c>
      <c r="C987" s="146" t="s">
        <v>509</v>
      </c>
      <c r="D987" s="148">
        <v>0.01</v>
      </c>
      <c r="E987" s="145" t="s">
        <v>458</v>
      </c>
    </row>
    <row r="988" spans="1:5" x14ac:dyDescent="0.25">
      <c r="A988" s="46">
        <v>186</v>
      </c>
      <c r="B988" s="143" t="s">
        <v>252</v>
      </c>
      <c r="C988" s="146" t="s">
        <v>495</v>
      </c>
      <c r="D988" s="148">
        <v>1</v>
      </c>
      <c r="E988" s="145" t="s">
        <v>450</v>
      </c>
    </row>
    <row r="989" spans="1:5" x14ac:dyDescent="0.25">
      <c r="A989" s="46">
        <v>186</v>
      </c>
      <c r="B989" s="143" t="s">
        <v>252</v>
      </c>
      <c r="C989" s="146" t="s">
        <v>612</v>
      </c>
      <c r="D989" s="148">
        <v>7.0000000000000007E-2</v>
      </c>
      <c r="E989" s="145" t="s">
        <v>458</v>
      </c>
    </row>
    <row r="990" spans="1:5" x14ac:dyDescent="0.25">
      <c r="A990" s="46">
        <v>186</v>
      </c>
      <c r="B990" s="143" t="s">
        <v>252</v>
      </c>
      <c r="C990" s="146" t="s">
        <v>480</v>
      </c>
      <c r="D990" s="148">
        <v>1E-3</v>
      </c>
      <c r="E990" s="145" t="s">
        <v>458</v>
      </c>
    </row>
    <row r="991" spans="1:5" x14ac:dyDescent="0.25">
      <c r="A991" s="46">
        <v>186</v>
      </c>
      <c r="B991" s="143" t="s">
        <v>252</v>
      </c>
      <c r="C991" s="146" t="s">
        <v>538</v>
      </c>
      <c r="D991" s="148">
        <v>3.0000000000000001E-3</v>
      </c>
      <c r="E991" s="145" t="s">
        <v>653</v>
      </c>
    </row>
    <row r="992" spans="1:5" x14ac:dyDescent="0.25">
      <c r="A992" s="46">
        <v>186</v>
      </c>
      <c r="B992" s="143" t="s">
        <v>252</v>
      </c>
      <c r="C992" s="146" t="s">
        <v>852</v>
      </c>
      <c r="D992" s="148">
        <v>0.02</v>
      </c>
      <c r="E992" s="145" t="s">
        <v>458</v>
      </c>
    </row>
    <row r="993" spans="1:5" x14ac:dyDescent="0.25">
      <c r="A993" s="46">
        <v>186</v>
      </c>
      <c r="B993" s="143" t="s">
        <v>252</v>
      </c>
      <c r="C993" s="146" t="s">
        <v>647</v>
      </c>
      <c r="D993" s="148">
        <v>0.01</v>
      </c>
      <c r="E993" s="145" t="s">
        <v>458</v>
      </c>
    </row>
    <row r="994" spans="1:5" x14ac:dyDescent="0.25">
      <c r="A994" s="46">
        <v>186</v>
      </c>
      <c r="B994" s="143" t="s">
        <v>252</v>
      </c>
      <c r="C994" s="146" t="s">
        <v>504</v>
      </c>
      <c r="D994" s="148">
        <v>3.0000000000000001E-3</v>
      </c>
      <c r="E994" s="145" t="s">
        <v>450</v>
      </c>
    </row>
    <row r="995" spans="1:5" x14ac:dyDescent="0.25">
      <c r="A995" s="46">
        <v>186</v>
      </c>
      <c r="B995" s="143" t="s">
        <v>252</v>
      </c>
      <c r="C995" s="146" t="s">
        <v>487</v>
      </c>
      <c r="D995" s="148">
        <v>1E-3</v>
      </c>
      <c r="E995" s="145" t="s">
        <v>458</v>
      </c>
    </row>
    <row r="996" spans="1:5" x14ac:dyDescent="0.25">
      <c r="A996" s="46">
        <v>186</v>
      </c>
      <c r="B996" s="143" t="s">
        <v>252</v>
      </c>
      <c r="C996" s="146" t="s">
        <v>488</v>
      </c>
      <c r="D996" s="148">
        <v>0.01</v>
      </c>
      <c r="E996" s="145" t="s">
        <v>450</v>
      </c>
    </row>
    <row r="997" spans="1:5" x14ac:dyDescent="0.25">
      <c r="A997" s="46">
        <v>186</v>
      </c>
      <c r="B997" s="143" t="s">
        <v>252</v>
      </c>
      <c r="C997" s="146" t="s">
        <v>467</v>
      </c>
      <c r="D997" s="148">
        <v>2E-3</v>
      </c>
      <c r="E997" s="145" t="s">
        <v>448</v>
      </c>
    </row>
    <row r="998" spans="1:5" x14ac:dyDescent="0.25">
      <c r="A998" s="46">
        <v>229</v>
      </c>
      <c r="B998" s="143" t="s">
        <v>40</v>
      </c>
      <c r="C998" s="89" t="s">
        <v>925</v>
      </c>
      <c r="D998" s="141">
        <v>0.09</v>
      </c>
      <c r="E998" s="145" t="s">
        <v>450</v>
      </c>
    </row>
    <row r="999" spans="1:5" x14ac:dyDescent="0.25">
      <c r="A999" s="46">
        <v>229</v>
      </c>
      <c r="B999" s="143" t="s">
        <v>40</v>
      </c>
      <c r="C999" s="89" t="s">
        <v>480</v>
      </c>
      <c r="D999" s="141">
        <v>1E-3</v>
      </c>
      <c r="E999" s="145" t="s">
        <v>450</v>
      </c>
    </row>
    <row r="1000" spans="1:5" x14ac:dyDescent="0.25">
      <c r="A1000" s="46">
        <v>229</v>
      </c>
      <c r="B1000" s="143" t="s">
        <v>40</v>
      </c>
      <c r="C1000" s="143" t="s">
        <v>500</v>
      </c>
      <c r="D1000" s="141">
        <v>5.0000000000000001E-3</v>
      </c>
      <c r="E1000" s="145" t="s">
        <v>450</v>
      </c>
    </row>
    <row r="1001" spans="1:5" x14ac:dyDescent="0.25">
      <c r="A1001" s="46">
        <v>229</v>
      </c>
      <c r="B1001" s="143" t="s">
        <v>40</v>
      </c>
      <c r="C1001" s="89" t="s">
        <v>926</v>
      </c>
      <c r="D1001" s="141">
        <v>1E-3</v>
      </c>
      <c r="E1001" s="145" t="s">
        <v>450</v>
      </c>
    </row>
    <row r="1002" spans="1:5" x14ac:dyDescent="0.25">
      <c r="A1002" s="46">
        <v>229</v>
      </c>
      <c r="B1002" s="143" t="s">
        <v>40</v>
      </c>
      <c r="C1002" s="89" t="s">
        <v>478</v>
      </c>
      <c r="D1002" s="141">
        <v>1.4999999999999999E-2</v>
      </c>
      <c r="E1002" s="141" t="s">
        <v>448</v>
      </c>
    </row>
    <row r="1003" spans="1:5" x14ac:dyDescent="0.25">
      <c r="A1003" s="46">
        <v>229</v>
      </c>
      <c r="B1003" s="143" t="s">
        <v>40</v>
      </c>
      <c r="C1003" s="89" t="s">
        <v>470</v>
      </c>
      <c r="D1003" s="141">
        <v>3.0000000000000001E-3</v>
      </c>
      <c r="E1003" s="145" t="s">
        <v>450</v>
      </c>
    </row>
    <row r="1004" spans="1:5" x14ac:dyDescent="0.25">
      <c r="A1004" s="46">
        <v>229</v>
      </c>
      <c r="B1004" s="143" t="s">
        <v>40</v>
      </c>
      <c r="C1004" s="89" t="s">
        <v>516</v>
      </c>
      <c r="D1004" s="141">
        <v>1E-3</v>
      </c>
      <c r="E1004" s="145" t="s">
        <v>450</v>
      </c>
    </row>
    <row r="1005" spans="1:5" x14ac:dyDescent="0.25">
      <c r="A1005" s="46">
        <v>229</v>
      </c>
      <c r="B1005" s="143" t="s">
        <v>40</v>
      </c>
      <c r="C1005" s="143" t="s">
        <v>578</v>
      </c>
      <c r="D1005" s="141">
        <v>1E-4</v>
      </c>
      <c r="E1005" s="141" t="s">
        <v>448</v>
      </c>
    </row>
    <row r="1006" spans="1:5" x14ac:dyDescent="0.25">
      <c r="A1006" s="46">
        <v>345</v>
      </c>
      <c r="B1006" s="143" t="s">
        <v>366</v>
      </c>
      <c r="C1006" s="175" t="s">
        <v>1077</v>
      </c>
      <c r="D1006" s="175">
        <v>7.4999999999999997E-2</v>
      </c>
      <c r="E1006" s="176"/>
    </row>
    <row r="1007" spans="1:5" x14ac:dyDescent="0.25">
      <c r="A1007" s="46">
        <v>345</v>
      </c>
      <c r="B1007" s="143" t="s">
        <v>366</v>
      </c>
      <c r="C1007" s="175" t="s">
        <v>1078</v>
      </c>
      <c r="D1007" s="175">
        <v>0.01</v>
      </c>
      <c r="E1007" s="176"/>
    </row>
    <row r="1008" spans="1:5" x14ac:dyDescent="0.25">
      <c r="A1008" s="46">
        <v>345</v>
      </c>
      <c r="B1008" s="143" t="s">
        <v>366</v>
      </c>
      <c r="C1008" s="175" t="s">
        <v>1079</v>
      </c>
      <c r="D1008" s="175">
        <v>0.01</v>
      </c>
      <c r="E1008" s="176"/>
    </row>
    <row r="1009" spans="1:5" x14ac:dyDescent="0.25">
      <c r="A1009" s="46">
        <v>345</v>
      </c>
      <c r="B1009" s="143" t="s">
        <v>366</v>
      </c>
      <c r="C1009" s="175" t="s">
        <v>1080</v>
      </c>
      <c r="D1009" s="175">
        <v>0.01</v>
      </c>
      <c r="E1009" s="176"/>
    </row>
    <row r="1010" spans="1:5" x14ac:dyDescent="0.25">
      <c r="A1010" s="46">
        <v>345</v>
      </c>
      <c r="B1010" s="143" t="s">
        <v>366</v>
      </c>
      <c r="C1010" s="175" t="s">
        <v>1081</v>
      </c>
      <c r="D1010" s="175">
        <v>0.01</v>
      </c>
      <c r="E1010" s="176"/>
    </row>
    <row r="1011" spans="1:5" x14ac:dyDescent="0.25">
      <c r="A1011" s="46">
        <v>345</v>
      </c>
      <c r="B1011" s="143" t="s">
        <v>366</v>
      </c>
      <c r="C1011" s="175" t="s">
        <v>1037</v>
      </c>
      <c r="D1011" s="175">
        <v>0.02</v>
      </c>
      <c r="E1011" s="176"/>
    </row>
    <row r="1012" spans="1:5" x14ac:dyDescent="0.25">
      <c r="A1012" s="46">
        <v>345</v>
      </c>
      <c r="B1012" s="143" t="s">
        <v>366</v>
      </c>
      <c r="C1012" s="175" t="s">
        <v>1034</v>
      </c>
      <c r="D1012" s="175">
        <v>5.0000000000000001E-3</v>
      </c>
      <c r="E1012" s="176"/>
    </row>
    <row r="1013" spans="1:5" x14ac:dyDescent="0.25">
      <c r="A1013" s="46">
        <v>345</v>
      </c>
      <c r="B1013" s="143" t="s">
        <v>366</v>
      </c>
      <c r="C1013" s="175" t="s">
        <v>588</v>
      </c>
      <c r="D1013" s="175">
        <v>2E-3</v>
      </c>
      <c r="E1013" s="176"/>
    </row>
    <row r="1014" spans="1:5" x14ac:dyDescent="0.25">
      <c r="A1014" s="46">
        <v>345</v>
      </c>
      <c r="B1014" s="143" t="s">
        <v>366</v>
      </c>
      <c r="C1014" s="175" t="s">
        <v>687</v>
      </c>
      <c r="D1014" s="175">
        <v>2E-3</v>
      </c>
      <c r="E1014" s="176"/>
    </row>
    <row r="1015" spans="1:5" x14ac:dyDescent="0.25">
      <c r="A1015" s="46">
        <v>345</v>
      </c>
      <c r="B1015" s="143" t="s">
        <v>366</v>
      </c>
      <c r="C1015" s="175" t="s">
        <v>470</v>
      </c>
      <c r="D1015" s="175">
        <v>1E-3</v>
      </c>
      <c r="E1015" s="176"/>
    </row>
    <row r="1016" spans="1:5" x14ac:dyDescent="0.25">
      <c r="A1016" s="46">
        <v>345</v>
      </c>
      <c r="B1016" s="143" t="s">
        <v>366</v>
      </c>
      <c r="C1016" s="175" t="s">
        <v>478</v>
      </c>
      <c r="D1016" s="175">
        <v>0.01</v>
      </c>
      <c r="E1016" s="176"/>
    </row>
    <row r="1017" spans="1:5" x14ac:dyDescent="0.25">
      <c r="A1017" s="46">
        <v>345</v>
      </c>
      <c r="B1017" s="143" t="s">
        <v>366</v>
      </c>
      <c r="C1017" s="175" t="s">
        <v>516</v>
      </c>
      <c r="D1017" s="175">
        <v>1E-4</v>
      </c>
      <c r="E1017" s="176"/>
    </row>
    <row r="1018" spans="1:5" x14ac:dyDescent="0.25">
      <c r="A1018" s="46">
        <v>119</v>
      </c>
      <c r="B1018" s="143" t="s">
        <v>214</v>
      </c>
      <c r="C1018" s="89" t="s">
        <v>524</v>
      </c>
      <c r="D1018" s="141">
        <v>0.1</v>
      </c>
      <c r="E1018" s="141" t="s">
        <v>450</v>
      </c>
    </row>
    <row r="1019" spans="1:5" x14ac:dyDescent="0.25">
      <c r="A1019" s="46">
        <v>119</v>
      </c>
      <c r="B1019" s="143" t="s">
        <v>214</v>
      </c>
      <c r="C1019" s="89" t="s">
        <v>466</v>
      </c>
      <c r="D1019" s="158">
        <v>2E-3</v>
      </c>
      <c r="E1019" s="141" t="s">
        <v>450</v>
      </c>
    </row>
    <row r="1020" spans="1:5" x14ac:dyDescent="0.25">
      <c r="A1020" s="46">
        <v>119</v>
      </c>
      <c r="B1020" s="143" t="s">
        <v>214</v>
      </c>
      <c r="C1020" s="89" t="s">
        <v>467</v>
      </c>
      <c r="D1020" s="158">
        <v>5.0000000000000001E-3</v>
      </c>
      <c r="E1020" s="141" t="s">
        <v>448</v>
      </c>
    </row>
    <row r="1021" spans="1:5" x14ac:dyDescent="0.25">
      <c r="A1021" s="46">
        <v>119</v>
      </c>
      <c r="B1021" s="143" t="s">
        <v>214</v>
      </c>
      <c r="C1021" s="143" t="s">
        <v>762</v>
      </c>
      <c r="D1021" s="174">
        <v>1E-3</v>
      </c>
      <c r="E1021" s="141" t="s">
        <v>450</v>
      </c>
    </row>
    <row r="1022" spans="1:5" x14ac:dyDescent="0.25">
      <c r="A1022" s="46">
        <v>119</v>
      </c>
      <c r="B1022" s="143" t="s">
        <v>214</v>
      </c>
      <c r="C1022" s="89" t="s">
        <v>451</v>
      </c>
      <c r="D1022" s="174">
        <v>2E-3</v>
      </c>
      <c r="E1022" s="141" t="s">
        <v>450</v>
      </c>
    </row>
    <row r="1023" spans="1:5" x14ac:dyDescent="0.25">
      <c r="A1023" s="46">
        <v>119</v>
      </c>
      <c r="B1023" s="143" t="s">
        <v>214</v>
      </c>
      <c r="C1023" s="89" t="s">
        <v>489</v>
      </c>
      <c r="D1023" s="174">
        <v>8.0000000000000002E-3</v>
      </c>
      <c r="E1023" s="141" t="s">
        <v>450</v>
      </c>
    </row>
    <row r="1024" spans="1:5" x14ac:dyDescent="0.25">
      <c r="A1024" s="46">
        <v>119</v>
      </c>
      <c r="B1024" s="143" t="s">
        <v>214</v>
      </c>
      <c r="C1024" s="89" t="s">
        <v>488</v>
      </c>
      <c r="D1024" s="158">
        <v>2E-3</v>
      </c>
      <c r="E1024" s="141" t="s">
        <v>450</v>
      </c>
    </row>
    <row r="1025" spans="1:5" x14ac:dyDescent="0.25">
      <c r="A1025" s="46">
        <v>119</v>
      </c>
      <c r="B1025" s="143" t="s">
        <v>214</v>
      </c>
      <c r="C1025" s="89" t="s">
        <v>504</v>
      </c>
      <c r="D1025" s="158">
        <v>0.03</v>
      </c>
      <c r="E1025" s="141" t="s">
        <v>458</v>
      </c>
    </row>
    <row r="1026" spans="1:5" x14ac:dyDescent="0.25">
      <c r="A1026" s="46">
        <v>119</v>
      </c>
      <c r="B1026" s="143" t="s">
        <v>214</v>
      </c>
      <c r="C1026" s="89" t="s">
        <v>636</v>
      </c>
      <c r="D1026" s="158">
        <v>5.0000000000000001E-4</v>
      </c>
      <c r="E1026" s="141" t="s">
        <v>450</v>
      </c>
    </row>
    <row r="1027" spans="1:5" x14ac:dyDescent="0.25">
      <c r="A1027" s="46">
        <v>119</v>
      </c>
      <c r="B1027" s="143" t="s">
        <v>214</v>
      </c>
      <c r="C1027" s="89" t="s">
        <v>767</v>
      </c>
      <c r="D1027" s="158">
        <v>0.01</v>
      </c>
      <c r="E1027" s="141" t="s">
        <v>450</v>
      </c>
    </row>
    <row r="1028" spans="1:5" x14ac:dyDescent="0.25">
      <c r="A1028" s="46">
        <v>119</v>
      </c>
      <c r="B1028" s="143" t="s">
        <v>214</v>
      </c>
      <c r="C1028" s="89" t="s">
        <v>768</v>
      </c>
      <c r="D1028" s="158">
        <v>5.0000000000000001E-3</v>
      </c>
      <c r="E1028" s="141" t="s">
        <v>458</v>
      </c>
    </row>
    <row r="1029" spans="1:5" x14ac:dyDescent="0.25">
      <c r="A1029" s="46">
        <v>119</v>
      </c>
      <c r="B1029" s="143" t="s">
        <v>214</v>
      </c>
      <c r="C1029" s="89" t="s">
        <v>509</v>
      </c>
      <c r="D1029" s="158">
        <v>8.0000000000000002E-3</v>
      </c>
      <c r="E1029" s="141" t="s">
        <v>458</v>
      </c>
    </row>
    <row r="1030" spans="1:5" x14ac:dyDescent="0.25">
      <c r="A1030" s="46">
        <v>119</v>
      </c>
      <c r="B1030" s="143" t="s">
        <v>214</v>
      </c>
      <c r="C1030" s="89" t="s">
        <v>527</v>
      </c>
      <c r="D1030" s="158">
        <v>8.0000000000000002E-3</v>
      </c>
      <c r="E1030" s="141" t="s">
        <v>458</v>
      </c>
    </row>
    <row r="1031" spans="1:5" x14ac:dyDescent="0.25">
      <c r="A1031" s="46">
        <v>119</v>
      </c>
      <c r="B1031" s="143" t="s">
        <v>214</v>
      </c>
      <c r="C1031" s="89" t="s">
        <v>480</v>
      </c>
      <c r="D1031" s="158">
        <v>1E-3</v>
      </c>
      <c r="E1031" s="141" t="s">
        <v>458</v>
      </c>
    </row>
    <row r="1032" spans="1:5" x14ac:dyDescent="0.25">
      <c r="A1032" s="46">
        <v>119</v>
      </c>
      <c r="B1032" s="143" t="s">
        <v>214</v>
      </c>
      <c r="C1032" s="89" t="s">
        <v>659</v>
      </c>
      <c r="D1032" s="158">
        <v>1E-4</v>
      </c>
      <c r="E1032" s="141" t="s">
        <v>458</v>
      </c>
    </row>
    <row r="1033" spans="1:5" x14ac:dyDescent="0.25">
      <c r="A1033" s="47">
        <v>263</v>
      </c>
      <c r="B1033" s="143" t="s">
        <v>294</v>
      </c>
      <c r="C1033" s="89" t="s">
        <v>524</v>
      </c>
      <c r="D1033" s="141">
        <v>0.1</v>
      </c>
      <c r="E1033" s="145" t="s">
        <v>450</v>
      </c>
    </row>
    <row r="1034" spans="1:5" x14ac:dyDescent="0.25">
      <c r="A1034" s="47">
        <v>263</v>
      </c>
      <c r="B1034" s="143" t="s">
        <v>294</v>
      </c>
      <c r="C1034" s="89" t="s">
        <v>525</v>
      </c>
      <c r="D1034" s="141">
        <v>1.4999999999999999E-2</v>
      </c>
      <c r="E1034" s="145" t="s">
        <v>450</v>
      </c>
    </row>
    <row r="1035" spans="1:5" x14ac:dyDescent="0.25">
      <c r="A1035" s="47">
        <v>263</v>
      </c>
      <c r="B1035" s="143" t="s">
        <v>294</v>
      </c>
      <c r="C1035" s="89" t="s">
        <v>526</v>
      </c>
      <c r="D1035" s="141">
        <v>5.0000000000000001E-3</v>
      </c>
      <c r="E1035" s="145" t="s">
        <v>450</v>
      </c>
    </row>
    <row r="1036" spans="1:5" x14ac:dyDescent="0.25">
      <c r="A1036" s="47">
        <v>263</v>
      </c>
      <c r="B1036" s="143" t="s">
        <v>294</v>
      </c>
      <c r="C1036" s="89" t="s">
        <v>527</v>
      </c>
      <c r="D1036" s="141">
        <v>1.4999999999999999E-2</v>
      </c>
      <c r="E1036" s="145" t="s">
        <v>450</v>
      </c>
    </row>
    <row r="1037" spans="1:5" x14ac:dyDescent="0.25">
      <c r="A1037" s="47">
        <v>263</v>
      </c>
      <c r="B1037" s="143" t="s">
        <v>294</v>
      </c>
      <c r="C1037" s="89" t="s">
        <v>504</v>
      </c>
      <c r="D1037" s="141">
        <v>0.03</v>
      </c>
      <c r="E1037" s="145" t="s">
        <v>450</v>
      </c>
    </row>
    <row r="1038" spans="1:5" x14ac:dyDescent="0.25">
      <c r="A1038" s="47">
        <v>263</v>
      </c>
      <c r="B1038" s="143" t="s">
        <v>294</v>
      </c>
      <c r="C1038" s="89" t="s">
        <v>470</v>
      </c>
      <c r="D1038" s="141">
        <v>2E-3</v>
      </c>
      <c r="E1038" s="145" t="s">
        <v>458</v>
      </c>
    </row>
    <row r="1039" spans="1:5" x14ac:dyDescent="0.25">
      <c r="A1039" s="47">
        <v>263</v>
      </c>
      <c r="B1039" s="143" t="s">
        <v>294</v>
      </c>
      <c r="C1039" s="89" t="s">
        <v>516</v>
      </c>
      <c r="D1039" s="141">
        <v>1E-3</v>
      </c>
      <c r="E1039" s="145" t="s">
        <v>458</v>
      </c>
    </row>
    <row r="1040" spans="1:5" x14ac:dyDescent="0.25">
      <c r="A1040" s="47">
        <v>263</v>
      </c>
      <c r="B1040" s="143" t="s">
        <v>294</v>
      </c>
      <c r="C1040" s="89" t="s">
        <v>480</v>
      </c>
      <c r="D1040" s="141">
        <v>1E-3</v>
      </c>
      <c r="E1040" s="145" t="s">
        <v>458</v>
      </c>
    </row>
    <row r="1041" spans="1:5" x14ac:dyDescent="0.25">
      <c r="A1041" s="46">
        <v>200</v>
      </c>
      <c r="B1041" s="143" t="s">
        <v>261</v>
      </c>
      <c r="C1041" s="143" t="s">
        <v>877</v>
      </c>
      <c r="D1041" s="148">
        <v>0.08</v>
      </c>
      <c r="E1041" s="145" t="s">
        <v>450</v>
      </c>
    </row>
    <row r="1042" spans="1:5" x14ac:dyDescent="0.25">
      <c r="A1042" s="46">
        <v>200</v>
      </c>
      <c r="B1042" s="143" t="s">
        <v>261</v>
      </c>
      <c r="C1042" s="143" t="s">
        <v>524</v>
      </c>
      <c r="D1042" s="148">
        <v>0.1</v>
      </c>
      <c r="E1042" s="145" t="s">
        <v>450</v>
      </c>
    </row>
    <row r="1043" spans="1:5" x14ac:dyDescent="0.25">
      <c r="A1043" s="46">
        <v>200</v>
      </c>
      <c r="B1043" s="143" t="s">
        <v>261</v>
      </c>
      <c r="C1043" s="143" t="s">
        <v>470</v>
      </c>
      <c r="D1043" s="148">
        <v>2E-3</v>
      </c>
      <c r="E1043" s="145" t="s">
        <v>450</v>
      </c>
    </row>
    <row r="1044" spans="1:5" x14ac:dyDescent="0.25">
      <c r="A1044" s="46">
        <v>200</v>
      </c>
      <c r="B1044" s="143" t="s">
        <v>261</v>
      </c>
      <c r="C1044" s="143" t="s">
        <v>516</v>
      </c>
      <c r="D1044" s="148">
        <v>2E-3</v>
      </c>
      <c r="E1044" s="145" t="s">
        <v>450</v>
      </c>
    </row>
    <row r="1045" spans="1:5" x14ac:dyDescent="0.25">
      <c r="A1045" s="46">
        <v>200</v>
      </c>
      <c r="B1045" s="143" t="s">
        <v>261</v>
      </c>
      <c r="C1045" s="143" t="s">
        <v>478</v>
      </c>
      <c r="D1045" s="148">
        <v>3.0000000000000001E-3</v>
      </c>
      <c r="E1045" s="145" t="s">
        <v>448</v>
      </c>
    </row>
    <row r="1046" spans="1:5" x14ac:dyDescent="0.25">
      <c r="A1046" s="46">
        <v>200</v>
      </c>
      <c r="B1046" s="143" t="s">
        <v>261</v>
      </c>
      <c r="C1046" s="143" t="s">
        <v>459</v>
      </c>
      <c r="D1046" s="148">
        <v>0.01</v>
      </c>
      <c r="E1046" s="145" t="s">
        <v>450</v>
      </c>
    </row>
    <row r="1047" spans="1:5" x14ac:dyDescent="0.25">
      <c r="A1047" s="46">
        <v>129</v>
      </c>
      <c r="B1047" s="143" t="s">
        <v>57</v>
      </c>
      <c r="C1047" s="146" t="s">
        <v>524</v>
      </c>
      <c r="D1047" s="148">
        <v>0.1</v>
      </c>
      <c r="E1047" s="145" t="s">
        <v>450</v>
      </c>
    </row>
    <row r="1048" spans="1:5" x14ac:dyDescent="0.25">
      <c r="A1048" s="46">
        <v>129</v>
      </c>
      <c r="B1048" s="143" t="s">
        <v>57</v>
      </c>
      <c r="C1048" s="146" t="s">
        <v>584</v>
      </c>
      <c r="D1048" s="148">
        <v>1.4999999999999999E-2</v>
      </c>
      <c r="E1048" s="145" t="s">
        <v>450</v>
      </c>
    </row>
    <row r="1049" spans="1:5" x14ac:dyDescent="0.25">
      <c r="A1049" s="46">
        <v>129</v>
      </c>
      <c r="B1049" s="143" t="s">
        <v>57</v>
      </c>
      <c r="C1049" s="146" t="s">
        <v>772</v>
      </c>
      <c r="D1049" s="148">
        <v>1.2E-2</v>
      </c>
      <c r="E1049" s="145" t="s">
        <v>448</v>
      </c>
    </row>
    <row r="1050" spans="1:5" x14ac:dyDescent="0.25">
      <c r="A1050" s="46">
        <v>129</v>
      </c>
      <c r="B1050" s="143" t="s">
        <v>57</v>
      </c>
      <c r="C1050" s="146" t="s">
        <v>488</v>
      </c>
      <c r="D1050" s="148">
        <v>1E-3</v>
      </c>
      <c r="E1050" s="145" t="s">
        <v>450</v>
      </c>
    </row>
    <row r="1051" spans="1:5" x14ac:dyDescent="0.25">
      <c r="A1051" s="46">
        <v>129</v>
      </c>
      <c r="B1051" s="143" t="s">
        <v>57</v>
      </c>
      <c r="C1051" s="146" t="s">
        <v>636</v>
      </c>
      <c r="D1051" s="149">
        <v>5.0000000000000001E-4</v>
      </c>
      <c r="E1051" s="145" t="s">
        <v>450</v>
      </c>
    </row>
    <row r="1052" spans="1:5" x14ac:dyDescent="0.25">
      <c r="A1052" s="46">
        <v>129</v>
      </c>
      <c r="B1052" s="143" t="s">
        <v>57</v>
      </c>
      <c r="C1052" s="146" t="s">
        <v>552</v>
      </c>
      <c r="D1052" s="149">
        <v>1E-3</v>
      </c>
      <c r="E1052" s="145" t="s">
        <v>458</v>
      </c>
    </row>
    <row r="1053" spans="1:5" x14ac:dyDescent="0.25">
      <c r="A1053" s="46">
        <v>129</v>
      </c>
      <c r="B1053" s="143" t="s">
        <v>57</v>
      </c>
      <c r="C1053" s="146" t="s">
        <v>776</v>
      </c>
      <c r="D1053" s="159">
        <v>1</v>
      </c>
      <c r="E1053" s="145" t="s">
        <v>579</v>
      </c>
    </row>
    <row r="1054" spans="1:5" x14ac:dyDescent="0.25">
      <c r="A1054" s="46">
        <v>170</v>
      </c>
      <c r="B1054" s="143" t="s">
        <v>67</v>
      </c>
      <c r="C1054" s="146" t="s">
        <v>682</v>
      </c>
      <c r="D1054" s="148">
        <v>0.12</v>
      </c>
      <c r="E1054" s="145" t="s">
        <v>450</v>
      </c>
    </row>
    <row r="1055" spans="1:5" x14ac:dyDescent="0.25">
      <c r="A1055" s="46">
        <v>170</v>
      </c>
      <c r="B1055" s="143" t="s">
        <v>67</v>
      </c>
      <c r="C1055" s="146" t="s">
        <v>467</v>
      </c>
      <c r="D1055" s="148">
        <v>2E-3</v>
      </c>
      <c r="E1055" s="145" t="s">
        <v>448</v>
      </c>
    </row>
    <row r="1056" spans="1:5" x14ac:dyDescent="0.25">
      <c r="A1056" s="46">
        <v>170</v>
      </c>
      <c r="B1056" s="143" t="s">
        <v>67</v>
      </c>
      <c r="C1056" s="146" t="s">
        <v>459</v>
      </c>
      <c r="D1056" s="148">
        <v>0.01</v>
      </c>
      <c r="E1056" s="145" t="s">
        <v>450</v>
      </c>
    </row>
    <row r="1057" spans="1:5" x14ac:dyDescent="0.25">
      <c r="A1057" s="46">
        <v>170</v>
      </c>
      <c r="B1057" s="143" t="s">
        <v>67</v>
      </c>
      <c r="C1057" s="146" t="s">
        <v>625</v>
      </c>
      <c r="D1057" s="151">
        <v>1</v>
      </c>
      <c r="E1057" s="145" t="s">
        <v>749</v>
      </c>
    </row>
    <row r="1058" spans="1:5" x14ac:dyDescent="0.25">
      <c r="A1058" s="46">
        <v>170</v>
      </c>
      <c r="B1058" s="143" t="s">
        <v>67</v>
      </c>
      <c r="C1058" s="146" t="s">
        <v>488</v>
      </c>
      <c r="D1058" s="148">
        <v>1E-3</v>
      </c>
      <c r="E1058" s="145" t="s">
        <v>458</v>
      </c>
    </row>
    <row r="1059" spans="1:5" x14ac:dyDescent="0.25">
      <c r="A1059" s="46">
        <v>170</v>
      </c>
      <c r="B1059" s="143" t="s">
        <v>67</v>
      </c>
      <c r="C1059" s="146" t="s">
        <v>636</v>
      </c>
      <c r="D1059" s="148">
        <v>1E-3</v>
      </c>
      <c r="E1059" s="145" t="s">
        <v>450</v>
      </c>
    </row>
    <row r="1060" spans="1:5" x14ac:dyDescent="0.25">
      <c r="A1060" s="46">
        <v>170</v>
      </c>
      <c r="B1060" s="143" t="s">
        <v>67</v>
      </c>
      <c r="C1060" s="146" t="s">
        <v>776</v>
      </c>
      <c r="D1060" s="159">
        <v>1</v>
      </c>
      <c r="E1060" s="145" t="s">
        <v>579</v>
      </c>
    </row>
    <row r="1061" spans="1:5" x14ac:dyDescent="0.25">
      <c r="A1061" s="46">
        <v>41</v>
      </c>
      <c r="B1061" s="143" t="s">
        <v>70</v>
      </c>
      <c r="C1061" s="146" t="s">
        <v>640</v>
      </c>
      <c r="D1061" s="148">
        <v>7.4999999999999997E-2</v>
      </c>
      <c r="E1061" s="145" t="s">
        <v>450</v>
      </c>
    </row>
    <row r="1062" spans="1:5" x14ac:dyDescent="0.25">
      <c r="A1062" s="46">
        <v>41</v>
      </c>
      <c r="B1062" s="143" t="s">
        <v>70</v>
      </c>
      <c r="C1062" s="143" t="s">
        <v>566</v>
      </c>
      <c r="D1062" s="148">
        <v>0.17</v>
      </c>
      <c r="E1062" s="145" t="s">
        <v>448</v>
      </c>
    </row>
    <row r="1063" spans="1:5" x14ac:dyDescent="0.25">
      <c r="A1063" s="46">
        <v>41</v>
      </c>
      <c r="B1063" s="143" t="s">
        <v>70</v>
      </c>
      <c r="C1063" s="146" t="s">
        <v>488</v>
      </c>
      <c r="D1063" s="148">
        <v>8.0000000000000002E-3</v>
      </c>
      <c r="E1063" s="145" t="s">
        <v>450</v>
      </c>
    </row>
    <row r="1064" spans="1:5" x14ac:dyDescent="0.25">
      <c r="A1064" s="46">
        <v>41</v>
      </c>
      <c r="B1064" s="143" t="s">
        <v>70</v>
      </c>
      <c r="C1064" s="146" t="s">
        <v>613</v>
      </c>
      <c r="D1064" s="151">
        <v>1</v>
      </c>
      <c r="E1064" s="145" t="s">
        <v>579</v>
      </c>
    </row>
    <row r="1065" spans="1:5" x14ac:dyDescent="0.25">
      <c r="A1065" s="46">
        <v>41</v>
      </c>
      <c r="B1065" s="143" t="s">
        <v>70</v>
      </c>
      <c r="C1065" s="146" t="s">
        <v>480</v>
      </c>
      <c r="D1065" s="148">
        <v>1E-4</v>
      </c>
      <c r="E1065" s="145" t="s">
        <v>458</v>
      </c>
    </row>
    <row r="1066" spans="1:5" x14ac:dyDescent="0.25">
      <c r="A1066" s="46">
        <v>41</v>
      </c>
      <c r="B1066" s="143" t="s">
        <v>70</v>
      </c>
      <c r="C1066" s="146" t="s">
        <v>618</v>
      </c>
      <c r="D1066" s="148">
        <v>0.03</v>
      </c>
      <c r="E1066" s="145" t="s">
        <v>458</v>
      </c>
    </row>
    <row r="1067" spans="1:5" x14ac:dyDescent="0.25">
      <c r="A1067" s="46">
        <v>41</v>
      </c>
      <c r="B1067" s="143" t="s">
        <v>70</v>
      </c>
      <c r="C1067" s="146" t="s">
        <v>542</v>
      </c>
      <c r="D1067" s="148">
        <v>1E-3</v>
      </c>
      <c r="E1067" s="145" t="s">
        <v>458</v>
      </c>
    </row>
    <row r="1068" spans="1:5" x14ac:dyDescent="0.25">
      <c r="A1068" s="46">
        <v>41</v>
      </c>
      <c r="B1068" s="143" t="s">
        <v>70</v>
      </c>
      <c r="C1068" s="146" t="s">
        <v>509</v>
      </c>
      <c r="D1068" s="148">
        <v>1E-3</v>
      </c>
      <c r="E1068" s="145" t="s">
        <v>458</v>
      </c>
    </row>
    <row r="1069" spans="1:5" x14ac:dyDescent="0.25">
      <c r="A1069" s="46">
        <v>41</v>
      </c>
      <c r="B1069" s="143" t="s">
        <v>70</v>
      </c>
      <c r="C1069" s="146" t="s">
        <v>627</v>
      </c>
      <c r="D1069" s="151">
        <v>1</v>
      </c>
      <c r="E1069" s="145" t="s">
        <v>749</v>
      </c>
    </row>
    <row r="1070" spans="1:5" x14ac:dyDescent="0.25">
      <c r="A1070" s="46">
        <v>162</v>
      </c>
      <c r="B1070" s="143" t="s">
        <v>238</v>
      </c>
      <c r="C1070" s="89" t="s">
        <v>817</v>
      </c>
      <c r="D1070" s="141">
        <v>0.1</v>
      </c>
      <c r="E1070" s="141" t="s">
        <v>450</v>
      </c>
    </row>
    <row r="1071" spans="1:5" x14ac:dyDescent="0.25">
      <c r="A1071" s="46">
        <v>162</v>
      </c>
      <c r="B1071" s="143" t="s">
        <v>238</v>
      </c>
      <c r="C1071" s="89" t="s">
        <v>687</v>
      </c>
      <c r="D1071" s="141">
        <v>0.02</v>
      </c>
      <c r="E1071" s="141" t="s">
        <v>450</v>
      </c>
    </row>
    <row r="1072" spans="1:5" x14ac:dyDescent="0.25">
      <c r="A1072" s="46">
        <v>162</v>
      </c>
      <c r="B1072" s="143" t="s">
        <v>238</v>
      </c>
      <c r="C1072" s="89" t="s">
        <v>527</v>
      </c>
      <c r="D1072" s="141">
        <v>1.4999999999999999E-2</v>
      </c>
      <c r="E1072" s="141" t="s">
        <v>458</v>
      </c>
    </row>
    <row r="1073" spans="1:5" x14ac:dyDescent="0.25">
      <c r="A1073" s="46">
        <v>162</v>
      </c>
      <c r="B1073" s="143" t="s">
        <v>238</v>
      </c>
      <c r="C1073" s="89" t="s">
        <v>525</v>
      </c>
      <c r="D1073" s="141">
        <v>0.01</v>
      </c>
      <c r="E1073" s="141" t="s">
        <v>458</v>
      </c>
    </row>
    <row r="1074" spans="1:5" x14ac:dyDescent="0.25">
      <c r="A1074" s="46">
        <v>162</v>
      </c>
      <c r="B1074" s="143" t="s">
        <v>238</v>
      </c>
      <c r="C1074" s="89" t="s">
        <v>785</v>
      </c>
      <c r="D1074" s="141">
        <v>0.1</v>
      </c>
      <c r="E1074" s="141" t="s">
        <v>450</v>
      </c>
    </row>
    <row r="1075" spans="1:5" x14ac:dyDescent="0.25">
      <c r="A1075" s="46">
        <v>162</v>
      </c>
      <c r="B1075" s="143" t="s">
        <v>238</v>
      </c>
      <c r="C1075" s="89" t="s">
        <v>488</v>
      </c>
      <c r="D1075" s="141">
        <v>2E-3</v>
      </c>
      <c r="E1075" s="141" t="s">
        <v>450</v>
      </c>
    </row>
    <row r="1076" spans="1:5" x14ac:dyDescent="0.25">
      <c r="A1076" s="46">
        <v>162</v>
      </c>
      <c r="B1076" s="143" t="s">
        <v>238</v>
      </c>
      <c r="C1076" s="89" t="s">
        <v>467</v>
      </c>
      <c r="D1076" s="141">
        <v>2E-3</v>
      </c>
      <c r="E1076" s="141" t="s">
        <v>448</v>
      </c>
    </row>
    <row r="1077" spans="1:5" x14ac:dyDescent="0.25">
      <c r="A1077" s="46">
        <v>162</v>
      </c>
      <c r="B1077" s="143" t="s">
        <v>238</v>
      </c>
      <c r="C1077" s="89" t="s">
        <v>487</v>
      </c>
      <c r="D1077" s="141">
        <v>1E-3</v>
      </c>
      <c r="E1077" s="141" t="s">
        <v>450</v>
      </c>
    </row>
    <row r="1078" spans="1:5" x14ac:dyDescent="0.25">
      <c r="A1078" s="46">
        <v>162</v>
      </c>
      <c r="B1078" s="143" t="s">
        <v>238</v>
      </c>
      <c r="C1078" s="89" t="s">
        <v>475</v>
      </c>
      <c r="D1078" s="141">
        <v>1.4999999999999999E-2</v>
      </c>
      <c r="E1078" s="141" t="s">
        <v>450</v>
      </c>
    </row>
    <row r="1079" spans="1:5" x14ac:dyDescent="0.25">
      <c r="A1079" s="46">
        <v>162</v>
      </c>
      <c r="B1079" s="143" t="s">
        <v>238</v>
      </c>
      <c r="C1079" s="89" t="s">
        <v>590</v>
      </c>
      <c r="D1079" s="141">
        <v>0.1</v>
      </c>
      <c r="E1079" s="141" t="s">
        <v>458</v>
      </c>
    </row>
    <row r="1080" spans="1:5" x14ac:dyDescent="0.25">
      <c r="A1080" s="46">
        <v>162</v>
      </c>
      <c r="B1080" s="143" t="s">
        <v>238</v>
      </c>
      <c r="C1080" s="89" t="s">
        <v>818</v>
      </c>
      <c r="D1080" s="141">
        <v>0.01</v>
      </c>
      <c r="E1080" s="141" t="s">
        <v>458</v>
      </c>
    </row>
    <row r="1081" spans="1:5" x14ac:dyDescent="0.25">
      <c r="A1081" s="46">
        <v>162</v>
      </c>
      <c r="B1081" s="143" t="s">
        <v>238</v>
      </c>
      <c r="C1081" s="89" t="s">
        <v>629</v>
      </c>
      <c r="D1081" s="141">
        <v>5.0000000000000001E-3</v>
      </c>
      <c r="E1081" s="141" t="s">
        <v>458</v>
      </c>
    </row>
    <row r="1082" spans="1:5" x14ac:dyDescent="0.25">
      <c r="A1082" s="46">
        <v>162</v>
      </c>
      <c r="B1082" s="143" t="s">
        <v>238</v>
      </c>
      <c r="C1082" s="89" t="s">
        <v>819</v>
      </c>
      <c r="D1082" s="141">
        <v>1E-3</v>
      </c>
      <c r="E1082" s="141" t="s">
        <v>450</v>
      </c>
    </row>
    <row r="1083" spans="1:5" x14ac:dyDescent="0.25">
      <c r="A1083" s="46">
        <v>150</v>
      </c>
      <c r="B1083" s="143" t="s">
        <v>231</v>
      </c>
      <c r="C1083" s="152" t="s">
        <v>804</v>
      </c>
      <c r="D1083" s="144">
        <v>0.18</v>
      </c>
      <c r="E1083" s="142" t="s">
        <v>450</v>
      </c>
    </row>
    <row r="1084" spans="1:5" x14ac:dyDescent="0.25">
      <c r="A1084" s="46">
        <v>150</v>
      </c>
      <c r="B1084" s="143" t="s">
        <v>231</v>
      </c>
      <c r="C1084" s="160" t="s">
        <v>477</v>
      </c>
      <c r="D1084" s="144">
        <v>0.02</v>
      </c>
      <c r="E1084" s="142" t="s">
        <v>458</v>
      </c>
    </row>
    <row r="1085" spans="1:5" x14ac:dyDescent="0.25">
      <c r="A1085" s="46">
        <v>150</v>
      </c>
      <c r="B1085" s="143" t="s">
        <v>231</v>
      </c>
      <c r="C1085" s="152" t="s">
        <v>726</v>
      </c>
      <c r="D1085" s="144">
        <v>5.0000000000000001E-3</v>
      </c>
      <c r="E1085" s="142" t="s">
        <v>458</v>
      </c>
    </row>
    <row r="1086" spans="1:5" x14ac:dyDescent="0.25">
      <c r="A1086" s="46">
        <v>150</v>
      </c>
      <c r="B1086" s="143" t="s">
        <v>231</v>
      </c>
      <c r="C1086" s="152" t="s">
        <v>480</v>
      </c>
      <c r="D1086" s="144">
        <v>1E-3</v>
      </c>
      <c r="E1086" s="142" t="s">
        <v>458</v>
      </c>
    </row>
    <row r="1087" spans="1:5" x14ac:dyDescent="0.25">
      <c r="A1087" s="46">
        <v>150</v>
      </c>
      <c r="B1087" s="143" t="s">
        <v>231</v>
      </c>
      <c r="C1087" s="143" t="s">
        <v>580</v>
      </c>
      <c r="D1087" s="144">
        <v>0.03</v>
      </c>
      <c r="E1087" s="142" t="s">
        <v>450</v>
      </c>
    </row>
    <row r="1088" spans="1:5" x14ac:dyDescent="0.25">
      <c r="A1088" s="46">
        <v>150</v>
      </c>
      <c r="B1088" s="143" t="s">
        <v>231</v>
      </c>
      <c r="C1088" s="143" t="s">
        <v>544</v>
      </c>
      <c r="D1088" s="144">
        <v>1.4999999999999999E-2</v>
      </c>
      <c r="E1088" s="142" t="s">
        <v>450</v>
      </c>
    </row>
    <row r="1089" spans="1:5" x14ac:dyDescent="0.25">
      <c r="A1089" s="46">
        <v>150</v>
      </c>
      <c r="B1089" s="143" t="s">
        <v>231</v>
      </c>
      <c r="C1089" s="143" t="s">
        <v>500</v>
      </c>
      <c r="D1089" s="144">
        <v>5.0000000000000001E-3</v>
      </c>
      <c r="E1089" s="142" t="s">
        <v>450</v>
      </c>
    </row>
    <row r="1090" spans="1:5" x14ac:dyDescent="0.25">
      <c r="A1090" s="46">
        <v>150</v>
      </c>
      <c r="B1090" s="143" t="s">
        <v>231</v>
      </c>
      <c r="C1090" s="89" t="s">
        <v>515</v>
      </c>
      <c r="D1090" s="144" t="s">
        <v>805</v>
      </c>
      <c r="E1090" s="142" t="s">
        <v>450</v>
      </c>
    </row>
    <row r="1091" spans="1:5" x14ac:dyDescent="0.25">
      <c r="A1091" s="46">
        <v>150</v>
      </c>
      <c r="B1091" s="143" t="s">
        <v>231</v>
      </c>
      <c r="C1091" s="143" t="s">
        <v>488</v>
      </c>
      <c r="D1091" s="144">
        <v>2E-3</v>
      </c>
      <c r="E1091" s="142" t="s">
        <v>450</v>
      </c>
    </row>
    <row r="1092" spans="1:5" x14ac:dyDescent="0.25">
      <c r="A1092" s="46">
        <v>150</v>
      </c>
      <c r="B1092" s="143" t="s">
        <v>231</v>
      </c>
      <c r="C1092" s="143" t="s">
        <v>467</v>
      </c>
      <c r="D1092" s="144">
        <v>2E-3</v>
      </c>
      <c r="E1092" s="142" t="s">
        <v>448</v>
      </c>
    </row>
    <row r="1093" spans="1:5" x14ac:dyDescent="0.25">
      <c r="A1093" s="46">
        <v>150</v>
      </c>
      <c r="B1093" s="143" t="s">
        <v>231</v>
      </c>
      <c r="C1093" s="143" t="s">
        <v>487</v>
      </c>
      <c r="D1093" s="144">
        <v>1E-3</v>
      </c>
      <c r="E1093" s="142" t="s">
        <v>450</v>
      </c>
    </row>
    <row r="1094" spans="1:5" x14ac:dyDescent="0.25">
      <c r="A1094" s="46">
        <v>243</v>
      </c>
      <c r="B1094" s="143" t="s">
        <v>86</v>
      </c>
      <c r="C1094" s="90" t="s">
        <v>1424</v>
      </c>
      <c r="D1094" s="141">
        <v>0.03</v>
      </c>
      <c r="E1094" s="145" t="s">
        <v>450</v>
      </c>
    </row>
    <row r="1095" spans="1:5" x14ac:dyDescent="0.25">
      <c r="A1095" s="46">
        <v>243</v>
      </c>
      <c r="B1095" s="143" t="s">
        <v>86</v>
      </c>
      <c r="C1095" s="89" t="s">
        <v>604</v>
      </c>
      <c r="D1095" s="141">
        <v>0.12</v>
      </c>
      <c r="E1095" s="145" t="s">
        <v>450</v>
      </c>
    </row>
    <row r="1096" spans="1:5" x14ac:dyDescent="0.25">
      <c r="A1096" s="46">
        <v>243</v>
      </c>
      <c r="B1096" s="143" t="s">
        <v>86</v>
      </c>
      <c r="C1096" s="89" t="s">
        <v>687</v>
      </c>
      <c r="D1096" s="141">
        <v>0.01</v>
      </c>
      <c r="E1096" s="145" t="s">
        <v>450</v>
      </c>
    </row>
    <row r="1097" spans="1:5" x14ac:dyDescent="0.25">
      <c r="A1097" s="46">
        <v>243</v>
      </c>
      <c r="B1097" s="143" t="s">
        <v>86</v>
      </c>
      <c r="C1097" s="89" t="s">
        <v>552</v>
      </c>
      <c r="D1097" s="141">
        <v>0.02</v>
      </c>
      <c r="E1097" s="145" t="s">
        <v>450</v>
      </c>
    </row>
    <row r="1098" spans="1:5" x14ac:dyDescent="0.25">
      <c r="A1098" s="46">
        <v>243</v>
      </c>
      <c r="B1098" s="143" t="s">
        <v>86</v>
      </c>
      <c r="C1098" s="89" t="s">
        <v>635</v>
      </c>
      <c r="D1098" s="141">
        <v>0.01</v>
      </c>
      <c r="E1098" s="145" t="s">
        <v>450</v>
      </c>
    </row>
    <row r="1099" spans="1:5" x14ac:dyDescent="0.25">
      <c r="A1099" s="46">
        <v>243</v>
      </c>
      <c r="B1099" s="143" t="s">
        <v>86</v>
      </c>
      <c r="C1099" s="89" t="s">
        <v>480</v>
      </c>
      <c r="D1099" s="141">
        <v>2E-3</v>
      </c>
      <c r="E1099" s="145" t="s">
        <v>450</v>
      </c>
    </row>
    <row r="1100" spans="1:5" x14ac:dyDescent="0.25">
      <c r="A1100" s="46">
        <v>243</v>
      </c>
      <c r="B1100" s="143" t="s">
        <v>86</v>
      </c>
      <c r="C1100" s="89" t="s">
        <v>509</v>
      </c>
      <c r="D1100" s="141">
        <v>2E-3</v>
      </c>
      <c r="E1100" s="145" t="s">
        <v>450</v>
      </c>
    </row>
    <row r="1101" spans="1:5" x14ac:dyDescent="0.25">
      <c r="A1101" s="46">
        <v>243</v>
      </c>
      <c r="B1101" s="143" t="s">
        <v>86</v>
      </c>
      <c r="C1101" s="89" t="s">
        <v>1425</v>
      </c>
      <c r="D1101" s="141">
        <v>0.03</v>
      </c>
      <c r="E1101" s="145" t="s">
        <v>450</v>
      </c>
    </row>
    <row r="1102" spans="1:5" x14ac:dyDescent="0.25">
      <c r="A1102" s="46">
        <v>243</v>
      </c>
      <c r="B1102" s="143" t="s">
        <v>86</v>
      </c>
      <c r="C1102" s="89" t="s">
        <v>559</v>
      </c>
      <c r="D1102" s="141">
        <v>1</v>
      </c>
      <c r="E1102" s="145" t="s">
        <v>749</v>
      </c>
    </row>
    <row r="1103" spans="1:5" x14ac:dyDescent="0.25">
      <c r="A1103" s="46">
        <v>243</v>
      </c>
      <c r="B1103" s="143" t="s">
        <v>86</v>
      </c>
      <c r="C1103" s="89" t="s">
        <v>488</v>
      </c>
      <c r="D1103" s="141">
        <v>4.0000000000000001E-3</v>
      </c>
      <c r="E1103" s="145" t="s">
        <v>450</v>
      </c>
    </row>
    <row r="1104" spans="1:5" x14ac:dyDescent="0.25">
      <c r="A1104" s="46">
        <v>243</v>
      </c>
      <c r="B1104" s="143" t="s">
        <v>86</v>
      </c>
      <c r="C1104" s="89" t="s">
        <v>516</v>
      </c>
      <c r="D1104" s="141">
        <v>1E-3</v>
      </c>
      <c r="E1104" s="145" t="s">
        <v>450</v>
      </c>
    </row>
    <row r="1105" spans="1:5" x14ac:dyDescent="0.25">
      <c r="A1105" s="46">
        <v>243</v>
      </c>
      <c r="B1105" s="143" t="s">
        <v>86</v>
      </c>
      <c r="C1105" s="89"/>
      <c r="D1105" s="141"/>
      <c r="E1105" s="145"/>
    </row>
    <row r="1106" spans="1:5" x14ac:dyDescent="0.25">
      <c r="A1106" s="46">
        <v>230</v>
      </c>
      <c r="B1106" s="143" t="s">
        <v>30</v>
      </c>
      <c r="C1106" s="160" t="s">
        <v>477</v>
      </c>
      <c r="D1106" s="141">
        <v>8.0000000000000002E-3</v>
      </c>
      <c r="E1106" s="145" t="s">
        <v>458</v>
      </c>
    </row>
    <row r="1107" spans="1:5" x14ac:dyDescent="0.25">
      <c r="A1107" s="46">
        <v>230</v>
      </c>
      <c r="B1107" s="143" t="s">
        <v>30</v>
      </c>
      <c r="C1107" s="143" t="s">
        <v>449</v>
      </c>
      <c r="D1107" s="141">
        <v>5.0000000000000001E-3</v>
      </c>
      <c r="E1107" s="145" t="s">
        <v>458</v>
      </c>
    </row>
    <row r="1108" spans="1:5" x14ac:dyDescent="0.25">
      <c r="A1108" s="46">
        <v>230</v>
      </c>
      <c r="B1108" s="143" t="s">
        <v>30</v>
      </c>
      <c r="C1108" s="89" t="s">
        <v>464</v>
      </c>
      <c r="D1108" s="141">
        <v>1E-4</v>
      </c>
      <c r="E1108" s="145" t="s">
        <v>458</v>
      </c>
    </row>
    <row r="1109" spans="1:5" x14ac:dyDescent="0.25">
      <c r="A1109" s="46">
        <v>230</v>
      </c>
      <c r="B1109" s="143" t="s">
        <v>30</v>
      </c>
      <c r="C1109" s="89" t="s">
        <v>493</v>
      </c>
      <c r="D1109" s="141">
        <v>1E-4</v>
      </c>
      <c r="E1109" s="145" t="s">
        <v>458</v>
      </c>
    </row>
    <row r="1110" spans="1:5" x14ac:dyDescent="0.25">
      <c r="A1110" s="46">
        <v>230</v>
      </c>
      <c r="B1110" s="143" t="s">
        <v>30</v>
      </c>
      <c r="C1110" s="89" t="s">
        <v>624</v>
      </c>
      <c r="D1110" s="141">
        <v>1E-4</v>
      </c>
      <c r="E1110" s="145" t="s">
        <v>458</v>
      </c>
    </row>
    <row r="1111" spans="1:5" x14ac:dyDescent="0.25">
      <c r="A1111" s="46">
        <v>230</v>
      </c>
      <c r="B1111" s="143" t="s">
        <v>30</v>
      </c>
      <c r="C1111" s="89" t="s">
        <v>687</v>
      </c>
      <c r="D1111" s="141">
        <v>0.02</v>
      </c>
      <c r="E1111" s="145" t="s">
        <v>458</v>
      </c>
    </row>
    <row r="1112" spans="1:5" x14ac:dyDescent="0.25">
      <c r="A1112" s="46">
        <v>230</v>
      </c>
      <c r="B1112" s="143" t="s">
        <v>30</v>
      </c>
      <c r="C1112" s="152" t="s">
        <v>511</v>
      </c>
      <c r="D1112" s="141">
        <v>1.2E-2</v>
      </c>
      <c r="E1112" s="141" t="s">
        <v>450</v>
      </c>
    </row>
    <row r="1113" spans="1:5" x14ac:dyDescent="0.25">
      <c r="A1113" s="46">
        <v>230</v>
      </c>
      <c r="B1113" s="143" t="s">
        <v>30</v>
      </c>
      <c r="C1113" s="152" t="s">
        <v>510</v>
      </c>
      <c r="D1113" s="141">
        <v>1.2E-2</v>
      </c>
      <c r="E1113" s="141" t="s">
        <v>450</v>
      </c>
    </row>
    <row r="1114" spans="1:5" x14ac:dyDescent="0.25">
      <c r="A1114" s="46">
        <v>230</v>
      </c>
      <c r="B1114" s="143" t="s">
        <v>30</v>
      </c>
      <c r="C1114" s="152" t="s">
        <v>512</v>
      </c>
      <c r="D1114" s="141">
        <v>1.4E-2</v>
      </c>
      <c r="E1114" s="141" t="s">
        <v>450</v>
      </c>
    </row>
    <row r="1115" spans="1:5" x14ac:dyDescent="0.25">
      <c r="A1115" s="46">
        <v>230</v>
      </c>
      <c r="B1115" s="143" t="s">
        <v>30</v>
      </c>
      <c r="C1115" s="89" t="s">
        <v>909</v>
      </c>
      <c r="D1115" s="141">
        <v>0.04</v>
      </c>
      <c r="E1115" s="141" t="s">
        <v>450</v>
      </c>
    </row>
    <row r="1116" spans="1:5" x14ac:dyDescent="0.25">
      <c r="A1116" s="46">
        <v>230</v>
      </c>
      <c r="B1116" s="143" t="s">
        <v>30</v>
      </c>
      <c r="C1116" s="89" t="s">
        <v>669</v>
      </c>
      <c r="D1116" s="141">
        <v>5.0000000000000001E-3</v>
      </c>
      <c r="E1116" s="141" t="s">
        <v>450</v>
      </c>
    </row>
    <row r="1117" spans="1:5" x14ac:dyDescent="0.25">
      <c r="A1117" s="46">
        <v>230</v>
      </c>
      <c r="B1117" s="143" t="s">
        <v>30</v>
      </c>
      <c r="C1117" s="89" t="s">
        <v>475</v>
      </c>
      <c r="D1117" s="141">
        <v>0.01</v>
      </c>
      <c r="E1117" s="141" t="s">
        <v>450</v>
      </c>
    </row>
    <row r="1118" spans="1:5" x14ac:dyDescent="0.25">
      <c r="A1118" s="46">
        <v>230</v>
      </c>
      <c r="B1118" s="143" t="s">
        <v>30</v>
      </c>
      <c r="C1118" s="143" t="s">
        <v>449</v>
      </c>
      <c r="D1118" s="141">
        <v>1E-3</v>
      </c>
      <c r="E1118" s="145" t="s">
        <v>450</v>
      </c>
    </row>
    <row r="1119" spans="1:5" x14ac:dyDescent="0.25">
      <c r="A1119" s="46">
        <v>230</v>
      </c>
      <c r="B1119" s="143" t="s">
        <v>30</v>
      </c>
      <c r="C1119" s="89" t="s">
        <v>552</v>
      </c>
      <c r="D1119" s="141">
        <v>1E-3</v>
      </c>
      <c r="E1119" s="145" t="s">
        <v>450</v>
      </c>
    </row>
    <row r="1120" spans="1:5" x14ac:dyDescent="0.25">
      <c r="A1120" s="46">
        <v>230</v>
      </c>
      <c r="B1120" s="143" t="s">
        <v>30</v>
      </c>
      <c r="C1120" s="89" t="s">
        <v>470</v>
      </c>
      <c r="D1120" s="141">
        <v>1E-3</v>
      </c>
      <c r="E1120" s="145" t="s">
        <v>450</v>
      </c>
    </row>
    <row r="1121" spans="1:5" x14ac:dyDescent="0.25">
      <c r="A1121" s="46">
        <v>230</v>
      </c>
      <c r="B1121" s="143" t="s">
        <v>30</v>
      </c>
      <c r="C1121" s="89" t="s">
        <v>516</v>
      </c>
      <c r="D1121" s="141">
        <v>1E-3</v>
      </c>
      <c r="E1121" s="145" t="s">
        <v>450</v>
      </c>
    </row>
    <row r="1122" spans="1:5" x14ac:dyDescent="0.25">
      <c r="A1122" s="46">
        <v>22</v>
      </c>
      <c r="B1122" s="143" t="s">
        <v>27</v>
      </c>
      <c r="C1122" s="152" t="s">
        <v>511</v>
      </c>
      <c r="D1122" s="154">
        <v>1.2E-2</v>
      </c>
      <c r="E1122" s="155" t="s">
        <v>450</v>
      </c>
    </row>
    <row r="1123" spans="1:5" x14ac:dyDescent="0.25">
      <c r="A1123" s="46">
        <v>22</v>
      </c>
      <c r="B1123" s="143" t="s">
        <v>27</v>
      </c>
      <c r="C1123" s="90" t="s">
        <v>520</v>
      </c>
      <c r="D1123" s="154">
        <v>0.05</v>
      </c>
      <c r="E1123" s="155" t="s">
        <v>450</v>
      </c>
    </row>
    <row r="1124" spans="1:5" x14ac:dyDescent="0.25">
      <c r="A1124" s="46">
        <v>22</v>
      </c>
      <c r="B1124" s="143" t="s">
        <v>27</v>
      </c>
      <c r="C1124" s="90" t="s">
        <v>699</v>
      </c>
      <c r="D1124" s="154">
        <v>0.01</v>
      </c>
      <c r="E1124" s="155" t="s">
        <v>458</v>
      </c>
    </row>
    <row r="1125" spans="1:5" x14ac:dyDescent="0.25">
      <c r="A1125" s="46">
        <v>22</v>
      </c>
      <c r="B1125" s="143" t="s">
        <v>27</v>
      </c>
      <c r="C1125" s="143" t="s">
        <v>500</v>
      </c>
      <c r="D1125" s="154">
        <v>0.02</v>
      </c>
      <c r="E1125" s="155" t="s">
        <v>450</v>
      </c>
    </row>
    <row r="1126" spans="1:5" x14ac:dyDescent="0.25">
      <c r="A1126" s="46">
        <v>22</v>
      </c>
      <c r="B1126" s="143" t="s">
        <v>27</v>
      </c>
      <c r="C1126" s="90" t="s">
        <v>488</v>
      </c>
      <c r="D1126" s="154">
        <v>0.01</v>
      </c>
      <c r="E1126" s="155" t="s">
        <v>450</v>
      </c>
    </row>
    <row r="1127" spans="1:5" x14ac:dyDescent="0.25">
      <c r="A1127" s="46">
        <v>22</v>
      </c>
      <c r="B1127" s="143" t="s">
        <v>27</v>
      </c>
      <c r="C1127" s="143" t="s">
        <v>487</v>
      </c>
      <c r="D1127" s="154">
        <v>3.0000000000000001E-3</v>
      </c>
      <c r="E1127" s="155" t="s">
        <v>458</v>
      </c>
    </row>
    <row r="1128" spans="1:5" x14ac:dyDescent="0.25">
      <c r="A1128" s="46">
        <v>22</v>
      </c>
      <c r="B1128" s="143" t="s">
        <v>27</v>
      </c>
      <c r="C1128" s="90" t="s">
        <v>700</v>
      </c>
      <c r="D1128" s="154">
        <v>0.02</v>
      </c>
      <c r="E1128" s="155" t="s">
        <v>450</v>
      </c>
    </row>
    <row r="1129" spans="1:5" x14ac:dyDescent="0.25">
      <c r="A1129" s="46">
        <v>22</v>
      </c>
      <c r="B1129" s="143" t="s">
        <v>27</v>
      </c>
      <c r="C1129" s="90" t="s">
        <v>701</v>
      </c>
      <c r="D1129" s="154">
        <v>0.01</v>
      </c>
      <c r="E1129" s="155" t="s">
        <v>450</v>
      </c>
    </row>
    <row r="1130" spans="1:5" x14ac:dyDescent="0.25">
      <c r="A1130" s="46">
        <v>22</v>
      </c>
      <c r="B1130" s="143" t="s">
        <v>27</v>
      </c>
      <c r="C1130" s="143" t="s">
        <v>467</v>
      </c>
      <c r="D1130" s="154">
        <v>2E-3</v>
      </c>
      <c r="E1130" s="155" t="s">
        <v>448</v>
      </c>
    </row>
    <row r="1131" spans="1:5" x14ac:dyDescent="0.25">
      <c r="A1131" s="47">
        <v>260</v>
      </c>
      <c r="B1131" s="143" t="s">
        <v>291</v>
      </c>
      <c r="C1131" s="152" t="s">
        <v>510</v>
      </c>
      <c r="D1131" s="141">
        <v>1.2E-2</v>
      </c>
      <c r="E1131" s="145" t="s">
        <v>450</v>
      </c>
    </row>
    <row r="1132" spans="1:5" x14ac:dyDescent="0.25">
      <c r="A1132" s="47">
        <v>260</v>
      </c>
      <c r="B1132" s="143" t="s">
        <v>291</v>
      </c>
      <c r="C1132" s="152" t="s">
        <v>511</v>
      </c>
      <c r="D1132" s="141">
        <v>1.2E-2</v>
      </c>
      <c r="E1132" s="145" t="s">
        <v>450</v>
      </c>
    </row>
    <row r="1133" spans="1:5" x14ac:dyDescent="0.25">
      <c r="A1133" s="47">
        <v>260</v>
      </c>
      <c r="B1133" s="143" t="s">
        <v>291</v>
      </c>
      <c r="C1133" s="152" t="s">
        <v>512</v>
      </c>
      <c r="D1133" s="141">
        <v>1.4E-2</v>
      </c>
      <c r="E1133" s="145" t="s">
        <v>450</v>
      </c>
    </row>
    <row r="1134" spans="1:5" x14ac:dyDescent="0.25">
      <c r="A1134" s="47">
        <v>260</v>
      </c>
      <c r="B1134" s="143" t="s">
        <v>291</v>
      </c>
      <c r="C1134" s="152" t="s">
        <v>513</v>
      </c>
      <c r="D1134" s="141">
        <v>1.4999999999999999E-2</v>
      </c>
      <c r="E1134" s="145" t="s">
        <v>450</v>
      </c>
    </row>
    <row r="1135" spans="1:5" x14ac:dyDescent="0.25">
      <c r="A1135" s="47">
        <v>260</v>
      </c>
      <c r="B1135" s="143" t="s">
        <v>291</v>
      </c>
      <c r="C1135" s="152" t="s">
        <v>514</v>
      </c>
      <c r="D1135" s="141">
        <v>1.4999999999999999E-2</v>
      </c>
      <c r="E1135" s="145" t="s">
        <v>450</v>
      </c>
    </row>
    <row r="1136" spans="1:5" x14ac:dyDescent="0.25">
      <c r="A1136" s="47">
        <v>260</v>
      </c>
      <c r="B1136" s="143" t="s">
        <v>291</v>
      </c>
      <c r="C1136" s="89" t="s">
        <v>515</v>
      </c>
      <c r="D1136" s="141">
        <v>1E-3</v>
      </c>
      <c r="E1136" s="145" t="s">
        <v>450</v>
      </c>
    </row>
    <row r="1137" spans="1:5" x14ac:dyDescent="0.25">
      <c r="A1137" s="47">
        <v>260</v>
      </c>
      <c r="B1137" s="143" t="s">
        <v>291</v>
      </c>
      <c r="C1137" s="152" t="s">
        <v>461</v>
      </c>
      <c r="D1137" s="141">
        <v>0.02</v>
      </c>
      <c r="E1137" s="145" t="s">
        <v>450</v>
      </c>
    </row>
    <row r="1138" spans="1:5" x14ac:dyDescent="0.25">
      <c r="A1138" s="47">
        <v>260</v>
      </c>
      <c r="B1138" s="143" t="s">
        <v>291</v>
      </c>
      <c r="C1138" s="152" t="s">
        <v>478</v>
      </c>
      <c r="D1138" s="141">
        <v>3.0000000000000001E-3</v>
      </c>
      <c r="E1138" s="89" t="s">
        <v>448</v>
      </c>
    </row>
    <row r="1139" spans="1:5" x14ac:dyDescent="0.25">
      <c r="A1139" s="47">
        <v>260</v>
      </c>
      <c r="B1139" s="143" t="s">
        <v>291</v>
      </c>
      <c r="C1139" s="152" t="s">
        <v>470</v>
      </c>
      <c r="D1139" s="141">
        <v>2E-3</v>
      </c>
      <c r="E1139" s="145" t="s">
        <v>458</v>
      </c>
    </row>
    <row r="1140" spans="1:5" x14ac:dyDescent="0.25">
      <c r="A1140" s="47">
        <v>260</v>
      </c>
      <c r="B1140" s="143" t="s">
        <v>291</v>
      </c>
      <c r="C1140" s="152" t="s">
        <v>516</v>
      </c>
      <c r="D1140" s="141">
        <v>1E-3</v>
      </c>
      <c r="E1140" s="145" t="s">
        <v>458</v>
      </c>
    </row>
    <row r="1141" spans="1:5" x14ac:dyDescent="0.25">
      <c r="A1141" s="46">
        <v>139</v>
      </c>
      <c r="B1141" s="143" t="s">
        <v>222</v>
      </c>
      <c r="C1141" s="89" t="s">
        <v>119</v>
      </c>
      <c r="D1141" s="141">
        <v>0.2</v>
      </c>
      <c r="E1141" s="141" t="s">
        <v>458</v>
      </c>
    </row>
    <row r="1142" spans="1:5" x14ac:dyDescent="0.25">
      <c r="A1142" s="46">
        <v>139</v>
      </c>
      <c r="B1142" s="143" t="s">
        <v>222</v>
      </c>
      <c r="C1142" s="89" t="s">
        <v>488</v>
      </c>
      <c r="D1142" s="141">
        <v>2E-3</v>
      </c>
      <c r="E1142" s="141" t="s">
        <v>458</v>
      </c>
    </row>
    <row r="1143" spans="1:5" x14ac:dyDescent="0.25">
      <c r="A1143" s="46">
        <v>139</v>
      </c>
      <c r="B1143" s="143" t="s">
        <v>222</v>
      </c>
      <c r="C1143" s="89" t="s">
        <v>774</v>
      </c>
      <c r="D1143" s="141">
        <v>1.4999999999999999E-2</v>
      </c>
      <c r="E1143" s="141" t="s">
        <v>458</v>
      </c>
    </row>
    <row r="1144" spans="1:5" x14ac:dyDescent="0.25">
      <c r="A1144" s="46">
        <v>139</v>
      </c>
      <c r="B1144" s="143" t="s">
        <v>222</v>
      </c>
      <c r="C1144" s="89" t="s">
        <v>636</v>
      </c>
      <c r="D1144" s="141">
        <v>5.0000000000000001E-4</v>
      </c>
      <c r="E1144" s="141" t="s">
        <v>458</v>
      </c>
    </row>
    <row r="1145" spans="1:5" x14ac:dyDescent="0.25">
      <c r="A1145" s="46">
        <v>139</v>
      </c>
      <c r="B1145" s="143" t="s">
        <v>222</v>
      </c>
      <c r="C1145" s="146" t="s">
        <v>618</v>
      </c>
      <c r="D1145" s="141">
        <v>0.01</v>
      </c>
      <c r="E1145" s="141" t="s">
        <v>458</v>
      </c>
    </row>
    <row r="1146" spans="1:5" x14ac:dyDescent="0.25">
      <c r="A1146" s="46">
        <v>139</v>
      </c>
      <c r="B1146" s="143" t="s">
        <v>222</v>
      </c>
      <c r="C1146" s="146" t="s">
        <v>619</v>
      </c>
      <c r="D1146" s="141">
        <v>0.01</v>
      </c>
      <c r="E1146" s="141" t="s">
        <v>450</v>
      </c>
    </row>
    <row r="1147" spans="1:5" x14ac:dyDescent="0.25">
      <c r="A1147" s="46">
        <v>139</v>
      </c>
      <c r="B1147" s="143" t="s">
        <v>222</v>
      </c>
      <c r="C1147" s="143" t="s">
        <v>620</v>
      </c>
      <c r="D1147" s="141">
        <v>1.4999999999999999E-2</v>
      </c>
      <c r="E1147" s="141" t="s">
        <v>450</v>
      </c>
    </row>
    <row r="1148" spans="1:5" x14ac:dyDescent="0.25">
      <c r="A1148" s="46">
        <v>139</v>
      </c>
      <c r="B1148" s="143" t="s">
        <v>222</v>
      </c>
      <c r="C1148" s="89" t="s">
        <v>624</v>
      </c>
      <c r="D1148" s="141">
        <v>1E-4</v>
      </c>
      <c r="E1148" s="141" t="s">
        <v>458</v>
      </c>
    </row>
    <row r="1149" spans="1:5" x14ac:dyDescent="0.25">
      <c r="A1149" s="46">
        <v>139</v>
      </c>
      <c r="B1149" s="143" t="s">
        <v>222</v>
      </c>
      <c r="C1149" s="89" t="s">
        <v>621</v>
      </c>
      <c r="D1149" s="141">
        <v>1E-4</v>
      </c>
      <c r="E1149" s="141" t="s">
        <v>458</v>
      </c>
    </row>
    <row r="1150" spans="1:5" x14ac:dyDescent="0.25">
      <c r="A1150" s="46">
        <v>139</v>
      </c>
      <c r="B1150" s="143" t="s">
        <v>222</v>
      </c>
      <c r="C1150" s="89" t="s">
        <v>495</v>
      </c>
      <c r="D1150" s="141">
        <v>1E-4</v>
      </c>
      <c r="E1150" s="141" t="s">
        <v>458</v>
      </c>
    </row>
    <row r="1151" spans="1:5" x14ac:dyDescent="0.25">
      <c r="A1151" s="46">
        <v>139</v>
      </c>
      <c r="B1151" s="143" t="s">
        <v>222</v>
      </c>
      <c r="C1151" s="89" t="s">
        <v>498</v>
      </c>
      <c r="D1151" s="141">
        <v>0.01</v>
      </c>
      <c r="E1151" s="141" t="s">
        <v>458</v>
      </c>
    </row>
    <row r="1152" spans="1:5" x14ac:dyDescent="0.25">
      <c r="A1152" s="46">
        <v>139</v>
      </c>
      <c r="B1152" s="143" t="s">
        <v>222</v>
      </c>
      <c r="C1152" s="89" t="s">
        <v>466</v>
      </c>
      <c r="D1152" s="141">
        <v>2E-3</v>
      </c>
      <c r="E1152" s="141" t="s">
        <v>458</v>
      </c>
    </row>
    <row r="1153" spans="1:5" x14ac:dyDescent="0.25">
      <c r="A1153" s="46">
        <v>139</v>
      </c>
      <c r="B1153" s="143" t="s">
        <v>222</v>
      </c>
      <c r="C1153" s="89" t="s">
        <v>793</v>
      </c>
      <c r="D1153" s="141">
        <v>1E-4</v>
      </c>
      <c r="E1153" s="141" t="s">
        <v>458</v>
      </c>
    </row>
    <row r="1154" spans="1:5" x14ac:dyDescent="0.25">
      <c r="A1154" s="46">
        <v>139</v>
      </c>
      <c r="B1154" s="143" t="s">
        <v>222</v>
      </c>
      <c r="C1154" s="89" t="s">
        <v>545</v>
      </c>
      <c r="D1154" s="141">
        <v>0.01</v>
      </c>
      <c r="E1154" s="141" t="s">
        <v>458</v>
      </c>
    </row>
    <row r="1155" spans="1:5" x14ac:dyDescent="0.25">
      <c r="A1155" s="46">
        <v>139</v>
      </c>
      <c r="B1155" s="143" t="s">
        <v>222</v>
      </c>
      <c r="C1155" s="152" t="s">
        <v>502</v>
      </c>
      <c r="D1155" s="141">
        <v>0.05</v>
      </c>
      <c r="E1155" s="141" t="s">
        <v>458</v>
      </c>
    </row>
    <row r="1156" spans="1:5" x14ac:dyDescent="0.25">
      <c r="A1156" s="46">
        <v>139</v>
      </c>
      <c r="B1156" s="143" t="s">
        <v>222</v>
      </c>
      <c r="C1156" s="89" t="s">
        <v>527</v>
      </c>
      <c r="D1156" s="141">
        <v>0.01</v>
      </c>
      <c r="E1156" s="141" t="s">
        <v>458</v>
      </c>
    </row>
    <row r="1157" spans="1:5" x14ac:dyDescent="0.25">
      <c r="A1157" s="47">
        <v>265</v>
      </c>
      <c r="B1157" s="143" t="s">
        <v>296</v>
      </c>
      <c r="C1157" s="89" t="s">
        <v>536</v>
      </c>
      <c r="D1157" s="141">
        <v>0.2</v>
      </c>
      <c r="E1157" s="145" t="s">
        <v>450</v>
      </c>
    </row>
    <row r="1158" spans="1:5" x14ac:dyDescent="0.25">
      <c r="A1158" s="47">
        <v>265</v>
      </c>
      <c r="B1158" s="143" t="s">
        <v>296</v>
      </c>
      <c r="C1158" s="89" t="s">
        <v>537</v>
      </c>
      <c r="D1158" s="141">
        <v>1.4999999999999999E-2</v>
      </c>
      <c r="E1158" s="145" t="s">
        <v>450</v>
      </c>
    </row>
    <row r="1159" spans="1:5" x14ac:dyDescent="0.25">
      <c r="A1159" s="47">
        <v>265</v>
      </c>
      <c r="B1159" s="143" t="s">
        <v>296</v>
      </c>
      <c r="C1159" s="89" t="s">
        <v>538</v>
      </c>
      <c r="D1159" s="141">
        <v>8.0000000000000002E-3</v>
      </c>
      <c r="E1159" s="145" t="s">
        <v>450</v>
      </c>
    </row>
    <row r="1160" spans="1:5" x14ac:dyDescent="0.25">
      <c r="A1160" s="47">
        <v>265</v>
      </c>
      <c r="B1160" s="143" t="s">
        <v>296</v>
      </c>
      <c r="C1160" s="89" t="s">
        <v>539</v>
      </c>
      <c r="D1160" s="141">
        <v>7.0000000000000001E-3</v>
      </c>
      <c r="E1160" s="145" t="s">
        <v>448</v>
      </c>
    </row>
    <row r="1161" spans="1:5" x14ac:dyDescent="0.25">
      <c r="A1161" s="47">
        <v>265</v>
      </c>
      <c r="B1161" s="143" t="s">
        <v>296</v>
      </c>
      <c r="C1161" s="89" t="s">
        <v>540</v>
      </c>
      <c r="D1161" s="141">
        <v>0.01</v>
      </c>
      <c r="E1161" s="145" t="s">
        <v>450</v>
      </c>
    </row>
    <row r="1162" spans="1:5" x14ac:dyDescent="0.25">
      <c r="A1162" s="47">
        <v>265</v>
      </c>
      <c r="B1162" s="143" t="s">
        <v>296</v>
      </c>
      <c r="C1162" s="89" t="s">
        <v>470</v>
      </c>
      <c r="D1162" s="141">
        <v>2E-3</v>
      </c>
      <c r="E1162" s="145" t="s">
        <v>450</v>
      </c>
    </row>
    <row r="1163" spans="1:5" x14ac:dyDescent="0.25">
      <c r="A1163" s="47">
        <v>265</v>
      </c>
      <c r="B1163" s="143" t="s">
        <v>296</v>
      </c>
      <c r="C1163" s="89" t="s">
        <v>469</v>
      </c>
      <c r="D1163" s="141">
        <v>0.01</v>
      </c>
      <c r="E1163" s="145" t="s">
        <v>448</v>
      </c>
    </row>
    <row r="1164" spans="1:5" x14ac:dyDescent="0.25">
      <c r="A1164" s="46">
        <v>28</v>
      </c>
      <c r="B1164" s="143" t="s">
        <v>168</v>
      </c>
      <c r="C1164" s="89" t="s">
        <v>119</v>
      </c>
      <c r="D1164" s="141">
        <v>0.15</v>
      </c>
      <c r="E1164" s="141" t="s">
        <v>450</v>
      </c>
    </row>
    <row r="1165" spans="1:5" x14ac:dyDescent="0.25">
      <c r="A1165" s="46">
        <v>331</v>
      </c>
      <c r="B1165" s="143" t="s">
        <v>1528</v>
      </c>
      <c r="C1165" s="89" t="s">
        <v>965</v>
      </c>
      <c r="D1165" s="177">
        <v>0.15</v>
      </c>
      <c r="E1165" s="150" t="s">
        <v>450</v>
      </c>
    </row>
    <row r="1166" spans="1:5" x14ac:dyDescent="0.25">
      <c r="A1166" s="46">
        <v>331</v>
      </c>
      <c r="B1166" s="143" t="s">
        <v>1528</v>
      </c>
      <c r="C1166" s="89" t="s">
        <v>1049</v>
      </c>
      <c r="D1166" s="177">
        <v>5.0000000000000001E-3</v>
      </c>
      <c r="E1166" s="150" t="s">
        <v>450</v>
      </c>
    </row>
    <row r="1167" spans="1:5" x14ac:dyDescent="0.25">
      <c r="A1167" s="46">
        <v>331</v>
      </c>
      <c r="B1167" s="143" t="s">
        <v>1528</v>
      </c>
      <c r="C1167" s="89" t="s">
        <v>504</v>
      </c>
      <c r="D1167" s="177">
        <v>0.01</v>
      </c>
      <c r="E1167" s="150" t="s">
        <v>450</v>
      </c>
    </row>
    <row r="1168" spans="1:5" x14ac:dyDescent="0.25">
      <c r="A1168" s="46">
        <v>331</v>
      </c>
      <c r="B1168" s="143" t="s">
        <v>1528</v>
      </c>
      <c r="C1168" s="89" t="s">
        <v>605</v>
      </c>
      <c r="D1168" s="177">
        <v>0.01</v>
      </c>
      <c r="E1168" s="150" t="s">
        <v>450</v>
      </c>
    </row>
    <row r="1169" spans="1:5" x14ac:dyDescent="0.25">
      <c r="A1169" s="46">
        <v>331</v>
      </c>
      <c r="B1169" s="143" t="s">
        <v>1528</v>
      </c>
      <c r="C1169" s="89" t="s">
        <v>687</v>
      </c>
      <c r="D1169" s="48">
        <v>1E-3</v>
      </c>
      <c r="E1169" s="150" t="s">
        <v>450</v>
      </c>
    </row>
    <row r="1170" spans="1:5" x14ac:dyDescent="0.25">
      <c r="A1170" s="46">
        <v>331</v>
      </c>
      <c r="B1170" s="143" t="s">
        <v>1528</v>
      </c>
      <c r="C1170" s="89" t="s">
        <v>466</v>
      </c>
      <c r="D1170" s="177">
        <v>2E-3</v>
      </c>
      <c r="E1170" s="150" t="s">
        <v>450</v>
      </c>
    </row>
    <row r="1171" spans="1:5" x14ac:dyDescent="0.25">
      <c r="A1171" s="46">
        <v>331</v>
      </c>
      <c r="B1171" s="143" t="s">
        <v>1528</v>
      </c>
      <c r="C1171" s="89" t="s">
        <v>1002</v>
      </c>
      <c r="D1171" s="177">
        <v>1E-3</v>
      </c>
      <c r="E1171" s="150" t="s">
        <v>450</v>
      </c>
    </row>
    <row r="1172" spans="1:5" x14ac:dyDescent="0.25">
      <c r="A1172" s="46">
        <v>331</v>
      </c>
      <c r="B1172" s="143" t="s">
        <v>1528</v>
      </c>
      <c r="C1172" s="89" t="s">
        <v>588</v>
      </c>
      <c r="D1172" s="177">
        <v>2E-3</v>
      </c>
      <c r="E1172" s="150" t="s">
        <v>450</v>
      </c>
    </row>
    <row r="1173" spans="1:5" x14ac:dyDescent="0.25">
      <c r="A1173" s="46">
        <v>284</v>
      </c>
      <c r="B1173" s="143" t="s">
        <v>315</v>
      </c>
      <c r="C1173" s="89" t="s">
        <v>965</v>
      </c>
      <c r="D1173" s="141">
        <v>5.0999999999999997E-2</v>
      </c>
      <c r="E1173" s="89" t="s">
        <v>458</v>
      </c>
    </row>
    <row r="1174" spans="1:5" x14ac:dyDescent="0.25">
      <c r="A1174" s="46">
        <v>284</v>
      </c>
      <c r="B1174" s="143" t="s">
        <v>315</v>
      </c>
      <c r="C1174" s="89" t="s">
        <v>909</v>
      </c>
      <c r="D1174" s="141">
        <v>0.04</v>
      </c>
      <c r="E1174" s="89" t="s">
        <v>458</v>
      </c>
    </row>
    <row r="1175" spans="1:5" x14ac:dyDescent="0.25">
      <c r="A1175" s="46">
        <v>284</v>
      </c>
      <c r="B1175" s="143" t="s">
        <v>315</v>
      </c>
      <c r="C1175" s="89" t="s">
        <v>552</v>
      </c>
      <c r="D1175" s="141">
        <v>1E-3</v>
      </c>
      <c r="E1175" s="89" t="s">
        <v>458</v>
      </c>
    </row>
    <row r="1176" spans="1:5" x14ac:dyDescent="0.25">
      <c r="A1176" s="46">
        <v>284</v>
      </c>
      <c r="B1176" s="143" t="s">
        <v>315</v>
      </c>
      <c r="C1176" s="89" t="s">
        <v>557</v>
      </c>
      <c r="D1176" s="141">
        <v>5.0000000000000001E-3</v>
      </c>
      <c r="E1176" s="89" t="s">
        <v>458</v>
      </c>
    </row>
    <row r="1177" spans="1:5" x14ac:dyDescent="0.25">
      <c r="A1177" s="46">
        <v>284</v>
      </c>
      <c r="B1177" s="143" t="s">
        <v>315</v>
      </c>
      <c r="C1177" s="143" t="s">
        <v>449</v>
      </c>
      <c r="D1177" s="141">
        <v>0.08</v>
      </c>
      <c r="E1177" s="89" t="s">
        <v>458</v>
      </c>
    </row>
    <row r="1178" spans="1:5" x14ac:dyDescent="0.25">
      <c r="A1178" s="46">
        <v>284</v>
      </c>
      <c r="B1178" s="143" t="s">
        <v>315</v>
      </c>
      <c r="C1178" s="89" t="s">
        <v>966</v>
      </c>
      <c r="D1178" s="141">
        <v>1.0999999999999999E-2</v>
      </c>
      <c r="E1178" s="89" t="s">
        <v>458</v>
      </c>
    </row>
    <row r="1179" spans="1:5" x14ac:dyDescent="0.25">
      <c r="A1179" s="46">
        <v>284</v>
      </c>
      <c r="B1179" s="143" t="s">
        <v>315</v>
      </c>
      <c r="C1179" s="146" t="s">
        <v>858</v>
      </c>
      <c r="D1179" s="141">
        <v>0.02</v>
      </c>
      <c r="E1179" s="89" t="s">
        <v>458</v>
      </c>
    </row>
    <row r="1180" spans="1:5" x14ac:dyDescent="0.25">
      <c r="A1180" s="46">
        <v>284</v>
      </c>
      <c r="B1180" s="143" t="s">
        <v>315</v>
      </c>
      <c r="C1180" s="89" t="s">
        <v>470</v>
      </c>
      <c r="D1180" s="141">
        <v>1E-4</v>
      </c>
      <c r="E1180" s="89" t="s">
        <v>458</v>
      </c>
    </row>
    <row r="1181" spans="1:5" x14ac:dyDescent="0.25">
      <c r="A1181" s="46">
        <v>284</v>
      </c>
      <c r="B1181" s="143" t="s">
        <v>315</v>
      </c>
      <c r="C1181" s="89" t="s">
        <v>554</v>
      </c>
      <c r="D1181" s="141">
        <v>0.02</v>
      </c>
      <c r="E1181" s="89" t="s">
        <v>458</v>
      </c>
    </row>
    <row r="1182" spans="1:5" x14ac:dyDescent="0.25">
      <c r="A1182" s="46">
        <v>284</v>
      </c>
      <c r="B1182" s="143" t="s">
        <v>315</v>
      </c>
      <c r="C1182" s="89" t="s">
        <v>943</v>
      </c>
      <c r="D1182" s="141">
        <v>0.04</v>
      </c>
      <c r="E1182" s="89" t="s">
        <v>458</v>
      </c>
    </row>
    <row r="1183" spans="1:5" x14ac:dyDescent="0.25">
      <c r="A1183" s="46">
        <v>284</v>
      </c>
      <c r="B1183" s="143" t="s">
        <v>315</v>
      </c>
      <c r="C1183" s="89" t="s">
        <v>480</v>
      </c>
      <c r="D1183" s="141">
        <v>1E-4</v>
      </c>
      <c r="E1183" s="89" t="s">
        <v>458</v>
      </c>
    </row>
    <row r="1184" spans="1:5" x14ac:dyDescent="0.25">
      <c r="A1184" s="46">
        <v>8</v>
      </c>
      <c r="B1184" s="143" t="s">
        <v>154</v>
      </c>
      <c r="C1184" s="143" t="s">
        <v>681</v>
      </c>
      <c r="D1184" s="154">
        <v>0.09</v>
      </c>
      <c r="E1184" s="142" t="s">
        <v>450</v>
      </c>
    </row>
    <row r="1185" spans="1:5" x14ac:dyDescent="0.25">
      <c r="A1185" s="46">
        <v>8</v>
      </c>
      <c r="B1185" s="143" t="s">
        <v>154</v>
      </c>
      <c r="C1185" s="160" t="s">
        <v>477</v>
      </c>
      <c r="D1185" s="154">
        <v>0.05</v>
      </c>
      <c r="E1185" s="155" t="s">
        <v>450</v>
      </c>
    </row>
    <row r="1186" spans="1:5" x14ac:dyDescent="0.25">
      <c r="A1186" s="46">
        <v>8</v>
      </c>
      <c r="B1186" s="143" t="s">
        <v>154</v>
      </c>
      <c r="C1186" s="143" t="s">
        <v>480</v>
      </c>
      <c r="D1186" s="154">
        <v>1E-3</v>
      </c>
      <c r="E1186" s="155" t="s">
        <v>458</v>
      </c>
    </row>
    <row r="1187" spans="1:5" x14ac:dyDescent="0.25">
      <c r="A1187" s="46">
        <v>8</v>
      </c>
      <c r="B1187" s="143" t="s">
        <v>154</v>
      </c>
      <c r="C1187" s="143" t="s">
        <v>500</v>
      </c>
      <c r="D1187" s="154">
        <v>0.01</v>
      </c>
      <c r="E1187" s="155" t="s">
        <v>458</v>
      </c>
    </row>
    <row r="1188" spans="1:5" x14ac:dyDescent="0.25">
      <c r="A1188" s="46">
        <v>8</v>
      </c>
      <c r="B1188" s="143" t="s">
        <v>154</v>
      </c>
      <c r="C1188" s="90" t="s">
        <v>488</v>
      </c>
      <c r="D1188" s="154">
        <v>0.01</v>
      </c>
      <c r="E1188" s="155" t="s">
        <v>450</v>
      </c>
    </row>
    <row r="1189" spans="1:5" x14ac:dyDescent="0.25">
      <c r="A1189" s="46">
        <v>8</v>
      </c>
      <c r="B1189" s="143" t="s">
        <v>154</v>
      </c>
      <c r="C1189" s="143" t="s">
        <v>487</v>
      </c>
      <c r="D1189" s="154">
        <v>3.0000000000000001E-3</v>
      </c>
      <c r="E1189" s="155" t="s">
        <v>458</v>
      </c>
    </row>
    <row r="1190" spans="1:5" x14ac:dyDescent="0.25">
      <c r="A1190" s="46">
        <v>8</v>
      </c>
      <c r="B1190" s="143" t="s">
        <v>154</v>
      </c>
      <c r="C1190" s="90" t="s">
        <v>682</v>
      </c>
      <c r="D1190" s="154">
        <v>0.01</v>
      </c>
      <c r="E1190" s="155" t="s">
        <v>450</v>
      </c>
    </row>
    <row r="1191" spans="1:5" x14ac:dyDescent="0.25">
      <c r="A1191" s="46">
        <v>8</v>
      </c>
      <c r="B1191" s="143" t="s">
        <v>154</v>
      </c>
      <c r="C1191" s="143" t="s">
        <v>467</v>
      </c>
      <c r="D1191" s="154">
        <v>2.5000000000000001E-2</v>
      </c>
      <c r="E1191" s="155" t="s">
        <v>448</v>
      </c>
    </row>
    <row r="1192" spans="1:5" x14ac:dyDescent="0.25">
      <c r="A1192" s="46">
        <v>347</v>
      </c>
      <c r="B1192" s="143" t="s">
        <v>368</v>
      </c>
      <c r="C1192" s="175" t="s">
        <v>1084</v>
      </c>
      <c r="D1192" s="175">
        <v>7.4999999999999997E-2</v>
      </c>
      <c r="E1192" s="176"/>
    </row>
    <row r="1193" spans="1:5" x14ac:dyDescent="0.25">
      <c r="A1193" s="46">
        <v>347</v>
      </c>
      <c r="B1193" s="143" t="s">
        <v>368</v>
      </c>
      <c r="C1193" s="175" t="s">
        <v>1085</v>
      </c>
      <c r="D1193" s="175">
        <v>5.0000000000000001E-3</v>
      </c>
      <c r="E1193" s="176"/>
    </row>
    <row r="1194" spans="1:5" x14ac:dyDescent="0.25">
      <c r="A1194" s="46">
        <v>347</v>
      </c>
      <c r="B1194" s="143" t="s">
        <v>368</v>
      </c>
      <c r="C1194" s="175" t="s">
        <v>1086</v>
      </c>
      <c r="D1194" s="175">
        <v>1.4999999999999999E-2</v>
      </c>
      <c r="E1194" s="176"/>
    </row>
    <row r="1195" spans="1:5" x14ac:dyDescent="0.25">
      <c r="A1195" s="46">
        <v>347</v>
      </c>
      <c r="B1195" s="143" t="s">
        <v>368</v>
      </c>
      <c r="C1195" s="175" t="s">
        <v>535</v>
      </c>
      <c r="D1195" s="175">
        <v>2E-3</v>
      </c>
      <c r="E1195" s="176"/>
    </row>
    <row r="1196" spans="1:5" x14ac:dyDescent="0.25">
      <c r="A1196" s="46">
        <v>347</v>
      </c>
      <c r="B1196" s="143" t="s">
        <v>368</v>
      </c>
      <c r="C1196" s="175" t="s">
        <v>1087</v>
      </c>
      <c r="D1196" s="175">
        <v>2E-3</v>
      </c>
      <c r="E1196" s="176"/>
    </row>
    <row r="1197" spans="1:5" x14ac:dyDescent="0.25">
      <c r="A1197" s="46">
        <v>347</v>
      </c>
      <c r="B1197" s="143" t="s">
        <v>368</v>
      </c>
      <c r="C1197" s="175" t="s">
        <v>898</v>
      </c>
      <c r="D1197" s="175">
        <v>1E-4</v>
      </c>
      <c r="E1197" s="176"/>
    </row>
    <row r="1198" spans="1:5" x14ac:dyDescent="0.25">
      <c r="A1198" s="46">
        <v>347</v>
      </c>
      <c r="B1198" s="143" t="s">
        <v>368</v>
      </c>
      <c r="C1198" s="175" t="s">
        <v>923</v>
      </c>
      <c r="D1198" s="175">
        <v>0.01</v>
      </c>
      <c r="E1198" s="176"/>
    </row>
    <row r="1199" spans="1:5" x14ac:dyDescent="0.25">
      <c r="A1199" s="46">
        <v>347</v>
      </c>
      <c r="B1199" s="143" t="s">
        <v>368</v>
      </c>
      <c r="C1199" s="175" t="s">
        <v>687</v>
      </c>
      <c r="D1199" s="175">
        <v>5.0000000000000001E-3</v>
      </c>
      <c r="E1199" s="176"/>
    </row>
    <row r="1200" spans="1:5" x14ac:dyDescent="0.25">
      <c r="A1200" s="46">
        <v>347</v>
      </c>
      <c r="B1200" s="143" t="s">
        <v>368</v>
      </c>
      <c r="C1200" s="175" t="s">
        <v>1088</v>
      </c>
      <c r="D1200" s="175">
        <v>5.0000000000000001E-4</v>
      </c>
      <c r="E1200" s="176"/>
    </row>
    <row r="1201" spans="1:5" x14ac:dyDescent="0.25">
      <c r="A1201" s="46">
        <v>347</v>
      </c>
      <c r="B1201" s="143" t="s">
        <v>368</v>
      </c>
      <c r="C1201" s="175" t="s">
        <v>470</v>
      </c>
      <c r="D1201" s="175">
        <v>1E-3</v>
      </c>
      <c r="E1201" s="176"/>
    </row>
    <row r="1202" spans="1:5" x14ac:dyDescent="0.25">
      <c r="A1202" s="46">
        <v>347</v>
      </c>
      <c r="B1202" s="143" t="s">
        <v>368</v>
      </c>
      <c r="C1202" s="175" t="s">
        <v>516</v>
      </c>
      <c r="D1202" s="175">
        <v>1E-4</v>
      </c>
      <c r="E1202" s="176"/>
    </row>
    <row r="1203" spans="1:5" x14ac:dyDescent="0.25">
      <c r="A1203" s="46">
        <v>197</v>
      </c>
      <c r="B1203" s="143" t="s">
        <v>260</v>
      </c>
      <c r="C1203" s="143" t="s">
        <v>873</v>
      </c>
      <c r="D1203" s="148">
        <v>0.08</v>
      </c>
      <c r="E1203" s="145" t="s">
        <v>450</v>
      </c>
    </row>
    <row r="1204" spans="1:5" x14ac:dyDescent="0.25">
      <c r="A1204" s="46">
        <v>197</v>
      </c>
      <c r="B1204" s="143" t="s">
        <v>260</v>
      </c>
      <c r="C1204" s="143" t="s">
        <v>559</v>
      </c>
      <c r="D1204" s="148">
        <v>1</v>
      </c>
      <c r="E1204" s="145" t="s">
        <v>749</v>
      </c>
    </row>
    <row r="1205" spans="1:5" x14ac:dyDescent="0.25">
      <c r="A1205" s="46">
        <v>197</v>
      </c>
      <c r="B1205" s="143" t="s">
        <v>260</v>
      </c>
      <c r="C1205" s="143" t="s">
        <v>860</v>
      </c>
      <c r="D1205" s="148">
        <v>0.03</v>
      </c>
      <c r="E1205" s="145" t="s">
        <v>450</v>
      </c>
    </row>
    <row r="1206" spans="1:5" x14ac:dyDescent="0.25">
      <c r="A1206" s="46">
        <v>197</v>
      </c>
      <c r="B1206" s="143" t="s">
        <v>260</v>
      </c>
      <c r="C1206" s="143" t="s">
        <v>810</v>
      </c>
      <c r="D1206" s="148">
        <v>0.03</v>
      </c>
      <c r="E1206" s="145" t="s">
        <v>450</v>
      </c>
    </row>
    <row r="1207" spans="1:5" x14ac:dyDescent="0.25">
      <c r="A1207" s="46">
        <v>197</v>
      </c>
      <c r="B1207" s="143" t="s">
        <v>260</v>
      </c>
      <c r="C1207" s="146" t="s">
        <v>616</v>
      </c>
      <c r="D1207" s="148">
        <v>0.03</v>
      </c>
      <c r="E1207" s="145" t="s">
        <v>450</v>
      </c>
    </row>
    <row r="1208" spans="1:5" x14ac:dyDescent="0.25">
      <c r="A1208" s="46">
        <v>197</v>
      </c>
      <c r="B1208" s="143" t="s">
        <v>260</v>
      </c>
      <c r="C1208" s="143" t="s">
        <v>809</v>
      </c>
      <c r="D1208" s="148">
        <v>0.01</v>
      </c>
      <c r="E1208" s="145" t="s">
        <v>450</v>
      </c>
    </row>
    <row r="1209" spans="1:5" x14ac:dyDescent="0.25">
      <c r="A1209" s="46">
        <v>197</v>
      </c>
      <c r="B1209" s="143" t="s">
        <v>260</v>
      </c>
      <c r="C1209" s="143" t="s">
        <v>525</v>
      </c>
      <c r="D1209" s="148">
        <v>0.02</v>
      </c>
      <c r="E1209" s="145" t="s">
        <v>450</v>
      </c>
    </row>
    <row r="1210" spans="1:5" x14ac:dyDescent="0.25">
      <c r="A1210" s="46">
        <v>197</v>
      </c>
      <c r="B1210" s="143" t="s">
        <v>260</v>
      </c>
      <c r="C1210" s="143" t="s">
        <v>478</v>
      </c>
      <c r="D1210" s="148">
        <v>3.0000000000000001E-3</v>
      </c>
      <c r="E1210" s="145" t="s">
        <v>448</v>
      </c>
    </row>
    <row r="1211" spans="1:5" x14ac:dyDescent="0.25">
      <c r="A1211" s="46">
        <v>197</v>
      </c>
      <c r="B1211" s="143" t="s">
        <v>260</v>
      </c>
      <c r="C1211" s="143" t="s">
        <v>470</v>
      </c>
      <c r="D1211" s="148">
        <v>2E-3</v>
      </c>
      <c r="E1211" s="145" t="s">
        <v>450</v>
      </c>
    </row>
    <row r="1212" spans="1:5" x14ac:dyDescent="0.25">
      <c r="A1212" s="46">
        <v>197</v>
      </c>
      <c r="B1212" s="143" t="s">
        <v>260</v>
      </c>
      <c r="C1212" s="143" t="s">
        <v>516</v>
      </c>
      <c r="D1212" s="148">
        <v>5.0000000000000001E-4</v>
      </c>
      <c r="E1212" s="145" t="s">
        <v>450</v>
      </c>
    </row>
    <row r="1213" spans="1:5" x14ac:dyDescent="0.25">
      <c r="A1213" s="46">
        <v>307</v>
      </c>
      <c r="B1213" s="143" t="s">
        <v>338</v>
      </c>
      <c r="C1213" s="89" t="s">
        <v>681</v>
      </c>
      <c r="D1213" s="141">
        <v>7.4999999999999997E-2</v>
      </c>
      <c r="E1213" s="89" t="s">
        <v>450</v>
      </c>
    </row>
    <row r="1214" spans="1:5" x14ac:dyDescent="0.25">
      <c r="A1214" s="46">
        <v>307</v>
      </c>
      <c r="B1214" s="143" t="s">
        <v>338</v>
      </c>
      <c r="C1214" s="89" t="s">
        <v>590</v>
      </c>
      <c r="D1214" s="144" t="e">
        <f>#REF!*0.25</f>
        <v>#REF!</v>
      </c>
      <c r="E1214" s="142" t="s">
        <v>450</v>
      </c>
    </row>
    <row r="1215" spans="1:5" x14ac:dyDescent="0.25">
      <c r="A1215" s="46">
        <v>307</v>
      </c>
      <c r="B1215" s="143" t="s">
        <v>338</v>
      </c>
      <c r="C1215" s="89" t="s">
        <v>693</v>
      </c>
      <c r="D1215" s="144" t="e">
        <f>#REF!*0.25</f>
        <v>#REF!</v>
      </c>
      <c r="E1215" s="142" t="s">
        <v>458</v>
      </c>
    </row>
    <row r="1216" spans="1:5" x14ac:dyDescent="0.25">
      <c r="A1216" s="46">
        <v>307</v>
      </c>
      <c r="B1216" s="143" t="s">
        <v>338</v>
      </c>
      <c r="C1216" s="143" t="s">
        <v>589</v>
      </c>
      <c r="D1216" s="144" t="e">
        <f>#REF!*0.25</f>
        <v>#REF!</v>
      </c>
      <c r="E1216" s="142" t="s">
        <v>450</v>
      </c>
    </row>
    <row r="1217" spans="1:5" x14ac:dyDescent="0.25">
      <c r="A1217" s="46">
        <v>307</v>
      </c>
      <c r="B1217" s="143" t="s">
        <v>338</v>
      </c>
      <c r="C1217" s="143" t="s">
        <v>584</v>
      </c>
      <c r="D1217" s="144" t="e">
        <f>#REF!*0.25</f>
        <v>#REF!</v>
      </c>
      <c r="E1217" s="142" t="s">
        <v>450</v>
      </c>
    </row>
    <row r="1218" spans="1:5" x14ac:dyDescent="0.25">
      <c r="A1218" s="46">
        <v>307</v>
      </c>
      <c r="B1218" s="143" t="s">
        <v>338</v>
      </c>
      <c r="C1218" s="143" t="s">
        <v>694</v>
      </c>
      <c r="D1218" s="144" t="e">
        <f>#REF!</f>
        <v>#REF!</v>
      </c>
      <c r="E1218" s="142" t="s">
        <v>450</v>
      </c>
    </row>
    <row r="1219" spans="1:5" x14ac:dyDescent="0.25">
      <c r="A1219" s="46">
        <v>307</v>
      </c>
      <c r="B1219" s="143" t="s">
        <v>338</v>
      </c>
      <c r="C1219" s="143" t="s">
        <v>488</v>
      </c>
      <c r="D1219" s="144" t="e">
        <f>#REF!</f>
        <v>#REF!</v>
      </c>
      <c r="E1219" s="142" t="s">
        <v>450</v>
      </c>
    </row>
    <row r="1220" spans="1:5" x14ac:dyDescent="0.25">
      <c r="A1220" s="46">
        <v>307</v>
      </c>
      <c r="B1220" s="143" t="s">
        <v>338</v>
      </c>
      <c r="C1220" s="143" t="s">
        <v>467</v>
      </c>
      <c r="D1220" s="144" t="e">
        <f>#REF!</f>
        <v>#REF!</v>
      </c>
      <c r="E1220" s="142" t="s">
        <v>448</v>
      </c>
    </row>
    <row r="1221" spans="1:5" x14ac:dyDescent="0.25">
      <c r="A1221" s="46">
        <v>307</v>
      </c>
      <c r="B1221" s="143" t="s">
        <v>338</v>
      </c>
      <c r="C1221" s="143" t="s">
        <v>487</v>
      </c>
      <c r="D1221" s="144" t="e">
        <f>#REF!</f>
        <v>#REF!</v>
      </c>
      <c r="E1221" s="142" t="s">
        <v>450</v>
      </c>
    </row>
    <row r="1222" spans="1:5" x14ac:dyDescent="0.25">
      <c r="A1222" s="46">
        <v>307</v>
      </c>
      <c r="B1222" s="143" t="s">
        <v>338</v>
      </c>
      <c r="C1222" s="143" t="s">
        <v>578</v>
      </c>
      <c r="D1222" s="144" t="e">
        <f>#REF!</f>
        <v>#REF!</v>
      </c>
      <c r="E1222" s="142" t="s">
        <v>450</v>
      </c>
    </row>
    <row r="1223" spans="1:5" x14ac:dyDescent="0.25">
      <c r="A1223" s="46">
        <v>307</v>
      </c>
      <c r="B1223" s="143" t="s">
        <v>338</v>
      </c>
      <c r="C1223" s="143" t="s">
        <v>466</v>
      </c>
      <c r="D1223" s="144" t="e">
        <f>#REF!</f>
        <v>#REF!</v>
      </c>
      <c r="E1223" s="142" t="s">
        <v>450</v>
      </c>
    </row>
    <row r="1224" spans="1:5" x14ac:dyDescent="0.25">
      <c r="A1224" s="46">
        <v>344</v>
      </c>
      <c r="B1224" s="143" t="s">
        <v>365</v>
      </c>
      <c r="C1224" s="175" t="s">
        <v>909</v>
      </c>
      <c r="D1224" s="175">
        <v>1.4999999999999999E-2</v>
      </c>
      <c r="E1224" s="139" t="s">
        <v>450</v>
      </c>
    </row>
    <row r="1225" spans="1:5" x14ac:dyDescent="0.25">
      <c r="A1225" s="46">
        <v>344</v>
      </c>
      <c r="B1225" s="143" t="s">
        <v>365</v>
      </c>
      <c r="C1225" s="175" t="s">
        <v>554</v>
      </c>
      <c r="D1225" s="175">
        <v>2.5000000000000001E-2</v>
      </c>
      <c r="E1225" s="139" t="s">
        <v>450</v>
      </c>
    </row>
    <row r="1226" spans="1:5" x14ac:dyDescent="0.25">
      <c r="A1226" s="46">
        <v>344</v>
      </c>
      <c r="B1226" s="143" t="s">
        <v>365</v>
      </c>
      <c r="C1226" s="175" t="s">
        <v>525</v>
      </c>
      <c r="D1226" s="175">
        <v>0.01</v>
      </c>
      <c r="E1226" s="139" t="s">
        <v>450</v>
      </c>
    </row>
    <row r="1227" spans="1:5" x14ac:dyDescent="0.25">
      <c r="A1227" s="46">
        <v>344</v>
      </c>
      <c r="B1227" s="143" t="s">
        <v>365</v>
      </c>
      <c r="C1227" s="175" t="s">
        <v>1063</v>
      </c>
      <c r="D1227" s="175">
        <v>8.9999999999999998E-4</v>
      </c>
      <c r="E1227" s="139" t="s">
        <v>450</v>
      </c>
    </row>
    <row r="1228" spans="1:5" x14ac:dyDescent="0.25">
      <c r="A1228" s="46">
        <v>344</v>
      </c>
      <c r="B1228" s="143" t="s">
        <v>365</v>
      </c>
      <c r="C1228" s="175" t="s">
        <v>1064</v>
      </c>
      <c r="D1228" s="175">
        <v>4.0000000000000002E-4</v>
      </c>
      <c r="E1228" s="139" t="s">
        <v>450</v>
      </c>
    </row>
    <row r="1229" spans="1:5" x14ac:dyDescent="0.25">
      <c r="A1229" s="46">
        <v>344</v>
      </c>
      <c r="B1229" s="143" t="s">
        <v>365</v>
      </c>
      <c r="C1229" s="175" t="s">
        <v>557</v>
      </c>
      <c r="D1229" s="175">
        <v>0.02</v>
      </c>
      <c r="E1229" s="139" t="s">
        <v>450</v>
      </c>
    </row>
    <row r="1230" spans="1:5" x14ac:dyDescent="0.25">
      <c r="A1230" s="46">
        <v>344</v>
      </c>
      <c r="B1230" s="143" t="s">
        <v>365</v>
      </c>
      <c r="C1230" s="175" t="s">
        <v>965</v>
      </c>
      <c r="D1230" s="175">
        <v>0.02</v>
      </c>
      <c r="E1230" s="176"/>
    </row>
    <row r="1231" spans="1:5" x14ac:dyDescent="0.25">
      <c r="A1231" s="46">
        <v>344</v>
      </c>
      <c r="B1231" s="143" t="s">
        <v>365</v>
      </c>
      <c r="C1231" s="175" t="s">
        <v>552</v>
      </c>
      <c r="D1231" s="175">
        <v>1E-3</v>
      </c>
      <c r="E1231" s="176"/>
    </row>
    <row r="1232" spans="1:5" x14ac:dyDescent="0.25">
      <c r="A1232" s="46">
        <v>344</v>
      </c>
      <c r="B1232" s="143" t="s">
        <v>365</v>
      </c>
      <c r="C1232" s="175" t="s">
        <v>470</v>
      </c>
      <c r="D1232" s="175">
        <v>1E-3</v>
      </c>
      <c r="E1232" s="176"/>
    </row>
    <row r="1233" spans="1:5" x14ac:dyDescent="0.25">
      <c r="A1233" s="46">
        <v>344</v>
      </c>
      <c r="B1233" s="143" t="s">
        <v>365</v>
      </c>
      <c r="C1233" s="175" t="s">
        <v>478</v>
      </c>
      <c r="D1233" s="175">
        <v>0.01</v>
      </c>
      <c r="E1233" s="176"/>
    </row>
    <row r="1234" spans="1:5" x14ac:dyDescent="0.25">
      <c r="A1234" s="46">
        <v>344</v>
      </c>
      <c r="B1234" s="143" t="s">
        <v>365</v>
      </c>
      <c r="C1234" s="175" t="s">
        <v>516</v>
      </c>
      <c r="D1234" s="175">
        <v>1E-4</v>
      </c>
      <c r="E1234" s="176"/>
    </row>
    <row r="1235" spans="1:5" x14ac:dyDescent="0.25">
      <c r="A1235" s="46">
        <v>177</v>
      </c>
      <c r="B1235" s="143" t="s">
        <v>245</v>
      </c>
      <c r="C1235" s="89" t="s">
        <v>453</v>
      </c>
      <c r="D1235" s="141">
        <v>0.01</v>
      </c>
      <c r="E1235" s="141" t="s">
        <v>450</v>
      </c>
    </row>
    <row r="1236" spans="1:5" x14ac:dyDescent="0.25">
      <c r="A1236" s="46">
        <v>177</v>
      </c>
      <c r="B1236" s="143" t="s">
        <v>245</v>
      </c>
      <c r="C1236" s="89" t="s">
        <v>488</v>
      </c>
      <c r="D1236" s="141" t="s">
        <v>811</v>
      </c>
      <c r="E1236" s="141" t="s">
        <v>450</v>
      </c>
    </row>
    <row r="1237" spans="1:5" x14ac:dyDescent="0.25">
      <c r="A1237" s="46">
        <v>177</v>
      </c>
      <c r="B1237" s="143" t="s">
        <v>245</v>
      </c>
      <c r="C1237" s="89" t="s">
        <v>747</v>
      </c>
      <c r="D1237" s="141">
        <v>0.15</v>
      </c>
      <c r="E1237" s="141" t="s">
        <v>448</v>
      </c>
    </row>
    <row r="1238" spans="1:5" x14ac:dyDescent="0.25">
      <c r="A1238" s="46">
        <v>177</v>
      </c>
      <c r="B1238" s="143" t="s">
        <v>245</v>
      </c>
      <c r="C1238" s="89" t="s">
        <v>835</v>
      </c>
      <c r="D1238" s="141">
        <v>0.1</v>
      </c>
      <c r="E1238" s="141" t="s">
        <v>450</v>
      </c>
    </row>
    <row r="1239" spans="1:5" x14ac:dyDescent="0.25">
      <c r="A1239" s="46">
        <v>177</v>
      </c>
      <c r="B1239" s="143" t="s">
        <v>245</v>
      </c>
      <c r="C1239" s="89" t="s">
        <v>750</v>
      </c>
      <c r="D1239" s="141">
        <v>2E-3</v>
      </c>
      <c r="E1239" s="141" t="s">
        <v>450</v>
      </c>
    </row>
    <row r="1240" spans="1:5" x14ac:dyDescent="0.25">
      <c r="A1240" s="46">
        <v>177</v>
      </c>
      <c r="B1240" s="143" t="s">
        <v>245</v>
      </c>
      <c r="C1240" s="89" t="s">
        <v>834</v>
      </c>
      <c r="D1240" s="141">
        <v>0.125</v>
      </c>
      <c r="E1240" s="145" t="s">
        <v>749</v>
      </c>
    </row>
    <row r="1241" spans="1:5" x14ac:dyDescent="0.25">
      <c r="A1241" s="46">
        <v>177</v>
      </c>
      <c r="B1241" s="143" t="s">
        <v>245</v>
      </c>
      <c r="C1241" s="89" t="s">
        <v>836</v>
      </c>
      <c r="D1241" s="141">
        <v>5.0000000000000001E-3</v>
      </c>
      <c r="E1241" s="141" t="s">
        <v>450</v>
      </c>
    </row>
    <row r="1242" spans="1:5" x14ac:dyDescent="0.25">
      <c r="A1242" s="46">
        <v>177</v>
      </c>
      <c r="B1242" s="143" t="s">
        <v>245</v>
      </c>
      <c r="C1242" s="143" t="s">
        <v>566</v>
      </c>
      <c r="D1242" s="141">
        <v>0.05</v>
      </c>
      <c r="E1242" s="141" t="s">
        <v>448</v>
      </c>
    </row>
    <row r="1243" spans="1:5" x14ac:dyDescent="0.25">
      <c r="A1243" s="46">
        <v>24</v>
      </c>
      <c r="B1243" s="143" t="s">
        <v>37</v>
      </c>
      <c r="C1243" s="143" t="s">
        <v>591</v>
      </c>
      <c r="D1243" s="144">
        <v>1.4999999999999999E-2</v>
      </c>
      <c r="E1243" s="142" t="s">
        <v>450</v>
      </c>
    </row>
    <row r="1244" spans="1:5" x14ac:dyDescent="0.25">
      <c r="A1244" s="46">
        <v>24</v>
      </c>
      <c r="B1244" s="143" t="s">
        <v>37</v>
      </c>
      <c r="C1244" s="143" t="s">
        <v>500</v>
      </c>
      <c r="D1244" s="144">
        <v>0.01</v>
      </c>
      <c r="E1244" s="142" t="s">
        <v>450</v>
      </c>
    </row>
    <row r="1245" spans="1:5" x14ac:dyDescent="0.25">
      <c r="A1245" s="46">
        <v>24</v>
      </c>
      <c r="B1245" s="143" t="s">
        <v>37</v>
      </c>
      <c r="C1245" s="143" t="s">
        <v>559</v>
      </c>
      <c r="D1245" s="144">
        <v>1</v>
      </c>
      <c r="E1245" s="145" t="s">
        <v>749</v>
      </c>
    </row>
    <row r="1246" spans="1:5" x14ac:dyDescent="0.25">
      <c r="A1246" s="46">
        <v>24</v>
      </c>
      <c r="B1246" s="143" t="s">
        <v>37</v>
      </c>
      <c r="C1246" s="143" t="s">
        <v>592</v>
      </c>
      <c r="D1246" s="144">
        <v>5.0000000000000001E-3</v>
      </c>
      <c r="E1246" s="142" t="s">
        <v>458</v>
      </c>
    </row>
    <row r="1247" spans="1:5" x14ac:dyDescent="0.25">
      <c r="A1247" s="46">
        <v>24</v>
      </c>
      <c r="B1247" s="143" t="s">
        <v>37</v>
      </c>
      <c r="C1247" s="143" t="s">
        <v>593</v>
      </c>
      <c r="D1247" s="144">
        <v>2.5000000000000001E-2</v>
      </c>
      <c r="E1247" s="142" t="s">
        <v>450</v>
      </c>
    </row>
    <row r="1248" spans="1:5" x14ac:dyDescent="0.25">
      <c r="A1248" s="46">
        <v>24</v>
      </c>
      <c r="B1248" s="143" t="s">
        <v>37</v>
      </c>
      <c r="C1248" s="143" t="s">
        <v>520</v>
      </c>
      <c r="D1248" s="144">
        <v>0.1</v>
      </c>
      <c r="E1248" s="142" t="s">
        <v>448</v>
      </c>
    </row>
    <row r="1249" spans="1:5" x14ac:dyDescent="0.25">
      <c r="A1249" s="46">
        <v>24</v>
      </c>
      <c r="B1249" s="143" t="s">
        <v>37</v>
      </c>
      <c r="C1249" s="152" t="s">
        <v>503</v>
      </c>
      <c r="D1249" s="144">
        <v>1</v>
      </c>
      <c r="E1249" s="142" t="s">
        <v>594</v>
      </c>
    </row>
    <row r="1250" spans="1:5" x14ac:dyDescent="0.25">
      <c r="A1250" s="46">
        <v>24</v>
      </c>
      <c r="B1250" s="143" t="s">
        <v>37</v>
      </c>
      <c r="C1250" s="143" t="s">
        <v>561</v>
      </c>
      <c r="D1250" s="144">
        <v>0.1</v>
      </c>
      <c r="E1250" s="142" t="s">
        <v>450</v>
      </c>
    </row>
    <row r="1251" spans="1:5" x14ac:dyDescent="0.25">
      <c r="A1251" s="46">
        <v>24</v>
      </c>
      <c r="B1251" s="143" t="s">
        <v>37</v>
      </c>
      <c r="C1251" s="143" t="s">
        <v>488</v>
      </c>
      <c r="D1251" s="144">
        <v>2E-3</v>
      </c>
      <c r="E1251" s="142" t="s">
        <v>450</v>
      </c>
    </row>
    <row r="1252" spans="1:5" x14ac:dyDescent="0.25">
      <c r="A1252" s="46">
        <v>24</v>
      </c>
      <c r="B1252" s="143" t="s">
        <v>37</v>
      </c>
      <c r="C1252" s="143" t="s">
        <v>467</v>
      </c>
      <c r="D1252" s="144">
        <v>2E-3</v>
      </c>
      <c r="E1252" s="142" t="s">
        <v>448</v>
      </c>
    </row>
    <row r="1253" spans="1:5" x14ac:dyDescent="0.25">
      <c r="A1253" s="46">
        <v>24</v>
      </c>
      <c r="B1253" s="143" t="s">
        <v>37</v>
      </c>
      <c r="C1253" s="143" t="s">
        <v>487</v>
      </c>
      <c r="D1253" s="144">
        <v>1E-3</v>
      </c>
      <c r="E1253" s="142" t="s">
        <v>450</v>
      </c>
    </row>
    <row r="1254" spans="1:5" x14ac:dyDescent="0.25">
      <c r="A1254" s="46">
        <v>24</v>
      </c>
      <c r="B1254" s="143" t="s">
        <v>37</v>
      </c>
      <c r="C1254" s="143" t="s">
        <v>595</v>
      </c>
      <c r="D1254" s="144">
        <v>2E-3</v>
      </c>
      <c r="E1254" s="142" t="s">
        <v>458</v>
      </c>
    </row>
    <row r="1255" spans="1:5" x14ac:dyDescent="0.25">
      <c r="A1255" s="46">
        <v>24</v>
      </c>
      <c r="B1255" s="143" t="s">
        <v>37</v>
      </c>
      <c r="C1255" s="143" t="s">
        <v>596</v>
      </c>
      <c r="D1255" s="144">
        <v>2E-3</v>
      </c>
      <c r="E1255" s="142" t="s">
        <v>458</v>
      </c>
    </row>
    <row r="1256" spans="1:5" x14ac:dyDescent="0.25">
      <c r="A1256" s="46">
        <v>24</v>
      </c>
      <c r="B1256" s="143" t="s">
        <v>37</v>
      </c>
      <c r="C1256" s="89" t="s">
        <v>597</v>
      </c>
      <c r="D1256" s="158">
        <v>1.4999999999999999E-2</v>
      </c>
      <c r="E1256" s="141" t="s">
        <v>450</v>
      </c>
    </row>
    <row r="1257" spans="1:5" x14ac:dyDescent="0.25">
      <c r="A1257" s="46">
        <v>225</v>
      </c>
      <c r="B1257" s="143" t="s">
        <v>41</v>
      </c>
      <c r="C1257" s="89" t="s">
        <v>538</v>
      </c>
      <c r="D1257" s="141">
        <v>0.01</v>
      </c>
      <c r="E1257" s="141" t="s">
        <v>450</v>
      </c>
    </row>
    <row r="1258" spans="1:5" x14ac:dyDescent="0.25">
      <c r="A1258" s="46">
        <v>225</v>
      </c>
      <c r="B1258" s="143" t="s">
        <v>41</v>
      </c>
      <c r="C1258" s="89" t="s">
        <v>920</v>
      </c>
      <c r="D1258" s="141">
        <v>5.0000000000000001E-3</v>
      </c>
      <c r="E1258" s="141" t="s">
        <v>450</v>
      </c>
    </row>
    <row r="1259" spans="1:5" x14ac:dyDescent="0.25">
      <c r="A1259" s="46">
        <v>225</v>
      </c>
      <c r="B1259" s="143" t="s">
        <v>41</v>
      </c>
      <c r="C1259" s="89" t="s">
        <v>559</v>
      </c>
      <c r="D1259" s="141">
        <v>1</v>
      </c>
      <c r="E1259" s="145" t="s">
        <v>749</v>
      </c>
    </row>
    <row r="1260" spans="1:5" x14ac:dyDescent="0.25">
      <c r="A1260" s="46">
        <v>225</v>
      </c>
      <c r="B1260" s="143" t="s">
        <v>41</v>
      </c>
      <c r="C1260" s="143" t="s">
        <v>500</v>
      </c>
      <c r="D1260" s="141">
        <v>0.01</v>
      </c>
      <c r="E1260" s="141" t="s">
        <v>450</v>
      </c>
    </row>
    <row r="1261" spans="1:5" x14ac:dyDescent="0.25">
      <c r="A1261" s="46">
        <v>225</v>
      </c>
      <c r="B1261" s="143" t="s">
        <v>41</v>
      </c>
      <c r="C1261" s="143" t="s">
        <v>560</v>
      </c>
      <c r="D1261" s="141">
        <v>0.125</v>
      </c>
      <c r="E1261" s="141" t="s">
        <v>450</v>
      </c>
    </row>
    <row r="1262" spans="1:5" x14ac:dyDescent="0.25">
      <c r="A1262" s="46">
        <v>225</v>
      </c>
      <c r="B1262" s="143" t="s">
        <v>41</v>
      </c>
      <c r="C1262" s="89" t="s">
        <v>676</v>
      </c>
      <c r="D1262" s="141">
        <v>0.01</v>
      </c>
      <c r="E1262" s="141" t="s">
        <v>450</v>
      </c>
    </row>
    <row r="1263" spans="1:5" x14ac:dyDescent="0.25">
      <c r="A1263" s="46">
        <v>225</v>
      </c>
      <c r="B1263" s="143" t="s">
        <v>41</v>
      </c>
      <c r="C1263" s="89" t="s">
        <v>544</v>
      </c>
      <c r="D1263" s="141">
        <v>0.01</v>
      </c>
      <c r="E1263" s="141" t="s">
        <v>450</v>
      </c>
    </row>
    <row r="1264" spans="1:5" x14ac:dyDescent="0.25">
      <c r="A1264" s="46">
        <v>225</v>
      </c>
      <c r="B1264" s="143" t="s">
        <v>41</v>
      </c>
      <c r="C1264" s="89" t="s">
        <v>478</v>
      </c>
      <c r="D1264" s="141">
        <v>6.0000000000000001E-3</v>
      </c>
      <c r="E1264" s="141" t="s">
        <v>448</v>
      </c>
    </row>
    <row r="1265" spans="1:5" x14ac:dyDescent="0.25">
      <c r="A1265" s="46">
        <v>225</v>
      </c>
      <c r="B1265" s="143" t="s">
        <v>41</v>
      </c>
      <c r="C1265" s="89" t="s">
        <v>470</v>
      </c>
      <c r="D1265" s="141">
        <v>2E-3</v>
      </c>
      <c r="E1265" s="145" t="s">
        <v>450</v>
      </c>
    </row>
    <row r="1266" spans="1:5" x14ac:dyDescent="0.25">
      <c r="A1266" s="46">
        <v>225</v>
      </c>
      <c r="B1266" s="143" t="s">
        <v>41</v>
      </c>
      <c r="C1266" s="89" t="s">
        <v>516</v>
      </c>
      <c r="D1266" s="141">
        <v>1E-3</v>
      </c>
      <c r="E1266" s="145" t="s">
        <v>450</v>
      </c>
    </row>
    <row r="1267" spans="1:5" x14ac:dyDescent="0.25">
      <c r="A1267" s="46">
        <v>180</v>
      </c>
      <c r="B1267" s="143" t="s">
        <v>248</v>
      </c>
      <c r="C1267" s="156" t="s">
        <v>710</v>
      </c>
      <c r="D1267" s="141">
        <v>7.0000000000000007E-2</v>
      </c>
      <c r="E1267" s="141" t="s">
        <v>448</v>
      </c>
    </row>
    <row r="1268" spans="1:5" x14ac:dyDescent="0.25">
      <c r="A1268" s="46">
        <v>180</v>
      </c>
      <c r="B1268" s="143" t="s">
        <v>248</v>
      </c>
      <c r="C1268" s="89" t="s">
        <v>845</v>
      </c>
      <c r="D1268" s="141">
        <v>7.0000000000000007E-2</v>
      </c>
      <c r="E1268" s="141" t="s">
        <v>450</v>
      </c>
    </row>
    <row r="1269" spans="1:5" x14ac:dyDescent="0.25">
      <c r="A1269" s="46">
        <v>180</v>
      </c>
      <c r="B1269" s="143" t="s">
        <v>248</v>
      </c>
      <c r="C1269" s="89" t="s">
        <v>572</v>
      </c>
      <c r="D1269" s="141">
        <v>7.0000000000000001E-3</v>
      </c>
      <c r="E1269" s="141" t="s">
        <v>450</v>
      </c>
    </row>
    <row r="1270" spans="1:5" x14ac:dyDescent="0.25">
      <c r="A1270" s="46">
        <v>180</v>
      </c>
      <c r="B1270" s="143" t="s">
        <v>248</v>
      </c>
      <c r="C1270" s="89" t="s">
        <v>700</v>
      </c>
      <c r="D1270" s="141">
        <v>0.04</v>
      </c>
      <c r="E1270" s="141" t="s">
        <v>450</v>
      </c>
    </row>
    <row r="1271" spans="1:5" x14ac:dyDescent="0.25">
      <c r="A1271" s="46">
        <v>180</v>
      </c>
      <c r="B1271" s="143" t="s">
        <v>248</v>
      </c>
      <c r="C1271" s="89" t="s">
        <v>748</v>
      </c>
      <c r="D1271" s="141">
        <v>5.0000000000000001E-3</v>
      </c>
      <c r="E1271" s="141" t="s">
        <v>450</v>
      </c>
    </row>
    <row r="1272" spans="1:5" x14ac:dyDescent="0.25">
      <c r="A1272" s="46">
        <v>180</v>
      </c>
      <c r="B1272" s="143" t="s">
        <v>248</v>
      </c>
      <c r="C1272" s="89" t="s">
        <v>517</v>
      </c>
      <c r="D1272" s="141">
        <v>7.0000000000000007E-2</v>
      </c>
      <c r="E1272" s="141" t="s">
        <v>450</v>
      </c>
    </row>
    <row r="1273" spans="1:5" x14ac:dyDescent="0.25">
      <c r="A1273" s="46">
        <v>180</v>
      </c>
      <c r="B1273" s="143" t="s">
        <v>248</v>
      </c>
      <c r="C1273" s="89" t="s">
        <v>447</v>
      </c>
      <c r="D1273" s="141">
        <v>0.06</v>
      </c>
      <c r="E1273" s="141" t="s">
        <v>448</v>
      </c>
    </row>
    <row r="1274" spans="1:5" x14ac:dyDescent="0.25">
      <c r="A1274" s="46">
        <v>73</v>
      </c>
      <c r="B1274" s="143" t="s">
        <v>194</v>
      </c>
      <c r="C1274" s="143" t="s">
        <v>721</v>
      </c>
      <c r="D1274" s="144">
        <v>1</v>
      </c>
      <c r="E1274" s="145" t="s">
        <v>749</v>
      </c>
    </row>
    <row r="1275" spans="1:5" x14ac:dyDescent="0.25">
      <c r="A1275" s="46">
        <v>73</v>
      </c>
      <c r="B1275" s="143" t="s">
        <v>194</v>
      </c>
      <c r="C1275" s="143" t="s">
        <v>570</v>
      </c>
      <c r="D1275" s="144">
        <v>0.02</v>
      </c>
      <c r="E1275" s="142" t="s">
        <v>450</v>
      </c>
    </row>
    <row r="1276" spans="1:5" x14ac:dyDescent="0.25">
      <c r="A1276" s="46">
        <v>73</v>
      </c>
      <c r="B1276" s="143" t="s">
        <v>194</v>
      </c>
      <c r="C1276" s="143" t="s">
        <v>571</v>
      </c>
      <c r="D1276" s="144">
        <v>1.4999999999999999E-2</v>
      </c>
      <c r="E1276" s="142" t="s">
        <v>450</v>
      </c>
    </row>
    <row r="1277" spans="1:5" x14ac:dyDescent="0.25">
      <c r="A1277" s="46">
        <v>73</v>
      </c>
      <c r="B1277" s="143" t="s">
        <v>194</v>
      </c>
      <c r="C1277" s="143" t="s">
        <v>569</v>
      </c>
      <c r="D1277" s="144">
        <v>8.0000000000000002E-3</v>
      </c>
      <c r="E1277" s="142" t="s">
        <v>458</v>
      </c>
    </row>
    <row r="1278" spans="1:5" x14ac:dyDescent="0.25">
      <c r="A1278" s="46">
        <v>73</v>
      </c>
      <c r="B1278" s="143" t="s">
        <v>194</v>
      </c>
      <c r="C1278" s="143" t="s">
        <v>572</v>
      </c>
      <c r="D1278" s="144">
        <v>6.0000000000000001E-3</v>
      </c>
      <c r="E1278" s="142" t="s">
        <v>458</v>
      </c>
    </row>
    <row r="1279" spans="1:5" x14ac:dyDescent="0.25">
      <c r="A1279" s="46">
        <v>73</v>
      </c>
      <c r="B1279" s="143" t="s">
        <v>194</v>
      </c>
      <c r="C1279" s="156" t="s">
        <v>568</v>
      </c>
      <c r="D1279" s="144">
        <v>8.0000000000000002E-3</v>
      </c>
      <c r="E1279" s="142" t="s">
        <v>450</v>
      </c>
    </row>
    <row r="1280" spans="1:5" x14ac:dyDescent="0.25">
      <c r="A1280" s="46">
        <v>73</v>
      </c>
      <c r="B1280" s="143" t="s">
        <v>194</v>
      </c>
      <c r="C1280" s="143" t="s">
        <v>488</v>
      </c>
      <c r="D1280" s="144">
        <v>1E-3</v>
      </c>
      <c r="E1280" s="142" t="s">
        <v>450</v>
      </c>
    </row>
    <row r="1281" spans="1:5" x14ac:dyDescent="0.25">
      <c r="A1281" s="46">
        <v>73</v>
      </c>
      <c r="B1281" s="143" t="s">
        <v>194</v>
      </c>
      <c r="C1281" s="143" t="s">
        <v>467</v>
      </c>
      <c r="D1281" s="144">
        <v>1E-3</v>
      </c>
      <c r="E1281" s="142" t="s">
        <v>450</v>
      </c>
    </row>
    <row r="1282" spans="1:5" x14ac:dyDescent="0.25">
      <c r="A1282" s="46"/>
      <c r="B1282" s="98" t="s">
        <v>417</v>
      </c>
      <c r="C1282" s="89" t="s">
        <v>1538</v>
      </c>
      <c r="D1282" s="141">
        <v>1</v>
      </c>
      <c r="E1282" s="150" t="s">
        <v>450</v>
      </c>
    </row>
    <row r="1283" spans="1:5" x14ac:dyDescent="0.25">
      <c r="A1283" s="46">
        <v>245</v>
      </c>
      <c r="B1283" s="143" t="s">
        <v>282</v>
      </c>
      <c r="C1283" s="178" t="s">
        <v>525</v>
      </c>
      <c r="D1283" s="179">
        <v>0.01</v>
      </c>
      <c r="E1283" s="180" t="s">
        <v>458</v>
      </c>
    </row>
    <row r="1284" spans="1:5" x14ac:dyDescent="0.25">
      <c r="A1284" s="46">
        <v>245</v>
      </c>
      <c r="B1284" s="143" t="s">
        <v>282</v>
      </c>
      <c r="C1284" s="178" t="s">
        <v>554</v>
      </c>
      <c r="D1284" s="179">
        <v>1.4999999999999999E-2</v>
      </c>
      <c r="E1284" s="180" t="s">
        <v>458</v>
      </c>
    </row>
    <row r="1285" spans="1:5" x14ac:dyDescent="0.25">
      <c r="A1285" s="46">
        <v>245</v>
      </c>
      <c r="B1285" s="143" t="s">
        <v>282</v>
      </c>
      <c r="C1285" s="143" t="s">
        <v>590</v>
      </c>
      <c r="D1285" s="179">
        <v>0.09</v>
      </c>
      <c r="E1285" s="180" t="s">
        <v>458</v>
      </c>
    </row>
    <row r="1286" spans="1:5" x14ac:dyDescent="0.25">
      <c r="A1286" s="46">
        <v>245</v>
      </c>
      <c r="B1286" s="143" t="s">
        <v>282</v>
      </c>
      <c r="C1286" s="146" t="s">
        <v>567</v>
      </c>
      <c r="D1286" s="179">
        <v>0.01</v>
      </c>
      <c r="E1286" s="180" t="s">
        <v>458</v>
      </c>
    </row>
    <row r="1287" spans="1:5" x14ac:dyDescent="0.25">
      <c r="A1287" s="46">
        <v>245</v>
      </c>
      <c r="B1287" s="143" t="s">
        <v>282</v>
      </c>
      <c r="C1287" s="146" t="s">
        <v>633</v>
      </c>
      <c r="D1287" s="179">
        <v>0.08</v>
      </c>
      <c r="E1287" s="180" t="s">
        <v>458</v>
      </c>
    </row>
    <row r="1288" spans="1:5" x14ac:dyDescent="0.25">
      <c r="A1288" s="46">
        <v>245</v>
      </c>
      <c r="B1288" s="143" t="s">
        <v>282</v>
      </c>
      <c r="C1288" s="143" t="s">
        <v>502</v>
      </c>
      <c r="D1288" s="179">
        <v>1E-3</v>
      </c>
      <c r="E1288" s="180" t="s">
        <v>458</v>
      </c>
    </row>
    <row r="1289" spans="1:5" x14ac:dyDescent="0.25">
      <c r="A1289" s="46">
        <v>245</v>
      </c>
      <c r="B1289" s="143" t="s">
        <v>282</v>
      </c>
      <c r="C1289" s="143" t="s">
        <v>951</v>
      </c>
      <c r="D1289" s="179">
        <v>1E-3</v>
      </c>
      <c r="E1289" s="180" t="s">
        <v>458</v>
      </c>
    </row>
    <row r="1290" spans="1:5" x14ac:dyDescent="0.25">
      <c r="A1290" s="46">
        <v>245</v>
      </c>
      <c r="B1290" s="143" t="s">
        <v>282</v>
      </c>
      <c r="C1290" s="143" t="s">
        <v>535</v>
      </c>
      <c r="D1290" s="179">
        <v>2E-3</v>
      </c>
      <c r="E1290" s="180" t="s">
        <v>448</v>
      </c>
    </row>
    <row r="1291" spans="1:5" x14ac:dyDescent="0.25">
      <c r="A1291" s="46">
        <v>245</v>
      </c>
      <c r="B1291" s="143" t="s">
        <v>282</v>
      </c>
      <c r="C1291" s="178" t="s">
        <v>467</v>
      </c>
      <c r="D1291" s="179">
        <v>2E-3</v>
      </c>
      <c r="E1291" s="180" t="s">
        <v>448</v>
      </c>
    </row>
    <row r="1292" spans="1:5" x14ac:dyDescent="0.25">
      <c r="A1292" s="46">
        <v>245</v>
      </c>
      <c r="B1292" s="143" t="s">
        <v>282</v>
      </c>
      <c r="C1292" s="178" t="s">
        <v>488</v>
      </c>
      <c r="D1292" s="179">
        <v>2E-3</v>
      </c>
      <c r="E1292" s="180" t="s">
        <v>450</v>
      </c>
    </row>
    <row r="1293" spans="1:5" x14ac:dyDescent="0.25">
      <c r="A1293" s="46">
        <v>245</v>
      </c>
      <c r="B1293" s="143" t="s">
        <v>282</v>
      </c>
      <c r="C1293" s="178" t="s">
        <v>487</v>
      </c>
      <c r="D1293" s="179">
        <v>1E-3</v>
      </c>
      <c r="E1293" s="180" t="s">
        <v>458</v>
      </c>
    </row>
    <row r="1294" spans="1:5" x14ac:dyDescent="0.25">
      <c r="A1294" s="46"/>
      <c r="B1294" s="98" t="s">
        <v>395</v>
      </c>
      <c r="C1294" s="89" t="s">
        <v>1547</v>
      </c>
      <c r="D1294" s="141">
        <v>0.9</v>
      </c>
      <c r="E1294" s="150" t="s">
        <v>450</v>
      </c>
    </row>
    <row r="1295" spans="1:5" x14ac:dyDescent="0.25">
      <c r="A1295" s="46"/>
      <c r="B1295" s="98" t="s">
        <v>395</v>
      </c>
      <c r="C1295" s="89" t="s">
        <v>554</v>
      </c>
      <c r="D1295" s="141">
        <v>0.05</v>
      </c>
      <c r="E1295" s="150" t="s">
        <v>450</v>
      </c>
    </row>
    <row r="1296" spans="1:5" x14ac:dyDescent="0.25">
      <c r="A1296" s="46"/>
      <c r="B1296" s="98" t="s">
        <v>395</v>
      </c>
      <c r="C1296" s="89" t="s">
        <v>509</v>
      </c>
      <c r="D1296" s="141">
        <v>0.05</v>
      </c>
      <c r="E1296" s="150" t="s">
        <v>450</v>
      </c>
    </row>
    <row r="1297" spans="1:5" x14ac:dyDescent="0.25">
      <c r="A1297" s="46">
        <v>215</v>
      </c>
      <c r="B1297" s="143" t="s">
        <v>48</v>
      </c>
      <c r="C1297" s="89" t="s">
        <v>909</v>
      </c>
      <c r="D1297" s="141">
        <v>0.15</v>
      </c>
      <c r="E1297" s="145" t="s">
        <v>450</v>
      </c>
    </row>
    <row r="1298" spans="1:5" x14ac:dyDescent="0.25">
      <c r="A1298" s="46">
        <v>215</v>
      </c>
      <c r="B1298" s="143" t="s">
        <v>48</v>
      </c>
      <c r="C1298" s="89" t="s">
        <v>590</v>
      </c>
      <c r="D1298" s="141">
        <v>0.01</v>
      </c>
      <c r="E1298" s="145" t="s">
        <v>450</v>
      </c>
    </row>
    <row r="1299" spans="1:5" x14ac:dyDescent="0.25">
      <c r="A1299" s="46">
        <v>215</v>
      </c>
      <c r="B1299" s="143" t="s">
        <v>48</v>
      </c>
      <c r="C1299" s="89" t="s">
        <v>614</v>
      </c>
      <c r="D1299" s="141">
        <v>1E-3</v>
      </c>
      <c r="E1299" s="145" t="s">
        <v>450</v>
      </c>
    </row>
    <row r="1300" spans="1:5" x14ac:dyDescent="0.25">
      <c r="A1300" s="46">
        <v>215</v>
      </c>
      <c r="B1300" s="143" t="s">
        <v>48</v>
      </c>
      <c r="C1300" s="89" t="s">
        <v>525</v>
      </c>
      <c r="D1300" s="141">
        <v>0.01</v>
      </c>
      <c r="E1300" s="145" t="s">
        <v>450</v>
      </c>
    </row>
    <row r="1301" spans="1:5" x14ac:dyDescent="0.25">
      <c r="A1301" s="46">
        <v>215</v>
      </c>
      <c r="B1301" s="143" t="s">
        <v>48</v>
      </c>
      <c r="C1301" s="89" t="s">
        <v>910</v>
      </c>
      <c r="D1301" s="141">
        <v>0.03</v>
      </c>
      <c r="E1301" s="145" t="s">
        <v>450</v>
      </c>
    </row>
    <row r="1302" spans="1:5" x14ac:dyDescent="0.25">
      <c r="A1302" s="46">
        <v>215</v>
      </c>
      <c r="B1302" s="143" t="s">
        <v>48</v>
      </c>
      <c r="C1302" s="89" t="s">
        <v>629</v>
      </c>
      <c r="D1302" s="141">
        <v>1E-3</v>
      </c>
      <c r="E1302" s="145" t="s">
        <v>450</v>
      </c>
    </row>
    <row r="1303" spans="1:5" x14ac:dyDescent="0.25">
      <c r="A1303" s="46">
        <v>215</v>
      </c>
      <c r="B1303" s="143" t="s">
        <v>48</v>
      </c>
      <c r="C1303" s="89" t="s">
        <v>816</v>
      </c>
      <c r="D1303" s="141">
        <v>0.05</v>
      </c>
      <c r="E1303" s="145" t="s">
        <v>450</v>
      </c>
    </row>
    <row r="1304" spans="1:5" x14ac:dyDescent="0.25">
      <c r="A1304" s="46">
        <v>215</v>
      </c>
      <c r="B1304" s="143" t="s">
        <v>48</v>
      </c>
      <c r="C1304" s="89" t="s">
        <v>470</v>
      </c>
      <c r="D1304" s="141">
        <v>1E-3</v>
      </c>
      <c r="E1304" s="145" t="s">
        <v>450</v>
      </c>
    </row>
    <row r="1305" spans="1:5" x14ac:dyDescent="0.25">
      <c r="A1305" s="46">
        <v>215</v>
      </c>
      <c r="B1305" s="143" t="s">
        <v>48</v>
      </c>
      <c r="C1305" s="89" t="s">
        <v>516</v>
      </c>
      <c r="D1305" s="141">
        <v>1E-3</v>
      </c>
      <c r="E1305" s="145" t="s">
        <v>450</v>
      </c>
    </row>
    <row r="1306" spans="1:5" x14ac:dyDescent="0.25">
      <c r="A1306" s="46">
        <v>215</v>
      </c>
      <c r="B1306" s="143" t="s">
        <v>48</v>
      </c>
      <c r="C1306" s="89" t="s">
        <v>478</v>
      </c>
      <c r="D1306" s="144">
        <v>3.0000000000000001E-3</v>
      </c>
      <c r="E1306" s="141" t="s">
        <v>448</v>
      </c>
    </row>
    <row r="1307" spans="1:5" x14ac:dyDescent="0.25">
      <c r="A1307" s="46">
        <v>215</v>
      </c>
      <c r="B1307" s="143" t="s">
        <v>48</v>
      </c>
      <c r="C1307" s="143" t="s">
        <v>578</v>
      </c>
      <c r="D1307" s="141">
        <v>3.0000000000000001E-3</v>
      </c>
      <c r="E1307" s="145" t="s">
        <v>450</v>
      </c>
    </row>
    <row r="1308" spans="1:5" x14ac:dyDescent="0.25">
      <c r="A1308" s="46">
        <v>215</v>
      </c>
      <c r="B1308" s="143" t="s">
        <v>48</v>
      </c>
      <c r="C1308" s="143" t="s">
        <v>461</v>
      </c>
      <c r="D1308" s="141">
        <v>5.0000000000000001E-3</v>
      </c>
      <c r="E1308" s="145" t="s">
        <v>450</v>
      </c>
    </row>
    <row r="1309" spans="1:5" x14ac:dyDescent="0.25">
      <c r="A1309" s="46">
        <v>285</v>
      </c>
      <c r="B1309" s="143" t="s">
        <v>317</v>
      </c>
      <c r="C1309" s="89" t="s">
        <v>984</v>
      </c>
      <c r="D1309" s="141">
        <v>3.0000000000000001E-3</v>
      </c>
      <c r="E1309" s="89" t="s">
        <v>450</v>
      </c>
    </row>
    <row r="1310" spans="1:5" x14ac:dyDescent="0.25">
      <c r="A1310" s="46">
        <v>285</v>
      </c>
      <c r="B1310" s="143" t="s">
        <v>317</v>
      </c>
      <c r="C1310" s="89" t="s">
        <v>985</v>
      </c>
      <c r="D1310" s="141">
        <v>0.06</v>
      </c>
      <c r="E1310" s="89" t="s">
        <v>450</v>
      </c>
    </row>
    <row r="1311" spans="1:5" x14ac:dyDescent="0.25">
      <c r="A1311" s="46">
        <v>285</v>
      </c>
      <c r="B1311" s="143" t="s">
        <v>317</v>
      </c>
      <c r="C1311" s="89" t="s">
        <v>629</v>
      </c>
      <c r="D1311" s="141">
        <v>3.0000000000000001E-3</v>
      </c>
      <c r="E1311" s="89" t="s">
        <v>450</v>
      </c>
    </row>
    <row r="1312" spans="1:5" x14ac:dyDescent="0.25">
      <c r="A1312" s="46">
        <v>285</v>
      </c>
      <c r="B1312" s="143" t="s">
        <v>317</v>
      </c>
      <c r="C1312" s="143" t="s">
        <v>566</v>
      </c>
      <c r="D1312" s="141">
        <v>0.21</v>
      </c>
      <c r="E1312" s="89" t="s">
        <v>450</v>
      </c>
    </row>
    <row r="1313" spans="1:5" x14ac:dyDescent="0.25">
      <c r="A1313" s="46">
        <v>286</v>
      </c>
      <c r="B1313" s="143" t="s">
        <v>318</v>
      </c>
      <c r="C1313" s="89" t="s">
        <v>984</v>
      </c>
      <c r="D1313" s="141">
        <v>3.0000000000000001E-3</v>
      </c>
      <c r="E1313" s="89" t="s">
        <v>450</v>
      </c>
    </row>
    <row r="1314" spans="1:5" x14ac:dyDescent="0.25">
      <c r="A1314" s="46">
        <v>286</v>
      </c>
      <c r="B1314" s="143" t="s">
        <v>318</v>
      </c>
      <c r="C1314" s="89" t="s">
        <v>664</v>
      </c>
      <c r="D1314" s="141">
        <v>7.0000000000000007E-2</v>
      </c>
      <c r="E1314" s="89" t="s">
        <v>450</v>
      </c>
    </row>
    <row r="1315" spans="1:5" x14ac:dyDescent="0.25">
      <c r="A1315" s="46">
        <v>286</v>
      </c>
      <c r="B1315" s="143" t="s">
        <v>318</v>
      </c>
      <c r="C1315" s="143" t="s">
        <v>449</v>
      </c>
      <c r="D1315" s="141">
        <v>7.0000000000000001E-3</v>
      </c>
      <c r="E1315" s="89" t="s">
        <v>450</v>
      </c>
    </row>
    <row r="1316" spans="1:5" x14ac:dyDescent="0.25">
      <c r="A1316" s="46">
        <v>286</v>
      </c>
      <c r="B1316" s="143" t="s">
        <v>318</v>
      </c>
      <c r="C1316" s="89" t="s">
        <v>453</v>
      </c>
      <c r="D1316" s="141">
        <v>2E-3</v>
      </c>
      <c r="E1316" s="89" t="s">
        <v>450</v>
      </c>
    </row>
    <row r="1317" spans="1:5" x14ac:dyDescent="0.25">
      <c r="A1317" s="46">
        <v>286</v>
      </c>
      <c r="B1317" s="143" t="s">
        <v>318</v>
      </c>
      <c r="C1317" s="143" t="s">
        <v>566</v>
      </c>
      <c r="D1317" s="141">
        <v>0.17</v>
      </c>
      <c r="E1317" s="89" t="s">
        <v>448</v>
      </c>
    </row>
    <row r="1318" spans="1:5" x14ac:dyDescent="0.25">
      <c r="A1318" s="46">
        <v>287</v>
      </c>
      <c r="B1318" s="143" t="s">
        <v>319</v>
      </c>
      <c r="C1318" s="89" t="s">
        <v>984</v>
      </c>
      <c r="D1318" s="141">
        <v>3.0000000000000001E-3</v>
      </c>
      <c r="E1318" s="89" t="s">
        <v>450</v>
      </c>
    </row>
    <row r="1319" spans="1:5" x14ac:dyDescent="0.25">
      <c r="A1319" s="46">
        <v>287</v>
      </c>
      <c r="B1319" s="143" t="s">
        <v>319</v>
      </c>
      <c r="C1319" s="89" t="s">
        <v>700</v>
      </c>
      <c r="D1319" s="141">
        <v>0.09</v>
      </c>
      <c r="E1319" s="89" t="s">
        <v>450</v>
      </c>
    </row>
    <row r="1320" spans="1:5" x14ac:dyDescent="0.25">
      <c r="A1320" s="46">
        <v>287</v>
      </c>
      <c r="B1320" s="143" t="s">
        <v>319</v>
      </c>
      <c r="C1320" s="89" t="s">
        <v>455</v>
      </c>
      <c r="D1320" s="141">
        <v>1E-4</v>
      </c>
      <c r="E1320" s="89" t="s">
        <v>450</v>
      </c>
    </row>
    <row r="1321" spans="1:5" x14ac:dyDescent="0.25">
      <c r="A1321" s="46">
        <v>287</v>
      </c>
      <c r="B1321" s="143" t="s">
        <v>319</v>
      </c>
      <c r="C1321" s="89" t="s">
        <v>447</v>
      </c>
      <c r="D1321" s="141">
        <v>7.4999999999999997E-2</v>
      </c>
      <c r="E1321" s="89" t="s">
        <v>448</v>
      </c>
    </row>
    <row r="1322" spans="1:5" x14ac:dyDescent="0.25">
      <c r="A1322" s="46">
        <v>287</v>
      </c>
      <c r="B1322" s="143" t="s">
        <v>319</v>
      </c>
      <c r="C1322" s="143" t="s">
        <v>566</v>
      </c>
      <c r="D1322" s="141">
        <v>0.17</v>
      </c>
      <c r="E1322" s="89" t="s">
        <v>448</v>
      </c>
    </row>
    <row r="1323" spans="1:5" x14ac:dyDescent="0.25">
      <c r="A1323" s="46">
        <v>288</v>
      </c>
      <c r="B1323" s="143" t="s">
        <v>320</v>
      </c>
      <c r="C1323" s="89" t="s">
        <v>984</v>
      </c>
      <c r="D1323" s="141">
        <v>3.0000000000000001E-3</v>
      </c>
      <c r="E1323" s="89" t="s">
        <v>450</v>
      </c>
    </row>
    <row r="1324" spans="1:5" x14ac:dyDescent="0.25">
      <c r="A1324" s="46">
        <v>288</v>
      </c>
      <c r="B1324" s="143" t="s">
        <v>320</v>
      </c>
      <c r="C1324" s="89" t="s">
        <v>855</v>
      </c>
      <c r="D1324" s="141">
        <v>0.05</v>
      </c>
      <c r="E1324" s="89" t="s">
        <v>448</v>
      </c>
    </row>
    <row r="1325" spans="1:5" x14ac:dyDescent="0.25">
      <c r="A1325" s="46">
        <v>288</v>
      </c>
      <c r="B1325" s="143" t="s">
        <v>320</v>
      </c>
      <c r="C1325" s="89" t="s">
        <v>699</v>
      </c>
      <c r="D1325" s="141">
        <v>7.0000000000000001E-3</v>
      </c>
      <c r="E1325" s="89" t="s">
        <v>450</v>
      </c>
    </row>
    <row r="1326" spans="1:5" x14ac:dyDescent="0.25">
      <c r="A1326" s="46">
        <v>288</v>
      </c>
      <c r="B1326" s="143" t="s">
        <v>320</v>
      </c>
      <c r="C1326" s="143" t="s">
        <v>566</v>
      </c>
      <c r="D1326" s="141">
        <v>0.21</v>
      </c>
      <c r="E1326" s="89" t="s">
        <v>448</v>
      </c>
    </row>
    <row r="1327" spans="1:5" x14ac:dyDescent="0.25">
      <c r="A1327" s="46">
        <v>195</v>
      </c>
      <c r="B1327" s="143" t="s">
        <v>258</v>
      </c>
      <c r="C1327" s="143" t="s">
        <v>633</v>
      </c>
      <c r="D1327" s="149">
        <v>0.03</v>
      </c>
      <c r="E1327" s="145" t="s">
        <v>450</v>
      </c>
    </row>
    <row r="1328" spans="1:5" x14ac:dyDescent="0.25">
      <c r="A1328" s="46">
        <v>195</v>
      </c>
      <c r="B1328" s="143" t="s">
        <v>258</v>
      </c>
      <c r="C1328" s="143" t="s">
        <v>869</v>
      </c>
      <c r="D1328" s="148">
        <v>8.0000000000000002E-3</v>
      </c>
      <c r="E1328" s="145" t="s">
        <v>450</v>
      </c>
    </row>
    <row r="1329" spans="1:5" x14ac:dyDescent="0.25">
      <c r="A1329" s="46">
        <v>195</v>
      </c>
      <c r="B1329" s="143" t="s">
        <v>258</v>
      </c>
      <c r="C1329" s="143" t="s">
        <v>461</v>
      </c>
      <c r="D1329" s="148">
        <v>0.02</v>
      </c>
      <c r="E1329" s="145" t="s">
        <v>450</v>
      </c>
    </row>
    <row r="1330" spans="1:5" x14ac:dyDescent="0.25">
      <c r="A1330" s="46">
        <v>195</v>
      </c>
      <c r="B1330" s="143" t="s">
        <v>258</v>
      </c>
      <c r="C1330" s="143" t="s">
        <v>480</v>
      </c>
      <c r="D1330" s="148">
        <v>1E-3</v>
      </c>
      <c r="E1330" s="145" t="s">
        <v>450</v>
      </c>
    </row>
    <row r="1331" spans="1:5" x14ac:dyDescent="0.25">
      <c r="A1331" s="46">
        <v>195</v>
      </c>
      <c r="B1331" s="143" t="s">
        <v>258</v>
      </c>
      <c r="C1331" s="143" t="s">
        <v>870</v>
      </c>
      <c r="D1331" s="148">
        <v>2E-3</v>
      </c>
      <c r="E1331" s="145" t="s">
        <v>450</v>
      </c>
    </row>
    <row r="1332" spans="1:5" x14ac:dyDescent="0.25">
      <c r="A1332" s="46">
        <v>195</v>
      </c>
      <c r="B1332" s="143" t="s">
        <v>258</v>
      </c>
      <c r="C1332" s="143" t="s">
        <v>478</v>
      </c>
      <c r="D1332" s="148">
        <v>3.0000000000000001E-3</v>
      </c>
      <c r="E1332" s="145" t="s">
        <v>448</v>
      </c>
    </row>
    <row r="1333" spans="1:5" x14ac:dyDescent="0.25">
      <c r="A1333" s="46">
        <v>195</v>
      </c>
      <c r="B1333" s="143" t="s">
        <v>258</v>
      </c>
      <c r="C1333" s="143" t="s">
        <v>470</v>
      </c>
      <c r="D1333" s="148">
        <v>2E-3</v>
      </c>
      <c r="E1333" s="145" t="s">
        <v>450</v>
      </c>
    </row>
    <row r="1334" spans="1:5" x14ac:dyDescent="0.25">
      <c r="A1334" s="46">
        <v>195</v>
      </c>
      <c r="B1334" s="143" t="s">
        <v>258</v>
      </c>
      <c r="C1334" s="143" t="s">
        <v>516</v>
      </c>
      <c r="D1334" s="148">
        <v>5.0000000000000001E-4</v>
      </c>
      <c r="E1334" s="145" t="s">
        <v>450</v>
      </c>
    </row>
    <row r="1335" spans="1:5" x14ac:dyDescent="0.25">
      <c r="A1335" s="46">
        <v>195</v>
      </c>
      <c r="B1335" s="143" t="s">
        <v>258</v>
      </c>
      <c r="C1335" s="89" t="s">
        <v>515</v>
      </c>
      <c r="D1335" s="148">
        <v>1E-3</v>
      </c>
      <c r="E1335" s="145" t="s">
        <v>450</v>
      </c>
    </row>
    <row r="1336" spans="1:5" x14ac:dyDescent="0.25">
      <c r="A1336" s="46">
        <v>195</v>
      </c>
      <c r="B1336" s="143" t="s">
        <v>258</v>
      </c>
      <c r="C1336" s="143" t="s">
        <v>871</v>
      </c>
      <c r="D1336" s="148">
        <v>1E-3</v>
      </c>
      <c r="E1336" s="145" t="s">
        <v>450</v>
      </c>
    </row>
    <row r="1337" spans="1:5" x14ac:dyDescent="0.25">
      <c r="A1337" s="46">
        <v>195</v>
      </c>
      <c r="B1337" s="143" t="s">
        <v>258</v>
      </c>
      <c r="C1337" s="143" t="s">
        <v>449</v>
      </c>
      <c r="D1337" s="148">
        <v>0.01</v>
      </c>
      <c r="E1337" s="145" t="s">
        <v>450</v>
      </c>
    </row>
    <row r="1338" spans="1:5" x14ac:dyDescent="0.25">
      <c r="A1338" s="46"/>
      <c r="B1338" s="98" t="s">
        <v>387</v>
      </c>
      <c r="C1338" s="89" t="s">
        <v>1538</v>
      </c>
      <c r="D1338" s="141">
        <v>0.9</v>
      </c>
      <c r="E1338" s="150" t="s">
        <v>450</v>
      </c>
    </row>
    <row r="1339" spans="1:5" x14ac:dyDescent="0.25">
      <c r="A1339" s="46"/>
      <c r="B1339" s="98" t="s">
        <v>387</v>
      </c>
      <c r="C1339" s="89" t="s">
        <v>924</v>
      </c>
      <c r="D1339" s="141">
        <v>0.1</v>
      </c>
      <c r="E1339" s="150" t="s">
        <v>450</v>
      </c>
    </row>
    <row r="1340" spans="1:5" x14ac:dyDescent="0.25">
      <c r="A1340" s="46"/>
      <c r="B1340" s="98" t="s">
        <v>387</v>
      </c>
      <c r="C1340" s="89" t="s">
        <v>1029</v>
      </c>
      <c r="D1340" s="141">
        <v>0.1</v>
      </c>
      <c r="E1340" s="150" t="s">
        <v>450</v>
      </c>
    </row>
    <row r="1341" spans="1:5" x14ac:dyDescent="0.25">
      <c r="A1341" s="46"/>
      <c r="B1341" s="98" t="s">
        <v>393</v>
      </c>
      <c r="C1341" s="89" t="s">
        <v>1538</v>
      </c>
      <c r="D1341" s="141">
        <v>1</v>
      </c>
      <c r="E1341" s="150" t="s">
        <v>450</v>
      </c>
    </row>
    <row r="1342" spans="1:5" x14ac:dyDescent="0.25">
      <c r="A1342" s="46">
        <v>237</v>
      </c>
      <c r="B1342" s="143" t="s">
        <v>277</v>
      </c>
      <c r="C1342" s="89" t="s">
        <v>719</v>
      </c>
      <c r="D1342" s="141">
        <v>0.09</v>
      </c>
      <c r="E1342" s="145" t="s">
        <v>450</v>
      </c>
    </row>
    <row r="1343" spans="1:5" x14ac:dyDescent="0.25">
      <c r="A1343" s="46">
        <v>237</v>
      </c>
      <c r="B1343" s="143" t="s">
        <v>277</v>
      </c>
      <c r="C1343" s="89" t="s">
        <v>939</v>
      </c>
      <c r="D1343" s="141">
        <v>0.04</v>
      </c>
      <c r="E1343" s="145" t="s">
        <v>450</v>
      </c>
    </row>
    <row r="1344" spans="1:5" x14ac:dyDescent="0.25">
      <c r="A1344" s="46">
        <v>237</v>
      </c>
      <c r="B1344" s="143" t="s">
        <v>277</v>
      </c>
      <c r="C1344" s="167" t="s">
        <v>556</v>
      </c>
      <c r="D1344" s="141">
        <v>5.0000000000000001E-3</v>
      </c>
      <c r="E1344" s="145" t="s">
        <v>450</v>
      </c>
    </row>
    <row r="1345" spans="1:5" x14ac:dyDescent="0.25">
      <c r="A1345" s="46">
        <v>237</v>
      </c>
      <c r="B1345" s="143" t="s">
        <v>277</v>
      </c>
      <c r="C1345" s="89" t="s">
        <v>478</v>
      </c>
      <c r="D1345" s="141">
        <v>0.01</v>
      </c>
      <c r="E1345" s="141" t="s">
        <v>448</v>
      </c>
    </row>
    <row r="1346" spans="1:5" x14ac:dyDescent="0.25">
      <c r="A1346" s="46">
        <v>237</v>
      </c>
      <c r="B1346" s="143" t="s">
        <v>277</v>
      </c>
      <c r="C1346" s="89" t="s">
        <v>940</v>
      </c>
      <c r="D1346" s="141">
        <v>0.01</v>
      </c>
      <c r="E1346" s="141" t="s">
        <v>458</v>
      </c>
    </row>
    <row r="1347" spans="1:5" x14ac:dyDescent="0.25">
      <c r="A1347" s="46">
        <v>237</v>
      </c>
      <c r="B1347" s="143" t="s">
        <v>277</v>
      </c>
      <c r="C1347" s="89" t="s">
        <v>485</v>
      </c>
      <c r="D1347" s="141">
        <v>1E-3</v>
      </c>
      <c r="E1347" s="141" t="s">
        <v>458</v>
      </c>
    </row>
    <row r="1348" spans="1:5" x14ac:dyDescent="0.25">
      <c r="A1348" s="46">
        <v>237</v>
      </c>
      <c r="B1348" s="143" t="s">
        <v>277</v>
      </c>
      <c r="C1348" s="89" t="s">
        <v>516</v>
      </c>
      <c r="D1348" s="141">
        <v>1E-3</v>
      </c>
      <c r="E1348" s="145" t="s">
        <v>450</v>
      </c>
    </row>
    <row r="1349" spans="1:5" x14ac:dyDescent="0.25">
      <c r="A1349" s="46">
        <v>342</v>
      </c>
      <c r="B1349" s="143" t="s">
        <v>363</v>
      </c>
      <c r="C1349" s="175" t="s">
        <v>527</v>
      </c>
      <c r="D1349" s="175">
        <v>0.02</v>
      </c>
      <c r="E1349" s="175"/>
    </row>
    <row r="1350" spans="1:5" x14ac:dyDescent="0.25">
      <c r="A1350" s="46">
        <v>342</v>
      </c>
      <c r="B1350" s="143" t="s">
        <v>363</v>
      </c>
      <c r="C1350" s="175" t="s">
        <v>529</v>
      </c>
      <c r="D1350" s="175">
        <v>0.2</v>
      </c>
      <c r="E1350" s="175"/>
    </row>
    <row r="1351" spans="1:5" x14ac:dyDescent="0.25">
      <c r="A1351" s="46">
        <v>342</v>
      </c>
      <c r="B1351" s="143" t="s">
        <v>363</v>
      </c>
      <c r="C1351" s="175" t="s">
        <v>872</v>
      </c>
      <c r="D1351" s="175">
        <v>0.2</v>
      </c>
      <c r="E1351" s="175"/>
    </row>
    <row r="1352" spans="1:5" x14ac:dyDescent="0.25">
      <c r="A1352" s="46">
        <v>342</v>
      </c>
      <c r="B1352" s="143" t="s">
        <v>363</v>
      </c>
      <c r="C1352" s="175" t="s">
        <v>924</v>
      </c>
      <c r="D1352" s="175">
        <v>0.2</v>
      </c>
      <c r="E1352" s="175"/>
    </row>
    <row r="1353" spans="1:5" x14ac:dyDescent="0.25">
      <c r="A1353" s="46">
        <v>342</v>
      </c>
      <c r="B1353" s="143" t="s">
        <v>363</v>
      </c>
      <c r="C1353" s="175" t="s">
        <v>1073</v>
      </c>
      <c r="D1353" s="175">
        <v>0.01</v>
      </c>
      <c r="E1353" s="175"/>
    </row>
    <row r="1354" spans="1:5" x14ac:dyDescent="0.25">
      <c r="A1354" s="46">
        <v>342</v>
      </c>
      <c r="B1354" s="143" t="s">
        <v>363</v>
      </c>
      <c r="C1354" s="175" t="s">
        <v>484</v>
      </c>
      <c r="D1354" s="175">
        <v>0.3</v>
      </c>
      <c r="E1354" s="175"/>
    </row>
    <row r="1355" spans="1:5" x14ac:dyDescent="0.25">
      <c r="A1355" s="46">
        <v>342</v>
      </c>
      <c r="B1355" s="143" t="s">
        <v>363</v>
      </c>
      <c r="C1355" s="175" t="s">
        <v>827</v>
      </c>
      <c r="D1355" s="175">
        <v>0.1</v>
      </c>
      <c r="E1355" s="175"/>
    </row>
    <row r="1356" spans="1:5" x14ac:dyDescent="0.25">
      <c r="A1356" s="46">
        <v>342</v>
      </c>
      <c r="B1356" s="143" t="s">
        <v>363</v>
      </c>
      <c r="C1356" s="175" t="s">
        <v>557</v>
      </c>
      <c r="D1356" s="175">
        <v>0.02</v>
      </c>
      <c r="E1356" s="175"/>
    </row>
    <row r="1357" spans="1:5" x14ac:dyDescent="0.25">
      <c r="A1357" s="46">
        <v>342</v>
      </c>
      <c r="B1357" s="143" t="s">
        <v>363</v>
      </c>
      <c r="C1357" s="175" t="s">
        <v>1071</v>
      </c>
      <c r="D1357" s="175">
        <v>8.0000000000000002E-3</v>
      </c>
      <c r="E1357" s="175"/>
    </row>
    <row r="1358" spans="1:5" x14ac:dyDescent="0.25">
      <c r="A1358" s="46">
        <v>342</v>
      </c>
      <c r="B1358" s="143" t="s">
        <v>363</v>
      </c>
      <c r="C1358" s="175" t="s">
        <v>1034</v>
      </c>
      <c r="D1358" s="175">
        <v>0.01</v>
      </c>
      <c r="E1358" s="175"/>
    </row>
    <row r="1359" spans="1:5" x14ac:dyDescent="0.25">
      <c r="A1359" s="46">
        <v>342</v>
      </c>
      <c r="B1359" s="143" t="s">
        <v>363</v>
      </c>
      <c r="C1359" s="175" t="s">
        <v>533</v>
      </c>
      <c r="D1359" s="175">
        <v>1E-3</v>
      </c>
      <c r="E1359" s="175"/>
    </row>
    <row r="1360" spans="1:5" x14ac:dyDescent="0.25">
      <c r="A1360" s="46">
        <v>342</v>
      </c>
      <c r="B1360" s="143" t="s">
        <v>363</v>
      </c>
      <c r="C1360" s="175" t="s">
        <v>478</v>
      </c>
      <c r="D1360" s="175">
        <v>0.02</v>
      </c>
      <c r="E1360" s="175"/>
    </row>
    <row r="1361" spans="1:5" x14ac:dyDescent="0.25">
      <c r="A1361" s="46">
        <v>342</v>
      </c>
      <c r="B1361" s="143" t="s">
        <v>363</v>
      </c>
      <c r="C1361" s="175" t="s">
        <v>470</v>
      </c>
      <c r="D1361" s="175">
        <v>1E-3</v>
      </c>
      <c r="E1361" s="175"/>
    </row>
    <row r="1362" spans="1:5" x14ac:dyDescent="0.25">
      <c r="A1362" s="46">
        <v>342</v>
      </c>
      <c r="B1362" s="143" t="s">
        <v>363</v>
      </c>
      <c r="C1362" s="175" t="s">
        <v>516</v>
      </c>
      <c r="D1362" s="175">
        <v>1E-4</v>
      </c>
      <c r="E1362" s="175"/>
    </row>
    <row r="1363" spans="1:5" x14ac:dyDescent="0.25">
      <c r="A1363" s="46">
        <v>30</v>
      </c>
      <c r="B1363" s="143" t="s">
        <v>169</v>
      </c>
      <c r="C1363" s="146" t="s">
        <v>606</v>
      </c>
      <c r="D1363" s="148">
        <v>0.15</v>
      </c>
      <c r="E1363" s="145" t="s">
        <v>458</v>
      </c>
    </row>
    <row r="1364" spans="1:5" x14ac:dyDescent="0.25">
      <c r="A1364" s="46">
        <v>30</v>
      </c>
      <c r="B1364" s="143" t="s">
        <v>169</v>
      </c>
      <c r="C1364" s="146" t="s">
        <v>498</v>
      </c>
      <c r="D1364" s="149">
        <v>5.0000000000000001E-4</v>
      </c>
      <c r="E1364" s="145" t="s">
        <v>458</v>
      </c>
    </row>
    <row r="1365" spans="1:5" x14ac:dyDescent="0.25">
      <c r="A1365" s="46">
        <v>30</v>
      </c>
      <c r="B1365" s="143" t="s">
        <v>169</v>
      </c>
      <c r="C1365" s="146" t="s">
        <v>607</v>
      </c>
      <c r="D1365" s="149">
        <v>3.0000000000000001E-3</v>
      </c>
      <c r="E1365" s="145" t="s">
        <v>458</v>
      </c>
    </row>
    <row r="1366" spans="1:5" x14ac:dyDescent="0.25">
      <c r="A1366" s="46">
        <v>30</v>
      </c>
      <c r="B1366" s="143" t="s">
        <v>169</v>
      </c>
      <c r="C1366" s="146" t="s">
        <v>608</v>
      </c>
      <c r="D1366" s="149">
        <v>3.0000000000000001E-3</v>
      </c>
      <c r="E1366" s="145" t="s">
        <v>458</v>
      </c>
    </row>
    <row r="1367" spans="1:5" x14ac:dyDescent="0.25">
      <c r="A1367" s="46">
        <v>30</v>
      </c>
      <c r="B1367" s="143" t="s">
        <v>169</v>
      </c>
      <c r="C1367" s="146" t="s">
        <v>576</v>
      </c>
      <c r="D1367" s="149">
        <v>3.0000000000000001E-3</v>
      </c>
      <c r="E1367" s="145" t="s">
        <v>458</v>
      </c>
    </row>
    <row r="1368" spans="1:5" x14ac:dyDescent="0.25">
      <c r="A1368" s="46">
        <v>30</v>
      </c>
      <c r="B1368" s="143" t="s">
        <v>169</v>
      </c>
      <c r="C1368" s="146" t="s">
        <v>609</v>
      </c>
      <c r="D1368" s="149">
        <v>0.02</v>
      </c>
      <c r="E1368" s="145" t="s">
        <v>458</v>
      </c>
    </row>
    <row r="1369" spans="1:5" x14ac:dyDescent="0.25">
      <c r="A1369" s="46">
        <v>30</v>
      </c>
      <c r="B1369" s="143" t="s">
        <v>169</v>
      </c>
      <c r="C1369" s="146" t="s">
        <v>488</v>
      </c>
      <c r="D1369" s="148">
        <v>1E-3</v>
      </c>
      <c r="E1369" s="145" t="s">
        <v>458</v>
      </c>
    </row>
    <row r="1370" spans="1:5" x14ac:dyDescent="0.25">
      <c r="A1370" s="46">
        <v>30</v>
      </c>
      <c r="B1370" s="143" t="s">
        <v>169</v>
      </c>
      <c r="C1370" s="143" t="s">
        <v>583</v>
      </c>
      <c r="D1370" s="151">
        <v>1</v>
      </c>
      <c r="E1370" s="145" t="s">
        <v>749</v>
      </c>
    </row>
    <row r="1371" spans="1:5" x14ac:dyDescent="0.25">
      <c r="A1371" s="46">
        <v>30</v>
      </c>
      <c r="B1371" s="143" t="s">
        <v>169</v>
      </c>
      <c r="C1371" s="89" t="s">
        <v>515</v>
      </c>
      <c r="D1371" s="148">
        <v>2E-3</v>
      </c>
      <c r="E1371" s="145" t="s">
        <v>458</v>
      </c>
    </row>
    <row r="1372" spans="1:5" x14ac:dyDescent="0.25">
      <c r="A1372" s="46">
        <v>30</v>
      </c>
      <c r="B1372" s="143" t="s">
        <v>169</v>
      </c>
      <c r="C1372" s="143" t="s">
        <v>610</v>
      </c>
      <c r="D1372" s="181">
        <v>0.02</v>
      </c>
      <c r="E1372" s="145" t="s">
        <v>450</v>
      </c>
    </row>
    <row r="1373" spans="1:5" x14ac:dyDescent="0.25">
      <c r="A1373" s="46">
        <v>30</v>
      </c>
      <c r="B1373" s="143" t="s">
        <v>169</v>
      </c>
      <c r="C1373" s="143" t="s">
        <v>449</v>
      </c>
      <c r="D1373" s="151">
        <v>2E-3</v>
      </c>
      <c r="E1373" s="142" t="s">
        <v>594</v>
      </c>
    </row>
    <row r="1374" spans="1:5" x14ac:dyDescent="0.25">
      <c r="A1374" s="46">
        <v>68</v>
      </c>
      <c r="B1374" s="143" t="s">
        <v>193</v>
      </c>
      <c r="C1374" s="89" t="s">
        <v>447</v>
      </c>
      <c r="D1374" s="144">
        <v>0.15</v>
      </c>
      <c r="E1374" s="142" t="s">
        <v>448</v>
      </c>
    </row>
    <row r="1375" spans="1:5" x14ac:dyDescent="0.25">
      <c r="A1375" s="46">
        <v>68</v>
      </c>
      <c r="B1375" s="143" t="s">
        <v>193</v>
      </c>
      <c r="C1375" s="143" t="s">
        <v>449</v>
      </c>
      <c r="D1375" s="144">
        <v>1.4999999999999999E-2</v>
      </c>
      <c r="E1375" s="142" t="s">
        <v>450</v>
      </c>
    </row>
    <row r="1376" spans="1:5" x14ac:dyDescent="0.25">
      <c r="A1376" s="46">
        <v>68</v>
      </c>
      <c r="B1376" s="143" t="s">
        <v>193</v>
      </c>
      <c r="C1376" s="143" t="s">
        <v>451</v>
      </c>
      <c r="D1376" s="144">
        <v>0.04</v>
      </c>
      <c r="E1376" s="142" t="s">
        <v>450</v>
      </c>
    </row>
    <row r="1377" spans="1:5" x14ac:dyDescent="0.25">
      <c r="A1377" s="46">
        <v>68</v>
      </c>
      <c r="B1377" s="143" t="s">
        <v>193</v>
      </c>
      <c r="C1377" s="143" t="s">
        <v>452</v>
      </c>
      <c r="D1377" s="144">
        <v>0.15</v>
      </c>
      <c r="E1377" s="142" t="s">
        <v>450</v>
      </c>
    </row>
    <row r="1378" spans="1:5" x14ac:dyDescent="0.25">
      <c r="A1378" s="46">
        <v>68</v>
      </c>
      <c r="B1378" s="143" t="s">
        <v>193</v>
      </c>
      <c r="C1378" s="143" t="s">
        <v>453</v>
      </c>
      <c r="D1378" s="144">
        <v>3.0000000000000001E-3</v>
      </c>
      <c r="E1378" s="142" t="s">
        <v>450</v>
      </c>
    </row>
    <row r="1379" spans="1:5" x14ac:dyDescent="0.25">
      <c r="A1379" s="46">
        <v>68</v>
      </c>
      <c r="B1379" s="143" t="s">
        <v>193</v>
      </c>
      <c r="C1379" s="143" t="s">
        <v>454</v>
      </c>
      <c r="D1379" s="144">
        <v>0.04</v>
      </c>
      <c r="E1379" s="142" t="s">
        <v>450</v>
      </c>
    </row>
    <row r="1380" spans="1:5" x14ac:dyDescent="0.25">
      <c r="A1380" s="46">
        <v>68</v>
      </c>
      <c r="B1380" s="143" t="s">
        <v>193</v>
      </c>
      <c r="C1380" s="143" t="s">
        <v>455</v>
      </c>
      <c r="D1380" s="171">
        <v>0.5</v>
      </c>
      <c r="E1380" s="142"/>
    </row>
    <row r="1381" spans="1:5" x14ac:dyDescent="0.25">
      <c r="A1381" s="46">
        <v>68</v>
      </c>
      <c r="B1381" s="143" t="s">
        <v>193</v>
      </c>
      <c r="C1381" s="143" t="s">
        <v>456</v>
      </c>
      <c r="D1381" s="144">
        <v>0.04</v>
      </c>
      <c r="E1381" s="142" t="s">
        <v>450</v>
      </c>
    </row>
    <row r="1382" spans="1:5" x14ac:dyDescent="0.25">
      <c r="A1382" s="46">
        <v>68</v>
      </c>
      <c r="B1382" s="143" t="s">
        <v>193</v>
      </c>
      <c r="C1382" s="152" t="s">
        <v>511</v>
      </c>
      <c r="D1382" s="144">
        <v>1.2E-2</v>
      </c>
      <c r="E1382" s="142" t="s">
        <v>458</v>
      </c>
    </row>
    <row r="1383" spans="1:5" x14ac:dyDescent="0.25">
      <c r="A1383" s="46">
        <v>68</v>
      </c>
      <c r="B1383" s="143" t="s">
        <v>193</v>
      </c>
      <c r="C1383" s="90" t="s">
        <v>581</v>
      </c>
      <c r="D1383" s="144">
        <v>1.2E-2</v>
      </c>
      <c r="E1383" s="142" t="s">
        <v>458</v>
      </c>
    </row>
    <row r="1384" spans="1:5" x14ac:dyDescent="0.25">
      <c r="A1384" s="46">
        <v>68</v>
      </c>
      <c r="B1384" s="143" t="s">
        <v>193</v>
      </c>
      <c r="C1384" s="152" t="s">
        <v>512</v>
      </c>
      <c r="D1384" s="144">
        <v>1.2E-2</v>
      </c>
      <c r="E1384" s="142" t="s">
        <v>458</v>
      </c>
    </row>
    <row r="1385" spans="1:5" x14ac:dyDescent="0.25">
      <c r="A1385" s="46">
        <v>57</v>
      </c>
      <c r="B1385" s="143" t="s">
        <v>187</v>
      </c>
      <c r="C1385" s="89" t="s">
        <v>664</v>
      </c>
      <c r="D1385" s="144">
        <v>0.15</v>
      </c>
      <c r="E1385" s="142" t="s">
        <v>450</v>
      </c>
    </row>
    <row r="1386" spans="1:5" x14ac:dyDescent="0.25">
      <c r="A1386" s="46">
        <v>57</v>
      </c>
      <c r="B1386" s="143" t="s">
        <v>187</v>
      </c>
      <c r="C1386" s="89" t="s">
        <v>484</v>
      </c>
      <c r="D1386" s="144">
        <v>0.15</v>
      </c>
      <c r="E1386" s="142" t="s">
        <v>448</v>
      </c>
    </row>
    <row r="1387" spans="1:5" x14ac:dyDescent="0.25">
      <c r="A1387" s="46">
        <v>57</v>
      </c>
      <c r="B1387" s="143" t="s">
        <v>187</v>
      </c>
      <c r="C1387" s="89" t="s">
        <v>517</v>
      </c>
      <c r="D1387" s="144">
        <v>0.1</v>
      </c>
      <c r="E1387" s="142" t="s">
        <v>450</v>
      </c>
    </row>
    <row r="1388" spans="1:5" x14ac:dyDescent="0.25">
      <c r="A1388" s="46">
        <v>67</v>
      </c>
      <c r="B1388" s="143" t="s">
        <v>192</v>
      </c>
      <c r="C1388" s="89" t="s">
        <v>447</v>
      </c>
      <c r="D1388" s="144">
        <v>0.11</v>
      </c>
      <c r="E1388" s="142" t="s">
        <v>458</v>
      </c>
    </row>
    <row r="1389" spans="1:5" x14ac:dyDescent="0.25">
      <c r="A1389" s="46">
        <v>67</v>
      </c>
      <c r="B1389" s="143" t="s">
        <v>192</v>
      </c>
      <c r="C1389" s="143" t="s">
        <v>669</v>
      </c>
      <c r="D1389" s="144">
        <v>0.03</v>
      </c>
      <c r="E1389" s="142" t="s">
        <v>450</v>
      </c>
    </row>
    <row r="1390" spans="1:5" x14ac:dyDescent="0.25">
      <c r="A1390" s="46">
        <v>67</v>
      </c>
      <c r="B1390" s="143" t="s">
        <v>192</v>
      </c>
      <c r="C1390" s="143" t="s">
        <v>670</v>
      </c>
      <c r="D1390" s="144">
        <v>0.1</v>
      </c>
      <c r="E1390" s="142" t="s">
        <v>450</v>
      </c>
    </row>
    <row r="1391" spans="1:5" x14ac:dyDescent="0.25">
      <c r="A1391" s="46">
        <v>67</v>
      </c>
      <c r="B1391" s="143" t="s">
        <v>192</v>
      </c>
      <c r="C1391" s="143" t="s">
        <v>671</v>
      </c>
      <c r="D1391" s="144">
        <v>1E-4</v>
      </c>
      <c r="E1391" s="142" t="s">
        <v>458</v>
      </c>
    </row>
    <row r="1392" spans="1:5" x14ac:dyDescent="0.25">
      <c r="A1392" s="46">
        <v>67</v>
      </c>
      <c r="B1392" s="143" t="s">
        <v>192</v>
      </c>
      <c r="C1392" s="143" t="s">
        <v>566</v>
      </c>
      <c r="D1392" s="144">
        <v>0.05</v>
      </c>
      <c r="E1392" s="142" t="s">
        <v>448</v>
      </c>
    </row>
    <row r="1393" spans="1:5" x14ac:dyDescent="0.25">
      <c r="A1393" s="46">
        <v>67</v>
      </c>
      <c r="B1393" s="143" t="s">
        <v>192</v>
      </c>
      <c r="C1393" s="143" t="s">
        <v>517</v>
      </c>
      <c r="D1393" s="144">
        <v>0.05</v>
      </c>
      <c r="E1393" s="142" t="s">
        <v>450</v>
      </c>
    </row>
    <row r="1394" spans="1:5" x14ac:dyDescent="0.25">
      <c r="A1394" s="46">
        <v>51</v>
      </c>
      <c r="B1394" s="143" t="s">
        <v>56</v>
      </c>
      <c r="C1394" s="143" t="s">
        <v>560</v>
      </c>
      <c r="D1394" s="148">
        <v>6.5000000000000002E-2</v>
      </c>
      <c r="E1394" s="145" t="s">
        <v>458</v>
      </c>
    </row>
    <row r="1395" spans="1:5" x14ac:dyDescent="0.25">
      <c r="A1395" s="46">
        <v>51</v>
      </c>
      <c r="B1395" s="143" t="s">
        <v>56</v>
      </c>
      <c r="C1395" s="146" t="s">
        <v>561</v>
      </c>
      <c r="D1395" s="148">
        <v>6.5000000000000002E-2</v>
      </c>
      <c r="E1395" s="145" t="s">
        <v>458</v>
      </c>
    </row>
    <row r="1396" spans="1:5" x14ac:dyDescent="0.25">
      <c r="A1396" s="46">
        <v>51</v>
      </c>
      <c r="B1396" s="143" t="s">
        <v>56</v>
      </c>
      <c r="C1396" s="146" t="s">
        <v>451</v>
      </c>
      <c r="D1396" s="148">
        <v>6.5000000000000002E-2</v>
      </c>
      <c r="E1396" s="145" t="s">
        <v>458</v>
      </c>
    </row>
    <row r="1397" spans="1:5" x14ac:dyDescent="0.25">
      <c r="A1397" s="46">
        <v>51</v>
      </c>
      <c r="B1397" s="143" t="s">
        <v>56</v>
      </c>
      <c r="C1397" s="146" t="s">
        <v>621</v>
      </c>
      <c r="D1397" s="148">
        <v>1E-4</v>
      </c>
      <c r="E1397" s="145" t="s">
        <v>458</v>
      </c>
    </row>
    <row r="1398" spans="1:5" x14ac:dyDescent="0.25">
      <c r="A1398" s="46">
        <v>51</v>
      </c>
      <c r="B1398" s="143" t="s">
        <v>56</v>
      </c>
      <c r="C1398" s="146" t="s">
        <v>466</v>
      </c>
      <c r="D1398" s="149">
        <v>5.0000000000000001E-4</v>
      </c>
      <c r="E1398" s="145" t="s">
        <v>458</v>
      </c>
    </row>
    <row r="1399" spans="1:5" x14ac:dyDescent="0.25">
      <c r="A1399" s="46">
        <v>51</v>
      </c>
      <c r="B1399" s="143" t="s">
        <v>56</v>
      </c>
      <c r="C1399" s="146" t="s">
        <v>488</v>
      </c>
      <c r="D1399" s="149">
        <v>5.0000000000000001E-4</v>
      </c>
      <c r="E1399" s="145" t="s">
        <v>458</v>
      </c>
    </row>
    <row r="1400" spans="1:5" x14ac:dyDescent="0.25">
      <c r="A1400" s="46">
        <v>51</v>
      </c>
      <c r="B1400" s="143" t="s">
        <v>56</v>
      </c>
      <c r="C1400" s="143" t="s">
        <v>487</v>
      </c>
      <c r="D1400" s="148">
        <v>1E-3</v>
      </c>
      <c r="E1400" s="145" t="s">
        <v>450</v>
      </c>
    </row>
    <row r="1401" spans="1:5" x14ac:dyDescent="0.25">
      <c r="A1401" s="46">
        <v>51</v>
      </c>
      <c r="B1401" s="143" t="s">
        <v>56</v>
      </c>
      <c r="C1401" s="143" t="s">
        <v>467</v>
      </c>
      <c r="D1401" s="157"/>
      <c r="E1401" s="145"/>
    </row>
    <row r="1402" spans="1:5" x14ac:dyDescent="0.25">
      <c r="A1402" s="46">
        <v>51</v>
      </c>
      <c r="B1402" s="143" t="s">
        <v>56</v>
      </c>
      <c r="C1402" s="143" t="s">
        <v>404</v>
      </c>
      <c r="D1402" s="157">
        <v>6.5000000000000002E-2</v>
      </c>
      <c r="E1402" s="145" t="s">
        <v>458</v>
      </c>
    </row>
    <row r="1403" spans="1:5" x14ac:dyDescent="0.25">
      <c r="A1403" s="46">
        <v>1</v>
      </c>
      <c r="B1403" s="143" t="s">
        <v>15</v>
      </c>
      <c r="C1403" s="143" t="s">
        <v>560</v>
      </c>
      <c r="D1403" s="144">
        <v>5.5E-2</v>
      </c>
      <c r="E1403" s="142" t="s">
        <v>450</v>
      </c>
    </row>
    <row r="1404" spans="1:5" x14ac:dyDescent="0.25">
      <c r="A1404" s="46">
        <v>1</v>
      </c>
      <c r="B1404" s="143" t="s">
        <v>15</v>
      </c>
      <c r="C1404" s="143" t="s">
        <v>451</v>
      </c>
      <c r="D1404" s="144">
        <v>0.05</v>
      </c>
      <c r="E1404" s="142" t="s">
        <v>450</v>
      </c>
    </row>
    <row r="1405" spans="1:5" x14ac:dyDescent="0.25">
      <c r="A1405" s="46">
        <v>1</v>
      </c>
      <c r="B1405" s="143" t="s">
        <v>15</v>
      </c>
      <c r="C1405" s="143" t="s">
        <v>404</v>
      </c>
      <c r="D1405" s="144">
        <v>4.4999999999999998E-2</v>
      </c>
      <c r="E1405" s="142" t="s">
        <v>458</v>
      </c>
    </row>
    <row r="1406" spans="1:5" x14ac:dyDescent="0.25">
      <c r="A1406" s="46">
        <v>1</v>
      </c>
      <c r="B1406" s="143" t="s">
        <v>15</v>
      </c>
      <c r="C1406" s="143" t="s">
        <v>561</v>
      </c>
      <c r="D1406" s="144">
        <v>0.05</v>
      </c>
      <c r="E1406" s="142" t="s">
        <v>458</v>
      </c>
    </row>
    <row r="1407" spans="1:5" x14ac:dyDescent="0.25">
      <c r="A1407" s="46">
        <v>1</v>
      </c>
      <c r="B1407" s="143" t="s">
        <v>15</v>
      </c>
      <c r="C1407" s="143" t="s">
        <v>488</v>
      </c>
      <c r="D1407" s="144">
        <v>2E-3</v>
      </c>
      <c r="E1407" s="142" t="s">
        <v>450</v>
      </c>
    </row>
    <row r="1408" spans="1:5" x14ac:dyDescent="0.25">
      <c r="A1408" s="46">
        <v>1</v>
      </c>
      <c r="B1408" s="143" t="s">
        <v>15</v>
      </c>
      <c r="C1408" s="143" t="s">
        <v>487</v>
      </c>
      <c r="D1408" s="144">
        <v>5.0000000000000001E-4</v>
      </c>
      <c r="E1408" s="142" t="s">
        <v>450</v>
      </c>
    </row>
    <row r="1409" spans="1:5" x14ac:dyDescent="0.25">
      <c r="A1409" s="46">
        <v>1</v>
      </c>
      <c r="B1409" s="143" t="s">
        <v>15</v>
      </c>
      <c r="C1409" s="143" t="s">
        <v>467</v>
      </c>
      <c r="D1409" s="144">
        <v>3.0000000000000001E-3</v>
      </c>
      <c r="E1409" s="142" t="s">
        <v>448</v>
      </c>
    </row>
    <row r="1410" spans="1:5" x14ac:dyDescent="0.25">
      <c r="A1410" s="46">
        <v>1</v>
      </c>
      <c r="B1410" s="143" t="s">
        <v>15</v>
      </c>
      <c r="C1410" s="143" t="s">
        <v>562</v>
      </c>
      <c r="D1410" s="144">
        <v>6.5000000000000002E-2</v>
      </c>
      <c r="E1410" s="142" t="s">
        <v>458</v>
      </c>
    </row>
    <row r="1411" spans="1:5" x14ac:dyDescent="0.25">
      <c r="A1411" s="46">
        <v>240</v>
      </c>
      <c r="B1411" s="143" t="s">
        <v>68</v>
      </c>
      <c r="C1411" s="89" t="s">
        <v>810</v>
      </c>
      <c r="D1411" s="141">
        <v>3.5000000000000003E-2</v>
      </c>
      <c r="E1411" s="141" t="s">
        <v>450</v>
      </c>
    </row>
    <row r="1412" spans="1:5" x14ac:dyDescent="0.25">
      <c r="A1412" s="46">
        <v>240</v>
      </c>
      <c r="B1412" s="143" t="s">
        <v>68</v>
      </c>
      <c r="C1412" s="89" t="s">
        <v>647</v>
      </c>
      <c r="D1412" s="141">
        <v>0.02</v>
      </c>
      <c r="E1412" s="141" t="s">
        <v>450</v>
      </c>
    </row>
    <row r="1413" spans="1:5" x14ac:dyDescent="0.25">
      <c r="A1413" s="46">
        <v>240</v>
      </c>
      <c r="B1413" s="143" t="s">
        <v>68</v>
      </c>
      <c r="C1413" s="146" t="s">
        <v>643</v>
      </c>
      <c r="D1413" s="141">
        <v>7.0000000000000007E-2</v>
      </c>
      <c r="E1413" s="141" t="s">
        <v>450</v>
      </c>
    </row>
    <row r="1414" spans="1:5" x14ac:dyDescent="0.25">
      <c r="A1414" s="46">
        <v>240</v>
      </c>
      <c r="B1414" s="143" t="s">
        <v>68</v>
      </c>
      <c r="C1414" s="89" t="s">
        <v>687</v>
      </c>
      <c r="D1414" s="141">
        <v>3.0000000000000001E-3</v>
      </c>
      <c r="E1414" s="141" t="s">
        <v>450</v>
      </c>
    </row>
    <row r="1415" spans="1:5" x14ac:dyDescent="0.25">
      <c r="A1415" s="46">
        <v>240</v>
      </c>
      <c r="B1415" s="143" t="s">
        <v>68</v>
      </c>
      <c r="C1415" s="89" t="s">
        <v>785</v>
      </c>
      <c r="D1415" s="141">
        <v>0.03</v>
      </c>
      <c r="E1415" s="141" t="s">
        <v>450</v>
      </c>
    </row>
    <row r="1416" spans="1:5" x14ac:dyDescent="0.25">
      <c r="A1416" s="46">
        <v>240</v>
      </c>
      <c r="B1416" s="143" t="s">
        <v>68</v>
      </c>
      <c r="C1416" s="89" t="s">
        <v>552</v>
      </c>
      <c r="D1416" s="141">
        <v>3.0000000000000001E-3</v>
      </c>
      <c r="E1416" s="141" t="s">
        <v>450</v>
      </c>
    </row>
    <row r="1417" spans="1:5" x14ac:dyDescent="0.25">
      <c r="A1417" s="46">
        <v>240</v>
      </c>
      <c r="B1417" s="143" t="s">
        <v>68</v>
      </c>
      <c r="C1417" s="143" t="s">
        <v>449</v>
      </c>
      <c r="D1417" s="141">
        <v>3.0000000000000001E-3</v>
      </c>
      <c r="E1417" s="141" t="s">
        <v>450</v>
      </c>
    </row>
    <row r="1418" spans="1:5" x14ac:dyDescent="0.25">
      <c r="A1418" s="46">
        <v>240</v>
      </c>
      <c r="B1418" s="143" t="s">
        <v>68</v>
      </c>
      <c r="C1418" s="89" t="s">
        <v>478</v>
      </c>
      <c r="D1418" s="141">
        <v>3.0000000000000001E-3</v>
      </c>
      <c r="E1418" s="141" t="s">
        <v>448</v>
      </c>
    </row>
    <row r="1419" spans="1:5" x14ac:dyDescent="0.25">
      <c r="A1419" s="46">
        <v>240</v>
      </c>
      <c r="B1419" s="143" t="s">
        <v>68</v>
      </c>
      <c r="C1419" s="89" t="s">
        <v>470</v>
      </c>
      <c r="D1419" s="141">
        <v>2E-3</v>
      </c>
      <c r="E1419" s="145" t="s">
        <v>450</v>
      </c>
    </row>
    <row r="1420" spans="1:5" x14ac:dyDescent="0.25">
      <c r="A1420" s="46">
        <v>240</v>
      </c>
      <c r="B1420" s="143" t="s">
        <v>68</v>
      </c>
      <c r="C1420" s="89" t="s">
        <v>516</v>
      </c>
      <c r="D1420" s="141">
        <v>1E-3</v>
      </c>
      <c r="E1420" s="145" t="s">
        <v>450</v>
      </c>
    </row>
    <row r="1421" spans="1:5" x14ac:dyDescent="0.25">
      <c r="A1421" s="46">
        <v>176</v>
      </c>
      <c r="B1421" s="143" t="s">
        <v>244</v>
      </c>
      <c r="C1421" s="89" t="s">
        <v>830</v>
      </c>
      <c r="D1421" s="144">
        <v>0.05</v>
      </c>
      <c r="E1421" s="142" t="s">
        <v>448</v>
      </c>
    </row>
    <row r="1422" spans="1:5" x14ac:dyDescent="0.25">
      <c r="A1422" s="46">
        <v>176</v>
      </c>
      <c r="B1422" s="143" t="s">
        <v>244</v>
      </c>
      <c r="C1422" s="143" t="s">
        <v>831</v>
      </c>
      <c r="D1422" s="144">
        <v>0.1</v>
      </c>
      <c r="E1422" s="142" t="s">
        <v>448</v>
      </c>
    </row>
    <row r="1423" spans="1:5" x14ac:dyDescent="0.25">
      <c r="A1423" s="46">
        <v>176</v>
      </c>
      <c r="B1423" s="143" t="s">
        <v>244</v>
      </c>
      <c r="C1423" s="143" t="s">
        <v>755</v>
      </c>
      <c r="D1423" s="144">
        <v>2E-3</v>
      </c>
      <c r="E1423" s="142" t="s">
        <v>450</v>
      </c>
    </row>
    <row r="1424" spans="1:5" x14ac:dyDescent="0.25">
      <c r="A1424" s="46">
        <v>176</v>
      </c>
      <c r="B1424" s="143" t="s">
        <v>244</v>
      </c>
      <c r="C1424" s="143" t="s">
        <v>488</v>
      </c>
      <c r="D1424" s="144" t="s">
        <v>832</v>
      </c>
      <c r="E1424" s="142" t="s">
        <v>450</v>
      </c>
    </row>
    <row r="1425" spans="1:5" x14ac:dyDescent="0.25">
      <c r="A1425" s="46">
        <v>176</v>
      </c>
      <c r="B1425" s="143" t="s">
        <v>244</v>
      </c>
      <c r="C1425" s="143" t="s">
        <v>833</v>
      </c>
      <c r="D1425" s="144">
        <v>0.1</v>
      </c>
      <c r="E1425" s="142" t="s">
        <v>450</v>
      </c>
    </row>
    <row r="1426" spans="1:5" x14ac:dyDescent="0.25">
      <c r="A1426" s="46">
        <v>176</v>
      </c>
      <c r="B1426" s="143" t="s">
        <v>244</v>
      </c>
      <c r="C1426" s="143" t="s">
        <v>834</v>
      </c>
      <c r="D1426" s="171">
        <v>0.125</v>
      </c>
      <c r="E1426" s="145" t="s">
        <v>749</v>
      </c>
    </row>
    <row r="1427" spans="1:5" x14ac:dyDescent="0.25">
      <c r="A1427" s="46">
        <v>176</v>
      </c>
      <c r="B1427" s="143" t="s">
        <v>244</v>
      </c>
      <c r="C1427" s="143" t="s">
        <v>566</v>
      </c>
      <c r="D1427" s="144">
        <v>0.05</v>
      </c>
      <c r="E1427" s="142" t="s">
        <v>448</v>
      </c>
    </row>
    <row r="1428" spans="1:5" x14ac:dyDescent="0.25">
      <c r="A1428" s="46"/>
      <c r="B1428" s="98" t="s">
        <v>419</v>
      </c>
      <c r="C1428" s="89" t="s">
        <v>952</v>
      </c>
      <c r="D1428" s="141">
        <v>1</v>
      </c>
      <c r="E1428" s="150" t="s">
        <v>450</v>
      </c>
    </row>
    <row r="1429" spans="1:5" x14ac:dyDescent="0.25">
      <c r="A1429" s="46">
        <v>289</v>
      </c>
      <c r="B1429" s="143" t="s">
        <v>321</v>
      </c>
      <c r="C1429" s="146" t="s">
        <v>952</v>
      </c>
      <c r="D1429" s="148">
        <v>0.05</v>
      </c>
      <c r="E1429" s="145" t="s">
        <v>458</v>
      </c>
    </row>
    <row r="1430" spans="1:5" x14ac:dyDescent="0.25">
      <c r="A1430" s="46">
        <v>289</v>
      </c>
      <c r="B1430" s="143" t="s">
        <v>321</v>
      </c>
      <c r="C1430" s="146" t="s">
        <v>466</v>
      </c>
      <c r="D1430" s="148">
        <v>1E-3</v>
      </c>
      <c r="E1430" s="145" t="s">
        <v>458</v>
      </c>
    </row>
    <row r="1431" spans="1:5" x14ac:dyDescent="0.25">
      <c r="A1431" s="46">
        <v>289</v>
      </c>
      <c r="B1431" s="143" t="s">
        <v>321</v>
      </c>
      <c r="C1431" s="146" t="s">
        <v>509</v>
      </c>
      <c r="D1431" s="148">
        <v>2E-3</v>
      </c>
      <c r="E1431" s="145" t="s">
        <v>458</v>
      </c>
    </row>
    <row r="1432" spans="1:5" x14ac:dyDescent="0.25">
      <c r="A1432" s="46">
        <v>289</v>
      </c>
      <c r="B1432" s="143" t="s">
        <v>321</v>
      </c>
      <c r="C1432" s="146" t="s">
        <v>953</v>
      </c>
      <c r="D1432" s="148">
        <v>2.5000000000000001E-2</v>
      </c>
      <c r="E1432" s="145" t="s">
        <v>458</v>
      </c>
    </row>
    <row r="1433" spans="1:5" x14ac:dyDescent="0.25">
      <c r="A1433" s="46">
        <v>289</v>
      </c>
      <c r="B1433" s="143" t="s">
        <v>321</v>
      </c>
      <c r="C1433" s="146" t="s">
        <v>545</v>
      </c>
      <c r="D1433" s="148">
        <v>5.0000000000000001E-3</v>
      </c>
      <c r="E1433" s="145" t="s">
        <v>458</v>
      </c>
    </row>
    <row r="1434" spans="1:5" x14ac:dyDescent="0.25">
      <c r="A1434" s="46">
        <v>289</v>
      </c>
      <c r="B1434" s="143" t="s">
        <v>321</v>
      </c>
      <c r="C1434" s="146" t="s">
        <v>818</v>
      </c>
      <c r="D1434" s="148">
        <v>0.01</v>
      </c>
      <c r="E1434" s="145" t="s">
        <v>458</v>
      </c>
    </row>
    <row r="1435" spans="1:5" x14ac:dyDescent="0.25">
      <c r="A1435" s="46">
        <v>289</v>
      </c>
      <c r="B1435" s="143" t="s">
        <v>321</v>
      </c>
      <c r="C1435" s="146" t="s">
        <v>618</v>
      </c>
      <c r="D1435" s="141">
        <v>3.0000000000000001E-3</v>
      </c>
      <c r="E1435" s="145" t="s">
        <v>458</v>
      </c>
    </row>
    <row r="1436" spans="1:5" x14ac:dyDescent="0.25">
      <c r="A1436" s="46">
        <v>289</v>
      </c>
      <c r="B1436" s="143" t="s">
        <v>321</v>
      </c>
      <c r="C1436" s="146" t="s">
        <v>619</v>
      </c>
      <c r="D1436" s="141">
        <v>3.0000000000000001E-3</v>
      </c>
      <c r="E1436" s="145" t="s">
        <v>458</v>
      </c>
    </row>
    <row r="1437" spans="1:5" x14ac:dyDescent="0.25">
      <c r="A1437" s="46">
        <v>289</v>
      </c>
      <c r="B1437" s="143" t="s">
        <v>321</v>
      </c>
      <c r="C1437" s="146" t="s">
        <v>784</v>
      </c>
      <c r="D1437" s="141">
        <v>3.0000000000000001E-3</v>
      </c>
      <c r="E1437" s="145" t="s">
        <v>458</v>
      </c>
    </row>
    <row r="1438" spans="1:5" x14ac:dyDescent="0.25">
      <c r="A1438" s="46">
        <v>289</v>
      </c>
      <c r="B1438" s="143" t="s">
        <v>321</v>
      </c>
      <c r="C1438" s="146" t="s">
        <v>527</v>
      </c>
      <c r="D1438" s="141">
        <v>3.0000000000000001E-3</v>
      </c>
      <c r="E1438" s="145" t="s">
        <v>458</v>
      </c>
    </row>
    <row r="1439" spans="1:5" x14ac:dyDescent="0.25">
      <c r="A1439" s="46">
        <v>289</v>
      </c>
      <c r="B1439" s="143" t="s">
        <v>321</v>
      </c>
      <c r="C1439" s="146" t="s">
        <v>659</v>
      </c>
      <c r="D1439" s="141">
        <v>1E-3</v>
      </c>
      <c r="E1439" s="145" t="s">
        <v>458</v>
      </c>
    </row>
    <row r="1440" spans="1:5" x14ac:dyDescent="0.25">
      <c r="A1440" s="46">
        <v>289</v>
      </c>
      <c r="B1440" s="143" t="s">
        <v>321</v>
      </c>
      <c r="C1440" s="146" t="s">
        <v>493</v>
      </c>
      <c r="D1440" s="141">
        <v>1E-4</v>
      </c>
      <c r="E1440" s="145" t="s">
        <v>458</v>
      </c>
    </row>
    <row r="1441" spans="1:5" x14ac:dyDescent="0.25">
      <c r="A1441" s="46">
        <v>204</v>
      </c>
      <c r="B1441" s="143" t="s">
        <v>263</v>
      </c>
      <c r="C1441" s="143" t="s">
        <v>634</v>
      </c>
      <c r="D1441" s="148">
        <v>0.08</v>
      </c>
      <c r="E1441" s="145" t="s">
        <v>450</v>
      </c>
    </row>
    <row r="1442" spans="1:5" x14ac:dyDescent="0.25">
      <c r="A1442" s="46">
        <v>204</v>
      </c>
      <c r="B1442" s="143" t="s">
        <v>263</v>
      </c>
      <c r="C1442" s="143" t="s">
        <v>527</v>
      </c>
      <c r="D1442" s="148">
        <v>5.0000000000000001E-3</v>
      </c>
      <c r="E1442" s="145" t="s">
        <v>450</v>
      </c>
    </row>
    <row r="1443" spans="1:5" x14ac:dyDescent="0.25">
      <c r="A1443" s="46">
        <v>204</v>
      </c>
      <c r="B1443" s="143" t="s">
        <v>263</v>
      </c>
      <c r="C1443" s="143" t="s">
        <v>542</v>
      </c>
      <c r="D1443" s="148">
        <v>0.01</v>
      </c>
      <c r="E1443" s="145" t="s">
        <v>450</v>
      </c>
    </row>
    <row r="1444" spans="1:5" x14ac:dyDescent="0.25">
      <c r="A1444" s="46">
        <v>204</v>
      </c>
      <c r="B1444" s="143" t="s">
        <v>263</v>
      </c>
      <c r="C1444" s="143" t="s">
        <v>509</v>
      </c>
      <c r="D1444" s="148">
        <v>3.0000000000000001E-3</v>
      </c>
      <c r="E1444" s="145" t="s">
        <v>450</v>
      </c>
    </row>
    <row r="1445" spans="1:5" x14ac:dyDescent="0.25">
      <c r="A1445" s="46">
        <v>204</v>
      </c>
      <c r="B1445" s="143" t="s">
        <v>263</v>
      </c>
      <c r="C1445" s="143" t="s">
        <v>480</v>
      </c>
      <c r="D1445" s="148">
        <v>2E-3</v>
      </c>
      <c r="E1445" s="145" t="s">
        <v>450</v>
      </c>
    </row>
    <row r="1446" spans="1:5" x14ac:dyDescent="0.25">
      <c r="A1446" s="46">
        <v>204</v>
      </c>
      <c r="B1446" s="143" t="s">
        <v>263</v>
      </c>
      <c r="C1446" s="143" t="s">
        <v>469</v>
      </c>
      <c r="D1446" s="148">
        <v>3.0000000000000001E-3</v>
      </c>
      <c r="E1446" s="145" t="s">
        <v>448</v>
      </c>
    </row>
    <row r="1447" spans="1:5" x14ac:dyDescent="0.25">
      <c r="A1447" s="46">
        <v>204</v>
      </c>
      <c r="B1447" s="143" t="s">
        <v>263</v>
      </c>
      <c r="C1447" s="143" t="s">
        <v>470</v>
      </c>
      <c r="D1447" s="148">
        <v>2E-3</v>
      </c>
      <c r="E1447" s="145" t="s">
        <v>450</v>
      </c>
    </row>
    <row r="1448" spans="1:5" x14ac:dyDescent="0.25">
      <c r="A1448" s="46">
        <v>204</v>
      </c>
      <c r="B1448" s="143" t="s">
        <v>263</v>
      </c>
      <c r="C1448" s="143" t="s">
        <v>516</v>
      </c>
      <c r="D1448" s="148">
        <v>1E-3</v>
      </c>
      <c r="E1448" s="145" t="s">
        <v>450</v>
      </c>
    </row>
    <row r="1449" spans="1:5" x14ac:dyDescent="0.25">
      <c r="A1449" s="46">
        <v>204</v>
      </c>
      <c r="B1449" s="143" t="s">
        <v>263</v>
      </c>
      <c r="C1449" s="143" t="s">
        <v>545</v>
      </c>
      <c r="D1449" s="148">
        <v>2E-3</v>
      </c>
      <c r="E1449" s="145" t="s">
        <v>450</v>
      </c>
    </row>
    <row r="1450" spans="1:5" x14ac:dyDescent="0.25">
      <c r="A1450" s="46">
        <v>183</v>
      </c>
      <c r="B1450" s="143" t="s">
        <v>250</v>
      </c>
      <c r="C1450" s="89" t="s">
        <v>447</v>
      </c>
      <c r="D1450" s="144">
        <v>0.15</v>
      </c>
      <c r="E1450" s="142" t="s">
        <v>448</v>
      </c>
    </row>
    <row r="1451" spans="1:5" x14ac:dyDescent="0.25">
      <c r="A1451" s="46">
        <v>183</v>
      </c>
      <c r="B1451" s="143" t="s">
        <v>250</v>
      </c>
      <c r="C1451" s="143" t="s">
        <v>929</v>
      </c>
      <c r="D1451" s="144">
        <v>0.08</v>
      </c>
      <c r="E1451" s="142" t="s">
        <v>450</v>
      </c>
    </row>
    <row r="1452" spans="1:5" x14ac:dyDescent="0.25">
      <c r="A1452" s="46">
        <v>183</v>
      </c>
      <c r="B1452" s="143" t="s">
        <v>250</v>
      </c>
      <c r="C1452" s="143" t="s">
        <v>930</v>
      </c>
      <c r="D1452" s="144">
        <v>0.04</v>
      </c>
      <c r="E1452" s="142" t="s">
        <v>450</v>
      </c>
    </row>
    <row r="1453" spans="1:5" x14ac:dyDescent="0.25">
      <c r="A1453" s="46">
        <v>183</v>
      </c>
      <c r="B1453" s="143" t="s">
        <v>250</v>
      </c>
      <c r="C1453" s="143" t="s">
        <v>931</v>
      </c>
      <c r="D1453" s="144">
        <v>0.02</v>
      </c>
      <c r="E1453" s="142" t="s">
        <v>450</v>
      </c>
    </row>
    <row r="1454" spans="1:5" x14ac:dyDescent="0.25">
      <c r="A1454" s="46">
        <v>183</v>
      </c>
      <c r="B1454" s="143" t="s">
        <v>250</v>
      </c>
      <c r="C1454" s="143" t="s">
        <v>812</v>
      </c>
      <c r="D1454" s="144">
        <v>2E-3</v>
      </c>
      <c r="E1454" s="142" t="s">
        <v>450</v>
      </c>
    </row>
    <row r="1455" spans="1:5" x14ac:dyDescent="0.25">
      <c r="A1455" s="46">
        <v>183</v>
      </c>
      <c r="B1455" s="143" t="s">
        <v>250</v>
      </c>
      <c r="C1455" s="143" t="s">
        <v>481</v>
      </c>
      <c r="D1455" s="144">
        <v>2E-3</v>
      </c>
      <c r="E1455" s="142" t="s">
        <v>450</v>
      </c>
    </row>
    <row r="1456" spans="1:5" x14ac:dyDescent="0.25">
      <c r="A1456" s="46">
        <v>183</v>
      </c>
      <c r="B1456" s="143" t="s">
        <v>250</v>
      </c>
      <c r="C1456" s="143" t="s">
        <v>932</v>
      </c>
      <c r="D1456" s="171">
        <v>4</v>
      </c>
      <c r="E1456" s="145" t="s">
        <v>749</v>
      </c>
    </row>
    <row r="1457" spans="1:5" x14ac:dyDescent="0.25">
      <c r="A1457" s="46">
        <v>183</v>
      </c>
      <c r="B1457" s="143" t="s">
        <v>250</v>
      </c>
      <c r="C1457" s="143" t="s">
        <v>572</v>
      </c>
      <c r="D1457" s="144">
        <v>2E-3</v>
      </c>
      <c r="E1457" s="142" t="s">
        <v>450</v>
      </c>
    </row>
    <row r="1458" spans="1:5" x14ac:dyDescent="0.25">
      <c r="A1458" s="46">
        <v>58</v>
      </c>
      <c r="B1458" s="143" t="s">
        <v>188</v>
      </c>
      <c r="C1458" s="89" t="s">
        <v>665</v>
      </c>
      <c r="D1458" s="144">
        <v>7.0000000000000007E-2</v>
      </c>
      <c r="E1458" s="142" t="s">
        <v>448</v>
      </c>
    </row>
    <row r="1459" spans="1:5" x14ac:dyDescent="0.25">
      <c r="A1459" s="46">
        <v>58</v>
      </c>
      <c r="B1459" s="143" t="s">
        <v>188</v>
      </c>
      <c r="C1459" s="143" t="s">
        <v>566</v>
      </c>
      <c r="D1459" s="144">
        <v>0.15</v>
      </c>
      <c r="E1459" s="142" t="s">
        <v>448</v>
      </c>
    </row>
    <row r="1460" spans="1:5" x14ac:dyDescent="0.25">
      <c r="A1460" s="46">
        <v>58</v>
      </c>
      <c r="B1460" s="143" t="s">
        <v>188</v>
      </c>
      <c r="C1460" s="143" t="s">
        <v>644</v>
      </c>
      <c r="D1460" s="144">
        <v>0.03</v>
      </c>
      <c r="E1460" s="142" t="s">
        <v>448</v>
      </c>
    </row>
    <row r="1461" spans="1:5" x14ac:dyDescent="0.25">
      <c r="A1461" s="46">
        <v>58</v>
      </c>
      <c r="B1461" s="143" t="s">
        <v>188</v>
      </c>
      <c r="C1461" s="143" t="s">
        <v>666</v>
      </c>
      <c r="D1461" s="144">
        <v>1E-3</v>
      </c>
      <c r="E1461" s="142" t="s">
        <v>450</v>
      </c>
    </row>
    <row r="1462" spans="1:5" x14ac:dyDescent="0.25">
      <c r="A1462" s="46">
        <v>135</v>
      </c>
      <c r="B1462" s="143" t="s">
        <v>220</v>
      </c>
      <c r="C1462" s="146" t="s">
        <v>787</v>
      </c>
      <c r="D1462" s="148">
        <v>0.15</v>
      </c>
      <c r="E1462" s="145" t="s">
        <v>458</v>
      </c>
    </row>
    <row r="1463" spans="1:5" x14ac:dyDescent="0.25">
      <c r="A1463" s="46">
        <v>135</v>
      </c>
      <c r="B1463" s="143" t="s">
        <v>220</v>
      </c>
      <c r="C1463" s="146" t="s">
        <v>694</v>
      </c>
      <c r="D1463" s="148">
        <v>5.0000000000000001E-3</v>
      </c>
      <c r="E1463" s="145" t="s">
        <v>458</v>
      </c>
    </row>
    <row r="1464" spans="1:5" x14ac:dyDescent="0.25">
      <c r="A1464" s="46">
        <v>135</v>
      </c>
      <c r="B1464" s="143" t="s">
        <v>220</v>
      </c>
      <c r="C1464" s="146" t="s">
        <v>552</v>
      </c>
      <c r="D1464" s="148">
        <v>1E-4</v>
      </c>
      <c r="E1464" s="145" t="s">
        <v>458</v>
      </c>
    </row>
    <row r="1465" spans="1:5" x14ac:dyDescent="0.25">
      <c r="A1465" s="46">
        <v>135</v>
      </c>
      <c r="B1465" s="143" t="s">
        <v>220</v>
      </c>
      <c r="C1465" s="146" t="s">
        <v>468</v>
      </c>
      <c r="D1465" s="148">
        <v>1E-4</v>
      </c>
      <c r="E1465" s="145" t="s">
        <v>458</v>
      </c>
    </row>
    <row r="1466" spans="1:5" x14ac:dyDescent="0.25">
      <c r="A1466" s="46">
        <v>135</v>
      </c>
      <c r="B1466" s="143" t="s">
        <v>220</v>
      </c>
      <c r="C1466" s="143" t="s">
        <v>449</v>
      </c>
      <c r="D1466" s="148">
        <v>1E-4</v>
      </c>
      <c r="E1466" s="145" t="s">
        <v>458</v>
      </c>
    </row>
    <row r="1467" spans="1:5" x14ac:dyDescent="0.25">
      <c r="A1467" s="46">
        <v>135</v>
      </c>
      <c r="B1467" s="143" t="s">
        <v>220</v>
      </c>
      <c r="C1467" s="146" t="s">
        <v>547</v>
      </c>
      <c r="D1467" s="148">
        <v>2.0000000000000001E-4</v>
      </c>
      <c r="E1467" s="145" t="s">
        <v>458</v>
      </c>
    </row>
    <row r="1468" spans="1:5" x14ac:dyDescent="0.25">
      <c r="A1468" s="46">
        <v>135</v>
      </c>
      <c r="B1468" s="143" t="s">
        <v>220</v>
      </c>
      <c r="C1468" s="143" t="s">
        <v>578</v>
      </c>
      <c r="D1468" s="148">
        <v>1.0000000000000001E-5</v>
      </c>
      <c r="E1468" s="145" t="s">
        <v>653</v>
      </c>
    </row>
    <row r="1469" spans="1:5" x14ac:dyDescent="0.25">
      <c r="A1469" s="46">
        <v>135</v>
      </c>
      <c r="B1469" s="143" t="s">
        <v>220</v>
      </c>
      <c r="C1469" s="146" t="s">
        <v>788</v>
      </c>
      <c r="D1469" s="148">
        <v>1E-4</v>
      </c>
      <c r="E1469" s="145" t="s">
        <v>458</v>
      </c>
    </row>
    <row r="1470" spans="1:5" x14ac:dyDescent="0.25">
      <c r="A1470" s="46">
        <v>135</v>
      </c>
      <c r="B1470" s="143" t="s">
        <v>220</v>
      </c>
      <c r="C1470" s="146" t="s">
        <v>584</v>
      </c>
      <c r="D1470" s="148">
        <v>0.01</v>
      </c>
      <c r="E1470" s="145" t="s">
        <v>458</v>
      </c>
    </row>
    <row r="1471" spans="1:5" x14ac:dyDescent="0.25">
      <c r="A1471" s="46">
        <v>135</v>
      </c>
      <c r="B1471" s="143" t="s">
        <v>220</v>
      </c>
      <c r="C1471" s="90" t="s">
        <v>757</v>
      </c>
      <c r="D1471" s="148">
        <v>2.5000000000000001E-2</v>
      </c>
      <c r="E1471" s="145" t="s">
        <v>448</v>
      </c>
    </row>
    <row r="1472" spans="1:5" x14ac:dyDescent="0.25">
      <c r="A1472" s="46">
        <v>135</v>
      </c>
      <c r="B1472" s="143" t="s">
        <v>220</v>
      </c>
      <c r="C1472" s="146" t="s">
        <v>614</v>
      </c>
      <c r="D1472" s="151" t="s">
        <v>723</v>
      </c>
      <c r="E1472" s="145" t="s">
        <v>594</v>
      </c>
    </row>
    <row r="1473" spans="1:5" x14ac:dyDescent="0.25">
      <c r="A1473" s="46">
        <v>135</v>
      </c>
      <c r="B1473" s="143" t="s">
        <v>220</v>
      </c>
      <c r="C1473" s="146" t="s">
        <v>488</v>
      </c>
      <c r="D1473" s="157">
        <v>3.0000000000000001E-3</v>
      </c>
      <c r="E1473" s="145" t="s">
        <v>458</v>
      </c>
    </row>
    <row r="1474" spans="1:5" x14ac:dyDescent="0.25">
      <c r="A1474" s="46">
        <v>135</v>
      </c>
      <c r="B1474" s="143" t="s">
        <v>220</v>
      </c>
      <c r="C1474" s="146" t="s">
        <v>636</v>
      </c>
      <c r="D1474" s="148">
        <v>1E-3</v>
      </c>
      <c r="E1474" s="145" t="s">
        <v>450</v>
      </c>
    </row>
    <row r="1475" spans="1:5" x14ac:dyDescent="0.25">
      <c r="A1475" s="46">
        <v>135</v>
      </c>
      <c r="B1475" s="143" t="s">
        <v>220</v>
      </c>
      <c r="C1475" s="146" t="s">
        <v>626</v>
      </c>
      <c r="D1475" s="157">
        <v>4.4999999999999998E-2</v>
      </c>
      <c r="E1475" s="145" t="s">
        <v>448</v>
      </c>
    </row>
    <row r="1476" spans="1:5" x14ac:dyDescent="0.25">
      <c r="A1476" s="46">
        <v>135</v>
      </c>
      <c r="B1476" s="143" t="s">
        <v>220</v>
      </c>
      <c r="C1476" s="146" t="s">
        <v>621</v>
      </c>
      <c r="D1476" s="159">
        <v>1E-4</v>
      </c>
      <c r="E1476" s="145" t="s">
        <v>458</v>
      </c>
    </row>
    <row r="1477" spans="1:5" x14ac:dyDescent="0.25">
      <c r="A1477" s="46">
        <v>135</v>
      </c>
      <c r="B1477" s="143" t="s">
        <v>220</v>
      </c>
      <c r="C1477" s="146" t="s">
        <v>624</v>
      </c>
      <c r="D1477" s="159">
        <v>1E-4</v>
      </c>
      <c r="E1477" s="145" t="s">
        <v>458</v>
      </c>
    </row>
    <row r="1478" spans="1:5" x14ac:dyDescent="0.25">
      <c r="A1478" s="46">
        <v>135</v>
      </c>
      <c r="B1478" s="143" t="s">
        <v>220</v>
      </c>
      <c r="C1478" s="146" t="s">
        <v>627</v>
      </c>
      <c r="D1478" s="159">
        <v>1E-4</v>
      </c>
      <c r="E1478" s="145" t="s">
        <v>458</v>
      </c>
    </row>
    <row r="1479" spans="1:5" x14ac:dyDescent="0.25">
      <c r="A1479" s="46">
        <v>142</v>
      </c>
      <c r="B1479" s="143" t="s">
        <v>225</v>
      </c>
      <c r="C1479" s="89" t="s">
        <v>794</v>
      </c>
      <c r="D1479" s="141">
        <v>0.27</v>
      </c>
      <c r="E1479" s="141" t="s">
        <v>458</v>
      </c>
    </row>
    <row r="1480" spans="1:5" x14ac:dyDescent="0.25">
      <c r="A1480" s="46">
        <v>142</v>
      </c>
      <c r="B1480" s="143" t="s">
        <v>225</v>
      </c>
      <c r="C1480" s="89" t="s">
        <v>464</v>
      </c>
      <c r="D1480" s="141">
        <v>1</v>
      </c>
      <c r="E1480" s="141" t="s">
        <v>594</v>
      </c>
    </row>
    <row r="1481" spans="1:5" x14ac:dyDescent="0.25">
      <c r="A1481" s="46">
        <v>142</v>
      </c>
      <c r="B1481" s="143" t="s">
        <v>225</v>
      </c>
      <c r="C1481" s="89" t="s">
        <v>447</v>
      </c>
      <c r="D1481" s="141">
        <v>0.5</v>
      </c>
      <c r="E1481" s="141" t="s">
        <v>458</v>
      </c>
    </row>
    <row r="1482" spans="1:5" x14ac:dyDescent="0.25">
      <c r="A1482" s="46">
        <v>142</v>
      </c>
      <c r="B1482" s="143" t="s">
        <v>225</v>
      </c>
      <c r="C1482" s="89" t="s">
        <v>488</v>
      </c>
      <c r="D1482" s="141">
        <v>2E-3</v>
      </c>
      <c r="E1482" s="141" t="s">
        <v>458</v>
      </c>
    </row>
    <row r="1483" spans="1:5" x14ac:dyDescent="0.25">
      <c r="A1483" s="46">
        <v>142</v>
      </c>
      <c r="B1483" s="143" t="s">
        <v>225</v>
      </c>
      <c r="C1483" s="89" t="s">
        <v>636</v>
      </c>
      <c r="D1483" s="141">
        <v>5.0000000000000001E-4</v>
      </c>
      <c r="E1483" s="141" t="s">
        <v>458</v>
      </c>
    </row>
    <row r="1484" spans="1:5" x14ac:dyDescent="0.25">
      <c r="A1484" s="46">
        <v>142</v>
      </c>
      <c r="B1484" s="143" t="s">
        <v>225</v>
      </c>
      <c r="C1484" s="89" t="s">
        <v>624</v>
      </c>
      <c r="D1484" s="141">
        <v>1</v>
      </c>
      <c r="E1484" s="141" t="s">
        <v>623</v>
      </c>
    </row>
    <row r="1485" spans="1:5" x14ac:dyDescent="0.25">
      <c r="A1485" s="46">
        <v>142</v>
      </c>
      <c r="B1485" s="143" t="s">
        <v>225</v>
      </c>
      <c r="C1485" s="89" t="s">
        <v>621</v>
      </c>
      <c r="D1485" s="141">
        <v>1</v>
      </c>
      <c r="E1485" s="141" t="s">
        <v>623</v>
      </c>
    </row>
    <row r="1486" spans="1:5" x14ac:dyDescent="0.25">
      <c r="A1486" s="46">
        <v>140</v>
      </c>
      <c r="B1486" s="143" t="s">
        <v>223</v>
      </c>
      <c r="C1486" s="89" t="s">
        <v>794</v>
      </c>
      <c r="D1486" s="141">
        <v>0.18</v>
      </c>
      <c r="E1486" s="141" t="s">
        <v>458</v>
      </c>
    </row>
    <row r="1487" spans="1:5" x14ac:dyDescent="0.25">
      <c r="A1487" s="46">
        <v>140</v>
      </c>
      <c r="B1487" s="143" t="s">
        <v>223</v>
      </c>
      <c r="C1487" s="89" t="s">
        <v>452</v>
      </c>
      <c r="D1487" s="141">
        <v>0.15</v>
      </c>
      <c r="E1487" s="141" t="s">
        <v>458</v>
      </c>
    </row>
    <row r="1488" spans="1:5" x14ac:dyDescent="0.25">
      <c r="A1488" s="46">
        <v>140</v>
      </c>
      <c r="B1488" s="143" t="s">
        <v>223</v>
      </c>
      <c r="C1488" s="89" t="s">
        <v>527</v>
      </c>
      <c r="D1488" s="141">
        <v>0.01</v>
      </c>
      <c r="E1488" s="141" t="s">
        <v>458</v>
      </c>
    </row>
    <row r="1489" spans="1:5" x14ac:dyDescent="0.25">
      <c r="A1489" s="46">
        <v>140</v>
      </c>
      <c r="B1489" s="143" t="s">
        <v>223</v>
      </c>
      <c r="C1489" s="89" t="s">
        <v>659</v>
      </c>
      <c r="D1489" s="141">
        <v>1E-4</v>
      </c>
      <c r="E1489" s="141" t="s">
        <v>458</v>
      </c>
    </row>
    <row r="1490" spans="1:5" x14ac:dyDescent="0.25">
      <c r="A1490" s="46">
        <v>140</v>
      </c>
      <c r="B1490" s="143" t="s">
        <v>223</v>
      </c>
      <c r="C1490" s="89" t="s">
        <v>509</v>
      </c>
      <c r="D1490" s="141">
        <v>0.01</v>
      </c>
      <c r="E1490" s="141" t="s">
        <v>458</v>
      </c>
    </row>
    <row r="1491" spans="1:5" x14ac:dyDescent="0.25">
      <c r="A1491" s="46">
        <v>140</v>
      </c>
      <c r="B1491" s="143" t="s">
        <v>223</v>
      </c>
      <c r="C1491" s="89" t="s">
        <v>480</v>
      </c>
      <c r="D1491" s="141">
        <v>1E-3</v>
      </c>
      <c r="E1491" s="141" t="s">
        <v>458</v>
      </c>
    </row>
    <row r="1492" spans="1:5" x14ac:dyDescent="0.25">
      <c r="A1492" s="46">
        <v>140</v>
      </c>
      <c r="B1492" s="143" t="s">
        <v>223</v>
      </c>
      <c r="C1492" s="89" t="s">
        <v>504</v>
      </c>
      <c r="D1492" s="141">
        <v>8.0000000000000002E-3</v>
      </c>
      <c r="E1492" s="141" t="s">
        <v>458</v>
      </c>
    </row>
    <row r="1493" spans="1:5" x14ac:dyDescent="0.25">
      <c r="A1493" s="46">
        <v>140</v>
      </c>
      <c r="B1493" s="143" t="s">
        <v>223</v>
      </c>
      <c r="C1493" s="89" t="s">
        <v>624</v>
      </c>
      <c r="D1493" s="141">
        <v>1E-4</v>
      </c>
      <c r="E1493" s="141" t="s">
        <v>458</v>
      </c>
    </row>
    <row r="1494" spans="1:5" x14ac:dyDescent="0.25">
      <c r="A1494" s="46">
        <v>140</v>
      </c>
      <c r="B1494" s="143" t="s">
        <v>223</v>
      </c>
      <c r="C1494" s="89" t="s">
        <v>621</v>
      </c>
      <c r="D1494" s="141">
        <v>1E-4</v>
      </c>
      <c r="E1494" s="141" t="s">
        <v>458</v>
      </c>
    </row>
    <row r="1495" spans="1:5" x14ac:dyDescent="0.25">
      <c r="A1495" s="46">
        <v>140</v>
      </c>
      <c r="B1495" s="143" t="s">
        <v>223</v>
      </c>
      <c r="C1495" s="89" t="s">
        <v>488</v>
      </c>
      <c r="D1495" s="141">
        <v>2E-3</v>
      </c>
      <c r="E1495" s="141" t="s">
        <v>458</v>
      </c>
    </row>
    <row r="1496" spans="1:5" x14ac:dyDescent="0.25">
      <c r="A1496" s="46">
        <v>140</v>
      </c>
      <c r="B1496" s="143" t="s">
        <v>223</v>
      </c>
      <c r="C1496" s="89" t="s">
        <v>636</v>
      </c>
      <c r="D1496" s="141">
        <v>5.0000000000000001E-4</v>
      </c>
      <c r="E1496" s="141" t="s">
        <v>458</v>
      </c>
    </row>
    <row r="1497" spans="1:5" x14ac:dyDescent="0.25">
      <c r="A1497" s="46">
        <v>140</v>
      </c>
      <c r="B1497" s="143" t="s">
        <v>223</v>
      </c>
      <c r="C1497" s="89" t="s">
        <v>613</v>
      </c>
      <c r="D1497" s="141">
        <v>1</v>
      </c>
      <c r="E1497" s="141" t="s">
        <v>579</v>
      </c>
    </row>
    <row r="1498" spans="1:5" x14ac:dyDescent="0.25">
      <c r="A1498" s="46">
        <v>190</v>
      </c>
      <c r="B1498" s="143" t="s">
        <v>255</v>
      </c>
      <c r="C1498" s="90" t="s">
        <v>702</v>
      </c>
      <c r="D1498" s="148">
        <v>0.15</v>
      </c>
      <c r="E1498" s="145" t="s">
        <v>450</v>
      </c>
    </row>
    <row r="1499" spans="1:5" x14ac:dyDescent="0.25">
      <c r="A1499" s="46">
        <v>190</v>
      </c>
      <c r="B1499" s="143" t="s">
        <v>255</v>
      </c>
      <c r="C1499" s="143" t="s">
        <v>860</v>
      </c>
      <c r="D1499" s="148">
        <v>2.5000000000000001E-2</v>
      </c>
      <c r="E1499" s="145" t="s">
        <v>450</v>
      </c>
    </row>
    <row r="1500" spans="1:5" x14ac:dyDescent="0.25">
      <c r="A1500" s="46">
        <v>190</v>
      </c>
      <c r="B1500" s="143" t="s">
        <v>255</v>
      </c>
      <c r="C1500" s="143" t="s">
        <v>647</v>
      </c>
      <c r="D1500" s="148">
        <v>1.4999999999999999E-2</v>
      </c>
      <c r="E1500" s="145" t="s">
        <v>450</v>
      </c>
    </row>
    <row r="1501" spans="1:5" x14ac:dyDescent="0.25">
      <c r="A1501" s="46">
        <v>190</v>
      </c>
      <c r="B1501" s="143" t="s">
        <v>255</v>
      </c>
      <c r="C1501" s="143" t="s">
        <v>597</v>
      </c>
      <c r="D1501" s="148">
        <v>0.01</v>
      </c>
      <c r="E1501" s="145" t="s">
        <v>450</v>
      </c>
    </row>
    <row r="1502" spans="1:5" x14ac:dyDescent="0.25">
      <c r="A1502" s="46">
        <v>190</v>
      </c>
      <c r="B1502" s="143" t="s">
        <v>255</v>
      </c>
      <c r="C1502" s="143" t="s">
        <v>461</v>
      </c>
      <c r="D1502" s="148">
        <v>0.01</v>
      </c>
      <c r="E1502" s="145" t="s">
        <v>450</v>
      </c>
    </row>
    <row r="1503" spans="1:5" x14ac:dyDescent="0.25">
      <c r="A1503" s="46">
        <v>190</v>
      </c>
      <c r="B1503" s="143" t="s">
        <v>255</v>
      </c>
      <c r="C1503" s="143" t="s">
        <v>469</v>
      </c>
      <c r="D1503" s="148">
        <v>0.1</v>
      </c>
      <c r="E1503" s="145" t="s">
        <v>448</v>
      </c>
    </row>
    <row r="1504" spans="1:5" x14ac:dyDescent="0.25">
      <c r="A1504" s="46">
        <v>190</v>
      </c>
      <c r="B1504" s="143" t="s">
        <v>255</v>
      </c>
      <c r="C1504" s="143" t="s">
        <v>625</v>
      </c>
      <c r="D1504" s="148">
        <v>1</v>
      </c>
      <c r="E1504" s="145" t="s">
        <v>749</v>
      </c>
    </row>
    <row r="1505" spans="1:5" x14ac:dyDescent="0.25">
      <c r="A1505" s="46">
        <v>190</v>
      </c>
      <c r="B1505" s="143" t="s">
        <v>255</v>
      </c>
      <c r="C1505" s="143" t="s">
        <v>791</v>
      </c>
      <c r="D1505" s="148">
        <v>4.0000000000000001E-3</v>
      </c>
      <c r="E1505" s="145" t="s">
        <v>450</v>
      </c>
    </row>
    <row r="1506" spans="1:5" x14ac:dyDescent="0.25">
      <c r="A1506" s="46">
        <v>190</v>
      </c>
      <c r="B1506" s="143" t="s">
        <v>255</v>
      </c>
      <c r="C1506" s="143" t="s">
        <v>470</v>
      </c>
      <c r="D1506" s="148">
        <v>3.0000000000000001E-3</v>
      </c>
      <c r="E1506" s="145" t="s">
        <v>450</v>
      </c>
    </row>
    <row r="1507" spans="1:5" x14ac:dyDescent="0.25">
      <c r="A1507" s="46">
        <v>190</v>
      </c>
      <c r="B1507" s="143" t="s">
        <v>255</v>
      </c>
      <c r="C1507" s="143" t="s">
        <v>516</v>
      </c>
      <c r="D1507" s="148">
        <v>1E-3</v>
      </c>
      <c r="E1507" s="145" t="s">
        <v>450</v>
      </c>
    </row>
    <row r="1508" spans="1:5" x14ac:dyDescent="0.25">
      <c r="A1508" s="46">
        <v>25</v>
      </c>
      <c r="B1508" s="143" t="s">
        <v>46</v>
      </c>
      <c r="C1508" s="90" t="s">
        <v>702</v>
      </c>
      <c r="D1508" s="154">
        <v>0.05</v>
      </c>
      <c r="E1508" s="155" t="s">
        <v>450</v>
      </c>
    </row>
    <row r="1509" spans="1:5" x14ac:dyDescent="0.25">
      <c r="A1509" s="46">
        <v>25</v>
      </c>
      <c r="B1509" s="143" t="s">
        <v>46</v>
      </c>
      <c r="C1509" s="90" t="s">
        <v>703</v>
      </c>
      <c r="D1509" s="154">
        <v>2.5000000000000001E-2</v>
      </c>
      <c r="E1509" s="155" t="s">
        <v>450</v>
      </c>
    </row>
    <row r="1510" spans="1:5" x14ac:dyDescent="0.25">
      <c r="A1510" s="46">
        <v>25</v>
      </c>
      <c r="B1510" s="143" t="s">
        <v>46</v>
      </c>
      <c r="C1510" s="90" t="s">
        <v>704</v>
      </c>
      <c r="D1510" s="154">
        <v>0.01</v>
      </c>
      <c r="E1510" s="155" t="s">
        <v>458</v>
      </c>
    </row>
    <row r="1511" spans="1:5" x14ac:dyDescent="0.25">
      <c r="A1511" s="46">
        <v>25</v>
      </c>
      <c r="B1511" s="143" t="s">
        <v>46</v>
      </c>
      <c r="C1511" s="90" t="s">
        <v>597</v>
      </c>
      <c r="D1511" s="154">
        <v>5.0000000000000001E-3</v>
      </c>
      <c r="E1511" s="155" t="s">
        <v>450</v>
      </c>
    </row>
    <row r="1512" spans="1:5" x14ac:dyDescent="0.25">
      <c r="A1512" s="46">
        <v>25</v>
      </c>
      <c r="B1512" s="143" t="s">
        <v>46</v>
      </c>
      <c r="C1512" s="90" t="s">
        <v>488</v>
      </c>
      <c r="D1512" s="154">
        <v>0.01</v>
      </c>
      <c r="E1512" s="155" t="s">
        <v>450</v>
      </c>
    </row>
    <row r="1513" spans="1:5" x14ac:dyDescent="0.25">
      <c r="A1513" s="46">
        <v>25</v>
      </c>
      <c r="B1513" s="143" t="s">
        <v>46</v>
      </c>
      <c r="C1513" s="143" t="s">
        <v>487</v>
      </c>
      <c r="D1513" s="154">
        <v>3.0000000000000001E-3</v>
      </c>
      <c r="E1513" s="155" t="s">
        <v>458</v>
      </c>
    </row>
    <row r="1514" spans="1:5" x14ac:dyDescent="0.25">
      <c r="A1514" s="46">
        <v>25</v>
      </c>
      <c r="B1514" s="143" t="s">
        <v>46</v>
      </c>
      <c r="C1514" s="90" t="s">
        <v>461</v>
      </c>
      <c r="D1514" s="154">
        <v>2.5000000000000001E-2</v>
      </c>
      <c r="E1514" s="155" t="s">
        <v>458</v>
      </c>
    </row>
    <row r="1515" spans="1:5" x14ac:dyDescent="0.25">
      <c r="A1515" s="46">
        <v>25</v>
      </c>
      <c r="B1515" s="143" t="s">
        <v>46</v>
      </c>
      <c r="C1515" s="90" t="s">
        <v>469</v>
      </c>
      <c r="D1515" s="154">
        <v>2.5000000000000001E-2</v>
      </c>
      <c r="E1515" s="155" t="s">
        <v>450</v>
      </c>
    </row>
    <row r="1516" spans="1:5" x14ac:dyDescent="0.25">
      <c r="A1516" s="46">
        <v>25</v>
      </c>
      <c r="B1516" s="143" t="s">
        <v>46</v>
      </c>
      <c r="C1516" s="90" t="s">
        <v>673</v>
      </c>
      <c r="D1516" s="154">
        <v>1E-3</v>
      </c>
      <c r="E1516" s="155" t="s">
        <v>458</v>
      </c>
    </row>
    <row r="1517" spans="1:5" x14ac:dyDescent="0.25">
      <c r="A1517" s="46">
        <v>25</v>
      </c>
      <c r="B1517" s="143" t="s">
        <v>46</v>
      </c>
      <c r="C1517" s="143" t="s">
        <v>467</v>
      </c>
      <c r="D1517" s="154">
        <v>2E-3</v>
      </c>
      <c r="E1517" s="155" t="s">
        <v>448</v>
      </c>
    </row>
    <row r="1518" spans="1:5" x14ac:dyDescent="0.25">
      <c r="A1518" s="46">
        <v>290</v>
      </c>
      <c r="B1518" s="143" t="s">
        <v>322</v>
      </c>
      <c r="C1518" s="89" t="s">
        <v>322</v>
      </c>
      <c r="D1518" s="141">
        <v>0.1</v>
      </c>
      <c r="E1518" s="89" t="s">
        <v>450</v>
      </c>
    </row>
    <row r="1519" spans="1:5" x14ac:dyDescent="0.25">
      <c r="A1519" s="46">
        <v>290</v>
      </c>
      <c r="B1519" s="143" t="s">
        <v>322</v>
      </c>
      <c r="C1519" s="89" t="s">
        <v>498</v>
      </c>
      <c r="D1519" s="141">
        <v>2E-3</v>
      </c>
      <c r="E1519" s="89" t="s">
        <v>450</v>
      </c>
    </row>
    <row r="1520" spans="1:5" x14ac:dyDescent="0.25">
      <c r="A1520" s="46">
        <v>290</v>
      </c>
      <c r="B1520" s="143" t="s">
        <v>322</v>
      </c>
      <c r="C1520" s="89" t="s">
        <v>466</v>
      </c>
      <c r="D1520" s="141">
        <v>1E-3</v>
      </c>
      <c r="E1520" s="89" t="s">
        <v>450</v>
      </c>
    </row>
    <row r="1521" spans="1:5" x14ac:dyDescent="0.25">
      <c r="A1521" s="46">
        <v>290</v>
      </c>
      <c r="B1521" s="143" t="s">
        <v>322</v>
      </c>
      <c r="C1521" s="89" t="s">
        <v>629</v>
      </c>
      <c r="D1521" s="141">
        <v>1E-4</v>
      </c>
      <c r="E1521" s="89" t="s">
        <v>458</v>
      </c>
    </row>
    <row r="1522" spans="1:5" x14ac:dyDescent="0.25">
      <c r="A1522" s="46">
        <v>290</v>
      </c>
      <c r="B1522" s="143" t="s">
        <v>322</v>
      </c>
      <c r="C1522" s="89" t="s">
        <v>488</v>
      </c>
      <c r="D1522" s="141">
        <v>1E-3</v>
      </c>
      <c r="E1522" s="89" t="s">
        <v>458</v>
      </c>
    </row>
    <row r="1523" spans="1:5" x14ac:dyDescent="0.25">
      <c r="A1523" s="46">
        <v>290</v>
      </c>
      <c r="B1523" s="143" t="s">
        <v>322</v>
      </c>
      <c r="C1523" s="89" t="s">
        <v>459</v>
      </c>
      <c r="D1523" s="141">
        <v>8.0000000000000002E-3</v>
      </c>
      <c r="E1523" s="89" t="s">
        <v>458</v>
      </c>
    </row>
    <row r="1524" spans="1:5" x14ac:dyDescent="0.25">
      <c r="A1524" s="46"/>
      <c r="B1524" s="98" t="s">
        <v>397</v>
      </c>
      <c r="C1524" s="89" t="s">
        <v>1543</v>
      </c>
      <c r="D1524" s="141">
        <v>1</v>
      </c>
      <c r="E1524" s="150" t="s">
        <v>450</v>
      </c>
    </row>
    <row r="1525" spans="1:5" x14ac:dyDescent="0.25">
      <c r="A1525" s="46">
        <v>299</v>
      </c>
      <c r="B1525" s="143" t="s">
        <v>331</v>
      </c>
      <c r="C1525" s="89" t="s">
        <v>462</v>
      </c>
      <c r="D1525" s="141">
        <v>7.4999999999999997E-2</v>
      </c>
      <c r="E1525" s="89" t="s">
        <v>450</v>
      </c>
    </row>
    <row r="1526" spans="1:5" x14ac:dyDescent="0.25">
      <c r="A1526" s="46">
        <v>299</v>
      </c>
      <c r="B1526" s="143" t="s">
        <v>331</v>
      </c>
      <c r="C1526" s="89" t="s">
        <v>403</v>
      </c>
      <c r="D1526" s="141">
        <v>2.5000000000000001E-2</v>
      </c>
      <c r="E1526" s="89" t="s">
        <v>450</v>
      </c>
    </row>
    <row r="1527" spans="1:5" x14ac:dyDescent="0.25">
      <c r="A1527" s="46">
        <v>299</v>
      </c>
      <c r="B1527" s="143" t="s">
        <v>331</v>
      </c>
      <c r="C1527" s="89" t="s">
        <v>575</v>
      </c>
      <c r="D1527" s="141">
        <v>5.0000000000000001E-3</v>
      </c>
      <c r="E1527" s="89" t="s">
        <v>450</v>
      </c>
    </row>
    <row r="1528" spans="1:5" x14ac:dyDescent="0.25">
      <c r="A1528" s="46">
        <v>299</v>
      </c>
      <c r="B1528" s="143" t="s">
        <v>331</v>
      </c>
      <c r="C1528" s="89" t="s">
        <v>570</v>
      </c>
      <c r="D1528" s="141">
        <v>0.01</v>
      </c>
      <c r="E1528" s="89" t="s">
        <v>450</v>
      </c>
    </row>
    <row r="1529" spans="1:5" x14ac:dyDescent="0.25">
      <c r="A1529" s="46">
        <v>299</v>
      </c>
      <c r="B1529" s="143" t="s">
        <v>331</v>
      </c>
      <c r="C1529" s="89" t="s">
        <v>466</v>
      </c>
      <c r="D1529" s="141">
        <v>0.25</v>
      </c>
      <c r="E1529" s="89" t="s">
        <v>992</v>
      </c>
    </row>
    <row r="1530" spans="1:5" x14ac:dyDescent="0.25">
      <c r="A1530" s="46">
        <v>299</v>
      </c>
      <c r="B1530" s="143" t="s">
        <v>331</v>
      </c>
      <c r="C1530" s="89" t="s">
        <v>467</v>
      </c>
      <c r="D1530" s="141">
        <v>5.0000000000000001E-3</v>
      </c>
      <c r="E1530" s="89" t="s">
        <v>450</v>
      </c>
    </row>
    <row r="1531" spans="1:5" x14ac:dyDescent="0.25">
      <c r="A1531" s="46">
        <v>299</v>
      </c>
      <c r="B1531" s="143" t="s">
        <v>331</v>
      </c>
      <c r="C1531" s="89" t="s">
        <v>823</v>
      </c>
      <c r="D1531" s="141">
        <v>1E-3</v>
      </c>
      <c r="E1531" s="89"/>
    </row>
    <row r="1532" spans="1:5" x14ac:dyDescent="0.25">
      <c r="A1532" s="46">
        <v>299</v>
      </c>
      <c r="B1532" s="143" t="s">
        <v>331</v>
      </c>
      <c r="C1532" s="89" t="s">
        <v>993</v>
      </c>
      <c r="D1532" s="141">
        <v>3.5000000000000001E-3</v>
      </c>
      <c r="E1532" s="160" t="s">
        <v>450</v>
      </c>
    </row>
    <row r="1533" spans="1:5" x14ac:dyDescent="0.25">
      <c r="A1533" s="46">
        <v>299</v>
      </c>
      <c r="B1533" s="143" t="s">
        <v>331</v>
      </c>
      <c r="C1533" s="89" t="s">
        <v>449</v>
      </c>
      <c r="D1533" s="141">
        <v>1E-3</v>
      </c>
      <c r="E1533" s="89"/>
    </row>
    <row r="1534" spans="1:5" x14ac:dyDescent="0.25">
      <c r="A1534" s="46">
        <v>299</v>
      </c>
      <c r="B1534" s="143" t="s">
        <v>331</v>
      </c>
      <c r="C1534" s="89" t="s">
        <v>573</v>
      </c>
      <c r="D1534" s="141">
        <v>1E-3</v>
      </c>
      <c r="E1534" s="89"/>
    </row>
    <row r="1535" spans="1:5" x14ac:dyDescent="0.25">
      <c r="A1535" s="46">
        <v>355</v>
      </c>
      <c r="B1535" s="143" t="s">
        <v>36</v>
      </c>
      <c r="C1535" s="143" t="s">
        <v>467</v>
      </c>
      <c r="D1535" s="148">
        <v>1E-3</v>
      </c>
      <c r="E1535" s="145" t="s">
        <v>448</v>
      </c>
    </row>
    <row r="1536" spans="1:5" x14ac:dyDescent="0.25">
      <c r="A1536" s="46">
        <v>355</v>
      </c>
      <c r="B1536" s="143" t="s">
        <v>36</v>
      </c>
      <c r="C1536" s="146" t="s">
        <v>462</v>
      </c>
      <c r="D1536" s="148">
        <v>7.0000000000000007E-2</v>
      </c>
      <c r="E1536" s="145" t="s">
        <v>450</v>
      </c>
    </row>
    <row r="1537" spans="1:5" x14ac:dyDescent="0.25">
      <c r="A1537" s="46">
        <v>355</v>
      </c>
      <c r="B1537" s="143" t="s">
        <v>36</v>
      </c>
      <c r="C1537" s="146" t="s">
        <v>1101</v>
      </c>
      <c r="D1537" s="148">
        <v>5.0000000000000001E-3</v>
      </c>
      <c r="E1537" s="145" t="s">
        <v>450</v>
      </c>
    </row>
    <row r="1538" spans="1:5" x14ac:dyDescent="0.25">
      <c r="A1538" s="46">
        <v>355</v>
      </c>
      <c r="B1538" s="143" t="s">
        <v>36</v>
      </c>
      <c r="C1538" s="139" t="s">
        <v>575</v>
      </c>
      <c r="D1538" s="148">
        <v>0.04</v>
      </c>
      <c r="E1538" s="145" t="s">
        <v>450</v>
      </c>
    </row>
    <row r="1539" spans="1:5" x14ac:dyDescent="0.25">
      <c r="A1539" s="46">
        <v>355</v>
      </c>
      <c r="B1539" s="143" t="s">
        <v>36</v>
      </c>
      <c r="C1539" s="143" t="s">
        <v>658</v>
      </c>
      <c r="D1539" s="148">
        <v>4.0000000000000001E-3</v>
      </c>
      <c r="E1539" s="145" t="s">
        <v>450</v>
      </c>
    </row>
    <row r="1540" spans="1:5" x14ac:dyDescent="0.25">
      <c r="A1540" s="46">
        <v>355</v>
      </c>
      <c r="B1540" s="143" t="s">
        <v>36</v>
      </c>
      <c r="C1540" s="143" t="s">
        <v>480</v>
      </c>
      <c r="D1540" s="148">
        <v>2E-3</v>
      </c>
      <c r="E1540" s="145" t="s">
        <v>450</v>
      </c>
    </row>
    <row r="1541" spans="1:5" x14ac:dyDescent="0.25">
      <c r="A1541" s="46">
        <v>355</v>
      </c>
      <c r="B1541" s="143" t="s">
        <v>36</v>
      </c>
      <c r="C1541" s="143" t="s">
        <v>1102</v>
      </c>
      <c r="D1541" s="149">
        <v>0.05</v>
      </c>
      <c r="E1541" s="145" t="s">
        <v>448</v>
      </c>
    </row>
    <row r="1542" spans="1:5" x14ac:dyDescent="0.25">
      <c r="A1542" s="46">
        <v>355</v>
      </c>
      <c r="B1542" s="143" t="s">
        <v>36</v>
      </c>
      <c r="C1542" s="143" t="s">
        <v>467</v>
      </c>
      <c r="D1542" s="148">
        <v>5.0000000000000001E-3</v>
      </c>
      <c r="E1542" s="145" t="s">
        <v>448</v>
      </c>
    </row>
    <row r="1543" spans="1:5" x14ac:dyDescent="0.25">
      <c r="A1543" s="46">
        <v>355</v>
      </c>
      <c r="B1543" s="143" t="s">
        <v>36</v>
      </c>
      <c r="C1543" s="139" t="s">
        <v>583</v>
      </c>
      <c r="D1543" s="148">
        <v>0.04</v>
      </c>
      <c r="E1543" s="145" t="s">
        <v>450</v>
      </c>
    </row>
    <row r="1544" spans="1:5" x14ac:dyDescent="0.25">
      <c r="A1544" s="46">
        <v>355</v>
      </c>
      <c r="B1544" s="143" t="s">
        <v>36</v>
      </c>
      <c r="C1544" s="139" t="s">
        <v>479</v>
      </c>
      <c r="D1544" s="148">
        <v>0.04</v>
      </c>
      <c r="E1544" s="145" t="s">
        <v>450</v>
      </c>
    </row>
    <row r="1545" spans="1:5" x14ac:dyDescent="0.25">
      <c r="A1545" s="46">
        <v>355</v>
      </c>
      <c r="B1545" s="143" t="s">
        <v>36</v>
      </c>
      <c r="C1545" s="165" t="s">
        <v>535</v>
      </c>
      <c r="D1545" s="148">
        <v>0.04</v>
      </c>
      <c r="E1545" s="145" t="s">
        <v>448</v>
      </c>
    </row>
    <row r="1546" spans="1:5" x14ac:dyDescent="0.25">
      <c r="A1546" s="46">
        <v>355</v>
      </c>
      <c r="B1546" s="143" t="s">
        <v>36</v>
      </c>
      <c r="C1546" s="165" t="s">
        <v>1094</v>
      </c>
      <c r="D1546" s="148">
        <v>1E-3</v>
      </c>
      <c r="E1546" s="145" t="s">
        <v>448</v>
      </c>
    </row>
    <row r="1547" spans="1:5" x14ac:dyDescent="0.25">
      <c r="A1547" s="46">
        <v>355</v>
      </c>
      <c r="B1547" s="143" t="s">
        <v>36</v>
      </c>
      <c r="C1547" s="165" t="s">
        <v>1103</v>
      </c>
      <c r="D1547" s="148">
        <v>1E-3</v>
      </c>
      <c r="E1547" s="145" t="s">
        <v>450</v>
      </c>
    </row>
    <row r="1548" spans="1:5" x14ac:dyDescent="0.25">
      <c r="A1548" s="46">
        <v>355</v>
      </c>
      <c r="B1548" s="143" t="s">
        <v>36</v>
      </c>
      <c r="C1548" s="165" t="s">
        <v>643</v>
      </c>
      <c r="D1548" s="148">
        <v>0.1</v>
      </c>
      <c r="E1548" s="145" t="s">
        <v>450</v>
      </c>
    </row>
    <row r="1549" spans="1:5" x14ac:dyDescent="0.25">
      <c r="A1549" s="46">
        <v>300</v>
      </c>
      <c r="B1549" s="143" t="s">
        <v>332</v>
      </c>
      <c r="C1549" s="89" t="s">
        <v>462</v>
      </c>
      <c r="D1549" s="141">
        <v>7.4999999999999997E-2</v>
      </c>
      <c r="E1549" s="160" t="s">
        <v>450</v>
      </c>
    </row>
    <row r="1550" spans="1:5" x14ac:dyDescent="0.25">
      <c r="A1550" s="46">
        <v>300</v>
      </c>
      <c r="B1550" s="143" t="s">
        <v>332</v>
      </c>
      <c r="C1550" s="89" t="s">
        <v>648</v>
      </c>
      <c r="D1550" s="141">
        <v>2.5000000000000001E-2</v>
      </c>
      <c r="E1550" s="160" t="s">
        <v>450</v>
      </c>
    </row>
    <row r="1551" spans="1:5" x14ac:dyDescent="0.25">
      <c r="A1551" s="46">
        <v>300</v>
      </c>
      <c r="B1551" s="143" t="s">
        <v>332</v>
      </c>
      <c r="C1551" s="89" t="s">
        <v>612</v>
      </c>
      <c r="D1551" s="141">
        <v>0.05</v>
      </c>
      <c r="E1551" s="160" t="s">
        <v>450</v>
      </c>
    </row>
    <row r="1552" spans="1:5" x14ac:dyDescent="0.25">
      <c r="A1552" s="46">
        <v>300</v>
      </c>
      <c r="B1552" s="143" t="s">
        <v>332</v>
      </c>
      <c r="C1552" s="89" t="s">
        <v>459</v>
      </c>
      <c r="D1552" s="141">
        <v>2.5000000000000001E-3</v>
      </c>
      <c r="E1552" s="160" t="s">
        <v>450</v>
      </c>
    </row>
    <row r="1553" spans="1:5" x14ac:dyDescent="0.25">
      <c r="A1553" s="46">
        <v>300</v>
      </c>
      <c r="B1553" s="143" t="s">
        <v>332</v>
      </c>
      <c r="C1553" s="89" t="s">
        <v>488</v>
      </c>
      <c r="D1553" s="141">
        <v>1E-3</v>
      </c>
      <c r="E1553" s="89"/>
    </row>
    <row r="1554" spans="1:5" x14ac:dyDescent="0.25">
      <c r="A1554" s="46">
        <v>300</v>
      </c>
      <c r="B1554" s="143" t="s">
        <v>332</v>
      </c>
      <c r="C1554" s="89" t="s">
        <v>487</v>
      </c>
      <c r="D1554" s="141">
        <v>1E-3</v>
      </c>
      <c r="E1554" s="89"/>
    </row>
    <row r="1555" spans="1:5" x14ac:dyDescent="0.25">
      <c r="A1555" s="46">
        <v>300</v>
      </c>
      <c r="B1555" s="143" t="s">
        <v>332</v>
      </c>
      <c r="C1555" s="89" t="s">
        <v>466</v>
      </c>
      <c r="D1555" s="141">
        <v>2.5</v>
      </c>
      <c r="E1555" s="89" t="s">
        <v>992</v>
      </c>
    </row>
    <row r="1556" spans="1:5" x14ac:dyDescent="0.25">
      <c r="A1556" s="46">
        <v>300</v>
      </c>
      <c r="B1556" s="143" t="s">
        <v>332</v>
      </c>
      <c r="C1556" s="89" t="s">
        <v>500</v>
      </c>
      <c r="D1556" s="141">
        <v>0.01</v>
      </c>
      <c r="E1556" s="160" t="s">
        <v>450</v>
      </c>
    </row>
    <row r="1557" spans="1:5" x14ac:dyDescent="0.25">
      <c r="A1557" s="46">
        <v>300</v>
      </c>
      <c r="B1557" s="143" t="s">
        <v>332</v>
      </c>
      <c r="C1557" s="89" t="s">
        <v>994</v>
      </c>
      <c r="D1557" s="141">
        <v>0.01</v>
      </c>
      <c r="E1557" s="160" t="s">
        <v>450</v>
      </c>
    </row>
    <row r="1558" spans="1:5" x14ac:dyDescent="0.25">
      <c r="A1558" s="46">
        <v>300</v>
      </c>
      <c r="B1558" s="143" t="s">
        <v>332</v>
      </c>
      <c r="C1558" s="89" t="s">
        <v>694</v>
      </c>
      <c r="D1558" s="141">
        <v>1E-3</v>
      </c>
      <c r="E1558" s="89"/>
    </row>
    <row r="1559" spans="1:5" x14ac:dyDescent="0.25">
      <c r="A1559" s="46">
        <v>329</v>
      </c>
      <c r="B1559" s="143" t="s">
        <v>355</v>
      </c>
      <c r="C1559" s="89" t="s">
        <v>505</v>
      </c>
      <c r="D1559" s="182">
        <v>0.2</v>
      </c>
      <c r="E1559" s="98" t="s">
        <v>450</v>
      </c>
    </row>
    <row r="1560" spans="1:5" x14ac:dyDescent="0.25">
      <c r="A1560" s="46">
        <v>329</v>
      </c>
      <c r="B1560" s="143" t="s">
        <v>355</v>
      </c>
      <c r="C1560" s="89" t="s">
        <v>500</v>
      </c>
      <c r="D1560" s="182">
        <v>0.03</v>
      </c>
      <c r="E1560" s="98" t="s">
        <v>450</v>
      </c>
    </row>
    <row r="1561" spans="1:5" x14ac:dyDescent="0.25">
      <c r="A1561" s="46">
        <v>329</v>
      </c>
      <c r="B1561" s="143" t="s">
        <v>355</v>
      </c>
      <c r="C1561" s="89" t="s">
        <v>818</v>
      </c>
      <c r="D1561" s="182">
        <v>2E-3</v>
      </c>
      <c r="E1561" s="98" t="s">
        <v>450</v>
      </c>
    </row>
    <row r="1562" spans="1:5" x14ac:dyDescent="0.25">
      <c r="A1562" s="46">
        <v>329</v>
      </c>
      <c r="B1562" s="143" t="s">
        <v>355</v>
      </c>
      <c r="C1562" s="89" t="s">
        <v>470</v>
      </c>
      <c r="D1562" s="182">
        <v>1E-3</v>
      </c>
      <c r="E1562" s="98" t="s">
        <v>450</v>
      </c>
    </row>
    <row r="1563" spans="1:5" x14ac:dyDescent="0.25">
      <c r="A1563" s="46">
        <v>329</v>
      </c>
      <c r="B1563" s="143" t="s">
        <v>355</v>
      </c>
      <c r="C1563" s="89" t="s">
        <v>516</v>
      </c>
      <c r="D1563" s="182">
        <v>1E-3</v>
      </c>
      <c r="E1563" s="98" t="s">
        <v>450</v>
      </c>
    </row>
    <row r="1564" spans="1:5" x14ac:dyDescent="0.25">
      <c r="A1564" s="46">
        <v>329</v>
      </c>
      <c r="B1564" s="143" t="s">
        <v>355</v>
      </c>
      <c r="C1564" s="89" t="s">
        <v>504</v>
      </c>
      <c r="D1564" s="182">
        <v>2E-3</v>
      </c>
      <c r="E1564" s="98" t="s">
        <v>450</v>
      </c>
    </row>
    <row r="1565" spans="1:5" x14ac:dyDescent="0.25">
      <c r="A1565" s="46">
        <v>329</v>
      </c>
      <c r="B1565" s="143" t="s">
        <v>355</v>
      </c>
      <c r="C1565" s="89" t="s">
        <v>466</v>
      </c>
      <c r="D1565" s="182">
        <v>5.0000000000000001E-4</v>
      </c>
      <c r="E1565" s="98" t="s">
        <v>450</v>
      </c>
    </row>
    <row r="1566" spans="1:5" x14ac:dyDescent="0.25">
      <c r="A1566" s="46">
        <v>329</v>
      </c>
      <c r="B1566" s="143" t="s">
        <v>355</v>
      </c>
      <c r="C1566" s="89" t="s">
        <v>509</v>
      </c>
      <c r="D1566" s="182">
        <v>1E-3</v>
      </c>
      <c r="E1566" s="98" t="s">
        <v>450</v>
      </c>
    </row>
    <row r="1567" spans="1:5" x14ac:dyDescent="0.25">
      <c r="A1567" s="46">
        <v>329</v>
      </c>
      <c r="B1567" s="143" t="s">
        <v>355</v>
      </c>
      <c r="C1567" s="89" t="s">
        <v>559</v>
      </c>
      <c r="D1567" s="183">
        <v>0.25</v>
      </c>
      <c r="E1567" s="145" t="s">
        <v>749</v>
      </c>
    </row>
    <row r="1568" spans="1:5" x14ac:dyDescent="0.25">
      <c r="A1568" s="46">
        <v>181</v>
      </c>
      <c r="B1568" s="143" t="s">
        <v>249</v>
      </c>
      <c r="C1568" s="89" t="s">
        <v>664</v>
      </c>
      <c r="D1568" s="141">
        <v>0.15</v>
      </c>
      <c r="E1568" s="141" t="s">
        <v>450</v>
      </c>
    </row>
    <row r="1569" spans="1:5" x14ac:dyDescent="0.25">
      <c r="A1569" s="46">
        <v>181</v>
      </c>
      <c r="B1569" s="143" t="s">
        <v>249</v>
      </c>
      <c r="C1569" s="156" t="s">
        <v>710</v>
      </c>
      <c r="D1569" s="141">
        <v>0.1</v>
      </c>
      <c r="E1569" s="141" t="s">
        <v>448</v>
      </c>
    </row>
    <row r="1570" spans="1:5" x14ac:dyDescent="0.25">
      <c r="A1570" s="46">
        <v>181</v>
      </c>
      <c r="B1570" s="143" t="s">
        <v>249</v>
      </c>
      <c r="C1570" s="143" t="s">
        <v>449</v>
      </c>
      <c r="D1570" s="141">
        <v>7.0000000000000001E-3</v>
      </c>
      <c r="E1570" s="141" t="s">
        <v>450</v>
      </c>
    </row>
    <row r="1571" spans="1:5" x14ac:dyDescent="0.25">
      <c r="A1571" s="46">
        <v>181</v>
      </c>
      <c r="B1571" s="143" t="s">
        <v>249</v>
      </c>
      <c r="C1571" s="89" t="s">
        <v>846</v>
      </c>
      <c r="D1571" s="141">
        <v>6.0000000000000001E-3</v>
      </c>
      <c r="E1571" s="141" t="s">
        <v>450</v>
      </c>
    </row>
    <row r="1572" spans="1:5" x14ac:dyDescent="0.25">
      <c r="A1572" s="46">
        <v>181</v>
      </c>
      <c r="B1572" s="143" t="s">
        <v>249</v>
      </c>
      <c r="C1572" s="89" t="s">
        <v>847</v>
      </c>
      <c r="D1572" s="141">
        <v>0.1</v>
      </c>
      <c r="E1572" s="141" t="s">
        <v>450</v>
      </c>
    </row>
    <row r="1573" spans="1:5" x14ac:dyDescent="0.25">
      <c r="A1573" s="46">
        <v>181</v>
      </c>
      <c r="B1573" s="143" t="s">
        <v>249</v>
      </c>
      <c r="C1573" s="89" t="s">
        <v>533</v>
      </c>
      <c r="D1573" s="141">
        <v>4.0000000000000001E-3</v>
      </c>
      <c r="E1573" s="141" t="s">
        <v>458</v>
      </c>
    </row>
    <row r="1574" spans="1:5" x14ac:dyDescent="0.25">
      <c r="A1574" s="46">
        <v>181</v>
      </c>
      <c r="B1574" s="143" t="s">
        <v>249</v>
      </c>
      <c r="C1574" s="89" t="s">
        <v>848</v>
      </c>
      <c r="D1574" s="141">
        <v>0.02</v>
      </c>
      <c r="E1574" s="141" t="s">
        <v>458</v>
      </c>
    </row>
    <row r="1575" spans="1:5" x14ac:dyDescent="0.25">
      <c r="A1575" s="46">
        <v>181</v>
      </c>
      <c r="B1575" s="143" t="s">
        <v>249</v>
      </c>
      <c r="C1575" s="143" t="s">
        <v>578</v>
      </c>
      <c r="D1575" s="141">
        <v>1E-4</v>
      </c>
      <c r="E1575" s="141" t="s">
        <v>448</v>
      </c>
    </row>
    <row r="1576" spans="1:5" x14ac:dyDescent="0.25">
      <c r="A1576" s="46">
        <v>181</v>
      </c>
      <c r="B1576" s="143" t="s">
        <v>249</v>
      </c>
      <c r="C1576" s="89" t="s">
        <v>849</v>
      </c>
      <c r="D1576" s="141">
        <v>1</v>
      </c>
      <c r="E1576" s="141" t="s">
        <v>579</v>
      </c>
    </row>
    <row r="1577" spans="1:5" x14ac:dyDescent="0.25">
      <c r="A1577" s="46">
        <v>56</v>
      </c>
      <c r="B1577" s="143" t="s">
        <v>186</v>
      </c>
      <c r="C1577" s="89" t="s">
        <v>664</v>
      </c>
      <c r="D1577" s="144">
        <v>0.33</v>
      </c>
      <c r="E1577" s="142" t="s">
        <v>450</v>
      </c>
    </row>
    <row r="1578" spans="1:5" x14ac:dyDescent="0.25">
      <c r="A1578" s="46">
        <v>56</v>
      </c>
      <c r="B1578" s="143" t="s">
        <v>186</v>
      </c>
      <c r="C1578" s="89" t="s">
        <v>453</v>
      </c>
      <c r="D1578" s="144">
        <v>8.0000000000000002E-3</v>
      </c>
      <c r="E1578" s="142" t="s">
        <v>450</v>
      </c>
    </row>
    <row r="1579" spans="1:5" x14ac:dyDescent="0.25">
      <c r="A1579" s="46">
        <v>56</v>
      </c>
      <c r="B1579" s="143" t="s">
        <v>186</v>
      </c>
      <c r="C1579" s="143" t="s">
        <v>449</v>
      </c>
      <c r="D1579" s="144">
        <v>6.0000000000000001E-3</v>
      </c>
      <c r="E1579" s="142" t="s">
        <v>450</v>
      </c>
    </row>
    <row r="1580" spans="1:5" x14ac:dyDescent="0.25">
      <c r="A1580" s="46">
        <v>56</v>
      </c>
      <c r="B1580" s="143" t="s">
        <v>186</v>
      </c>
      <c r="C1580" s="143" t="s">
        <v>665</v>
      </c>
      <c r="D1580" s="144">
        <v>0.01</v>
      </c>
      <c r="E1580" s="142" t="s">
        <v>448</v>
      </c>
    </row>
    <row r="1581" spans="1:5" x14ac:dyDescent="0.25">
      <c r="A1581" s="46">
        <v>117</v>
      </c>
      <c r="B1581" s="143" t="s">
        <v>212</v>
      </c>
      <c r="C1581" s="152" t="s">
        <v>512</v>
      </c>
      <c r="D1581" s="184">
        <v>1.4E-2</v>
      </c>
      <c r="E1581" s="155" t="s">
        <v>450</v>
      </c>
    </row>
    <row r="1582" spans="1:5" x14ac:dyDescent="0.25">
      <c r="A1582" s="46">
        <v>117</v>
      </c>
      <c r="B1582" s="143" t="s">
        <v>212</v>
      </c>
      <c r="C1582" s="152" t="s">
        <v>511</v>
      </c>
      <c r="D1582" s="184">
        <v>1.2E-2</v>
      </c>
      <c r="E1582" s="155" t="s">
        <v>450</v>
      </c>
    </row>
    <row r="1583" spans="1:5" x14ac:dyDescent="0.25">
      <c r="A1583" s="46">
        <v>117</v>
      </c>
      <c r="B1583" s="143" t="s">
        <v>212</v>
      </c>
      <c r="C1583" s="152" t="s">
        <v>510</v>
      </c>
      <c r="D1583" s="154">
        <v>1.2E-2</v>
      </c>
      <c r="E1583" s="155" t="s">
        <v>450</v>
      </c>
    </row>
    <row r="1584" spans="1:5" x14ac:dyDescent="0.25">
      <c r="A1584" s="46">
        <v>117</v>
      </c>
      <c r="B1584" s="143" t="s">
        <v>212</v>
      </c>
      <c r="C1584" s="143" t="s">
        <v>764</v>
      </c>
      <c r="D1584" s="144">
        <v>0.03</v>
      </c>
      <c r="E1584" s="142" t="s">
        <v>450</v>
      </c>
    </row>
    <row r="1585" spans="1:5" x14ac:dyDescent="0.25">
      <c r="A1585" s="46">
        <v>117</v>
      </c>
      <c r="B1585" s="143" t="s">
        <v>212</v>
      </c>
      <c r="C1585" s="143" t="s">
        <v>572</v>
      </c>
      <c r="D1585" s="144">
        <v>7.0000000000000001E-3</v>
      </c>
      <c r="E1585" s="142" t="s">
        <v>458</v>
      </c>
    </row>
    <row r="1586" spans="1:5" x14ac:dyDescent="0.25">
      <c r="A1586" s="46">
        <v>117</v>
      </c>
      <c r="B1586" s="143" t="s">
        <v>212</v>
      </c>
      <c r="C1586" s="143" t="s">
        <v>500</v>
      </c>
      <c r="D1586" s="144">
        <v>0.01</v>
      </c>
      <c r="E1586" s="142" t="s">
        <v>458</v>
      </c>
    </row>
    <row r="1587" spans="1:5" x14ac:dyDescent="0.25">
      <c r="A1587" s="46">
        <v>117</v>
      </c>
      <c r="B1587" s="143" t="s">
        <v>212</v>
      </c>
      <c r="C1587" s="143" t="s">
        <v>765</v>
      </c>
      <c r="D1587" s="144">
        <v>2.5000000000000001E-2</v>
      </c>
      <c r="E1587" s="142" t="s">
        <v>450</v>
      </c>
    </row>
    <row r="1588" spans="1:5" x14ac:dyDescent="0.25">
      <c r="A1588" s="46">
        <v>117</v>
      </c>
      <c r="B1588" s="143" t="s">
        <v>212</v>
      </c>
      <c r="C1588" s="143" t="s">
        <v>487</v>
      </c>
      <c r="D1588" s="144">
        <v>1E-3</v>
      </c>
      <c r="E1588" s="142" t="s">
        <v>450</v>
      </c>
    </row>
    <row r="1589" spans="1:5" x14ac:dyDescent="0.25">
      <c r="A1589" s="46">
        <v>117</v>
      </c>
      <c r="B1589" s="143" t="s">
        <v>212</v>
      </c>
      <c r="C1589" s="143" t="s">
        <v>467</v>
      </c>
      <c r="D1589" s="144">
        <v>1E-3</v>
      </c>
      <c r="E1589" s="142" t="s">
        <v>448</v>
      </c>
    </row>
    <row r="1590" spans="1:5" x14ac:dyDescent="0.25">
      <c r="A1590" s="46">
        <v>117</v>
      </c>
      <c r="B1590" s="143" t="s">
        <v>212</v>
      </c>
      <c r="C1590" s="143" t="s">
        <v>488</v>
      </c>
      <c r="D1590" s="144">
        <v>2E-3</v>
      </c>
      <c r="E1590" s="142" t="s">
        <v>450</v>
      </c>
    </row>
    <row r="1591" spans="1:5" x14ac:dyDescent="0.25">
      <c r="A1591" s="47">
        <v>268</v>
      </c>
      <c r="B1591" s="143" t="s">
        <v>298</v>
      </c>
      <c r="C1591" s="152" t="s">
        <v>510</v>
      </c>
      <c r="D1591" s="141">
        <v>1.2E-2</v>
      </c>
      <c r="E1591" s="145" t="s">
        <v>450</v>
      </c>
    </row>
    <row r="1592" spans="1:5" x14ac:dyDescent="0.25">
      <c r="A1592" s="47">
        <v>268</v>
      </c>
      <c r="B1592" s="143" t="s">
        <v>298</v>
      </c>
      <c r="C1592" s="152" t="s">
        <v>512</v>
      </c>
      <c r="D1592" s="141">
        <v>1.4E-2</v>
      </c>
      <c r="E1592" s="145" t="s">
        <v>450</v>
      </c>
    </row>
    <row r="1593" spans="1:5" x14ac:dyDescent="0.25">
      <c r="A1593" s="47">
        <v>268</v>
      </c>
      <c r="B1593" s="143" t="s">
        <v>298</v>
      </c>
      <c r="C1593" s="152" t="s">
        <v>511</v>
      </c>
      <c r="D1593" s="141">
        <v>1.2E-2</v>
      </c>
      <c r="E1593" s="145" t="s">
        <v>450</v>
      </c>
    </row>
    <row r="1594" spans="1:5" x14ac:dyDescent="0.25">
      <c r="A1594" s="47">
        <v>268</v>
      </c>
      <c r="B1594" s="143" t="s">
        <v>298</v>
      </c>
      <c r="C1594" s="167" t="s">
        <v>554</v>
      </c>
      <c r="D1594" s="141">
        <v>0.02</v>
      </c>
      <c r="E1594" s="145" t="s">
        <v>450</v>
      </c>
    </row>
    <row r="1595" spans="1:5" x14ac:dyDescent="0.25">
      <c r="A1595" s="47">
        <v>268</v>
      </c>
      <c r="B1595" s="143" t="s">
        <v>298</v>
      </c>
      <c r="C1595" s="167" t="s">
        <v>555</v>
      </c>
      <c r="D1595" s="141">
        <v>1.4999999999999999E-2</v>
      </c>
      <c r="E1595" s="145" t="s">
        <v>450</v>
      </c>
    </row>
    <row r="1596" spans="1:5" x14ac:dyDescent="0.25">
      <c r="A1596" s="47">
        <v>268</v>
      </c>
      <c r="B1596" s="143" t="s">
        <v>298</v>
      </c>
      <c r="C1596" s="167" t="s">
        <v>525</v>
      </c>
      <c r="D1596" s="141">
        <v>1.4999999999999999E-2</v>
      </c>
      <c r="E1596" s="145" t="s">
        <v>450</v>
      </c>
    </row>
    <row r="1597" spans="1:5" x14ac:dyDescent="0.25">
      <c r="A1597" s="47">
        <v>268</v>
      </c>
      <c r="B1597" s="143" t="s">
        <v>298</v>
      </c>
      <c r="C1597" s="167" t="s">
        <v>470</v>
      </c>
      <c r="D1597" s="141">
        <v>2E-3</v>
      </c>
      <c r="E1597" s="145" t="s">
        <v>450</v>
      </c>
    </row>
    <row r="1598" spans="1:5" x14ac:dyDescent="0.25">
      <c r="A1598" s="47">
        <v>268</v>
      </c>
      <c r="B1598" s="143" t="s">
        <v>298</v>
      </c>
      <c r="C1598" s="167" t="s">
        <v>516</v>
      </c>
      <c r="D1598" s="141">
        <v>1E-3</v>
      </c>
      <c r="E1598" s="145" t="s">
        <v>450</v>
      </c>
    </row>
    <row r="1599" spans="1:5" x14ac:dyDescent="0.25">
      <c r="A1599" s="47">
        <v>268</v>
      </c>
      <c r="B1599" s="143" t="s">
        <v>298</v>
      </c>
      <c r="C1599" s="167" t="s">
        <v>478</v>
      </c>
      <c r="D1599" s="141">
        <v>3.0000000000000001E-3</v>
      </c>
      <c r="E1599" s="145" t="s">
        <v>448</v>
      </c>
    </row>
    <row r="1600" spans="1:5" x14ac:dyDescent="0.25">
      <c r="A1600" s="47">
        <v>268</v>
      </c>
      <c r="B1600" s="143" t="s">
        <v>298</v>
      </c>
      <c r="C1600" s="167" t="s">
        <v>556</v>
      </c>
      <c r="D1600" s="141">
        <v>3.0000000000000001E-3</v>
      </c>
      <c r="E1600" s="145" t="s">
        <v>450</v>
      </c>
    </row>
    <row r="1601" spans="1:5" x14ac:dyDescent="0.25">
      <c r="A1601" s="46">
        <v>354</v>
      </c>
      <c r="B1601" s="143" t="s">
        <v>26</v>
      </c>
      <c r="C1601" s="165" t="s">
        <v>1068</v>
      </c>
      <c r="D1601" s="148">
        <v>1.2E-2</v>
      </c>
      <c r="E1601" s="145" t="s">
        <v>458</v>
      </c>
    </row>
    <row r="1602" spans="1:5" x14ac:dyDescent="0.25">
      <c r="A1602" s="46">
        <v>354</v>
      </c>
      <c r="B1602" s="143" t="s">
        <v>26</v>
      </c>
      <c r="C1602" s="165" t="s">
        <v>1066</v>
      </c>
      <c r="D1602" s="148">
        <v>1.2E-2</v>
      </c>
      <c r="E1602" s="145" t="s">
        <v>458</v>
      </c>
    </row>
    <row r="1603" spans="1:5" x14ac:dyDescent="0.25">
      <c r="A1603" s="46">
        <v>354</v>
      </c>
      <c r="B1603" s="143" t="s">
        <v>26</v>
      </c>
      <c r="C1603" s="165" t="s">
        <v>1067</v>
      </c>
      <c r="D1603" s="148">
        <v>1.2E-2</v>
      </c>
      <c r="E1603" s="145" t="s">
        <v>458</v>
      </c>
    </row>
    <row r="1604" spans="1:5" x14ac:dyDescent="0.25">
      <c r="A1604" s="46">
        <v>354</v>
      </c>
      <c r="B1604" s="143" t="s">
        <v>26</v>
      </c>
      <c r="C1604" s="165" t="s">
        <v>1096</v>
      </c>
      <c r="D1604" s="148">
        <v>0.1</v>
      </c>
      <c r="E1604" s="145" t="s">
        <v>458</v>
      </c>
    </row>
    <row r="1605" spans="1:5" x14ac:dyDescent="0.25">
      <c r="A1605" s="46">
        <v>354</v>
      </c>
      <c r="B1605" s="143" t="s">
        <v>26</v>
      </c>
      <c r="C1605" s="165" t="s">
        <v>863</v>
      </c>
      <c r="D1605" s="148">
        <v>0.03</v>
      </c>
      <c r="E1605" s="145" t="s">
        <v>448</v>
      </c>
    </row>
    <row r="1606" spans="1:5" x14ac:dyDescent="0.25">
      <c r="A1606" s="46">
        <v>354</v>
      </c>
      <c r="B1606" s="143" t="s">
        <v>26</v>
      </c>
      <c r="C1606" s="165" t="s">
        <v>485</v>
      </c>
      <c r="D1606" s="148">
        <v>0.01</v>
      </c>
      <c r="E1606" s="145" t="s">
        <v>458</v>
      </c>
    </row>
    <row r="1607" spans="1:5" x14ac:dyDescent="0.25">
      <c r="A1607" s="46">
        <v>354</v>
      </c>
      <c r="B1607" s="143" t="s">
        <v>26</v>
      </c>
      <c r="C1607" s="165" t="s">
        <v>1097</v>
      </c>
      <c r="D1607" s="148">
        <v>1E-3</v>
      </c>
      <c r="E1607" s="145" t="s">
        <v>458</v>
      </c>
    </row>
    <row r="1608" spans="1:5" x14ac:dyDescent="0.25">
      <c r="A1608" s="46">
        <v>354</v>
      </c>
      <c r="B1608" s="143" t="s">
        <v>26</v>
      </c>
      <c r="C1608" s="165" t="s">
        <v>470</v>
      </c>
      <c r="D1608" s="148">
        <v>5.0000000000000001E-3</v>
      </c>
      <c r="E1608" s="145" t="s">
        <v>458</v>
      </c>
    </row>
    <row r="1609" spans="1:5" x14ac:dyDescent="0.25">
      <c r="A1609" s="46">
        <v>354</v>
      </c>
      <c r="B1609" s="143" t="s">
        <v>26</v>
      </c>
      <c r="C1609" s="165" t="s">
        <v>1098</v>
      </c>
      <c r="D1609" s="148">
        <v>0.3</v>
      </c>
      <c r="E1609" s="145" t="s">
        <v>448</v>
      </c>
    </row>
    <row r="1610" spans="1:5" x14ac:dyDescent="0.25">
      <c r="A1610" s="46">
        <v>354</v>
      </c>
      <c r="B1610" s="143" t="s">
        <v>26</v>
      </c>
      <c r="C1610" s="165" t="s">
        <v>1099</v>
      </c>
      <c r="D1610" s="148">
        <v>0.05</v>
      </c>
      <c r="E1610" s="145" t="s">
        <v>458</v>
      </c>
    </row>
    <row r="1611" spans="1:5" x14ac:dyDescent="0.25">
      <c r="A1611" s="46">
        <v>354</v>
      </c>
      <c r="B1611" s="143" t="s">
        <v>26</v>
      </c>
      <c r="C1611" s="165" t="s">
        <v>1100</v>
      </c>
      <c r="D1611" s="148">
        <v>0.03</v>
      </c>
      <c r="E1611" s="145" t="s">
        <v>458</v>
      </c>
    </row>
    <row r="1612" spans="1:5" x14ac:dyDescent="0.25">
      <c r="A1612" s="46">
        <v>354</v>
      </c>
      <c r="B1612" s="143" t="s">
        <v>26</v>
      </c>
      <c r="C1612" s="165" t="s">
        <v>478</v>
      </c>
      <c r="D1612" s="148">
        <v>5.0000000000000001E-3</v>
      </c>
      <c r="E1612" s="145" t="s">
        <v>448</v>
      </c>
    </row>
    <row r="1613" spans="1:5" x14ac:dyDescent="0.25">
      <c r="A1613" s="46">
        <v>354</v>
      </c>
      <c r="B1613" s="143" t="s">
        <v>26</v>
      </c>
      <c r="C1613" s="165" t="s">
        <v>516</v>
      </c>
      <c r="D1613" s="148">
        <v>1E-3</v>
      </c>
      <c r="E1613" s="145" t="s">
        <v>458</v>
      </c>
    </row>
    <row r="1614" spans="1:5" x14ac:dyDescent="0.25">
      <c r="A1614" s="46">
        <v>15</v>
      </c>
      <c r="B1614" s="143" t="s">
        <v>161</v>
      </c>
      <c r="C1614" s="90" t="s">
        <v>581</v>
      </c>
      <c r="D1614" s="154">
        <v>1.2E-2</v>
      </c>
      <c r="E1614" s="155" t="s">
        <v>450</v>
      </c>
    </row>
    <row r="1615" spans="1:5" x14ac:dyDescent="0.25">
      <c r="A1615" s="46">
        <v>15</v>
      </c>
      <c r="B1615" s="143" t="s">
        <v>161</v>
      </c>
      <c r="C1615" s="152" t="s">
        <v>511</v>
      </c>
      <c r="D1615" s="154">
        <v>1.2E-2</v>
      </c>
      <c r="E1615" s="155" t="s">
        <v>458</v>
      </c>
    </row>
    <row r="1616" spans="1:5" x14ac:dyDescent="0.25">
      <c r="A1616" s="46">
        <v>15</v>
      </c>
      <c r="B1616" s="143" t="s">
        <v>161</v>
      </c>
      <c r="C1616" s="152" t="s">
        <v>512</v>
      </c>
      <c r="D1616" s="154">
        <v>1.2E-2</v>
      </c>
      <c r="E1616" s="155" t="s">
        <v>458</v>
      </c>
    </row>
    <row r="1617" spans="1:5" x14ac:dyDescent="0.25">
      <c r="A1617" s="46">
        <v>15</v>
      </c>
      <c r="B1617" s="143" t="s">
        <v>161</v>
      </c>
      <c r="C1617" s="90" t="s">
        <v>447</v>
      </c>
      <c r="D1617" s="154">
        <v>0.2</v>
      </c>
      <c r="E1617" s="155" t="s">
        <v>450</v>
      </c>
    </row>
    <row r="1618" spans="1:5" x14ac:dyDescent="0.25">
      <c r="A1618" s="46">
        <v>15</v>
      </c>
      <c r="B1618" s="143" t="s">
        <v>161</v>
      </c>
      <c r="C1618" s="143" t="s">
        <v>449</v>
      </c>
      <c r="D1618" s="154">
        <v>5.0000000000000001E-3</v>
      </c>
      <c r="E1618" s="155" t="s">
        <v>458</v>
      </c>
    </row>
    <row r="1619" spans="1:5" x14ac:dyDescent="0.25">
      <c r="A1619" s="46">
        <v>15</v>
      </c>
      <c r="B1619" s="143" t="s">
        <v>161</v>
      </c>
      <c r="C1619" s="90" t="s">
        <v>488</v>
      </c>
      <c r="D1619" s="154">
        <v>0.01</v>
      </c>
      <c r="E1619" s="155" t="s">
        <v>450</v>
      </c>
    </row>
    <row r="1620" spans="1:5" x14ac:dyDescent="0.25">
      <c r="A1620" s="46">
        <v>15</v>
      </c>
      <c r="B1620" s="143" t="s">
        <v>161</v>
      </c>
      <c r="C1620" s="143" t="s">
        <v>487</v>
      </c>
      <c r="D1620" s="154">
        <v>3.0000000000000001E-3</v>
      </c>
      <c r="E1620" s="155" t="s">
        <v>458</v>
      </c>
    </row>
    <row r="1621" spans="1:5" x14ac:dyDescent="0.25">
      <c r="A1621" s="46">
        <v>15</v>
      </c>
      <c r="B1621" s="143" t="s">
        <v>161</v>
      </c>
      <c r="C1621" s="90" t="s">
        <v>546</v>
      </c>
      <c r="D1621" s="154">
        <v>5.0000000000000001E-3</v>
      </c>
      <c r="E1621" s="155" t="s">
        <v>450</v>
      </c>
    </row>
    <row r="1622" spans="1:5" x14ac:dyDescent="0.25">
      <c r="A1622" s="46">
        <v>15</v>
      </c>
      <c r="B1622" s="143" t="s">
        <v>161</v>
      </c>
      <c r="C1622" s="143" t="s">
        <v>467</v>
      </c>
      <c r="D1622" s="154">
        <v>0.01</v>
      </c>
      <c r="E1622" s="155" t="s">
        <v>448</v>
      </c>
    </row>
    <row r="1623" spans="1:5" x14ac:dyDescent="0.25">
      <c r="A1623" s="46">
        <v>127</v>
      </c>
      <c r="B1623" s="143" t="s">
        <v>19</v>
      </c>
      <c r="C1623" s="152" t="s">
        <v>512</v>
      </c>
      <c r="D1623" s="148">
        <v>0.05</v>
      </c>
      <c r="E1623" s="145" t="s">
        <v>450</v>
      </c>
    </row>
    <row r="1624" spans="1:5" x14ac:dyDescent="0.25">
      <c r="A1624" s="46">
        <v>127</v>
      </c>
      <c r="B1624" s="143" t="s">
        <v>19</v>
      </c>
      <c r="C1624" s="143" t="s">
        <v>833</v>
      </c>
      <c r="D1624" s="148">
        <v>0.02</v>
      </c>
      <c r="E1624" s="145" t="s">
        <v>450</v>
      </c>
    </row>
    <row r="1625" spans="1:5" x14ac:dyDescent="0.25">
      <c r="A1625" s="46">
        <v>127</v>
      </c>
      <c r="B1625" s="143" t="s">
        <v>19</v>
      </c>
      <c r="C1625" s="143" t="s">
        <v>520</v>
      </c>
      <c r="D1625" s="148">
        <v>0.05</v>
      </c>
      <c r="E1625" s="145" t="s">
        <v>448</v>
      </c>
    </row>
    <row r="1626" spans="1:5" x14ac:dyDescent="0.25">
      <c r="A1626" s="46">
        <v>127</v>
      </c>
      <c r="B1626" s="143" t="s">
        <v>19</v>
      </c>
      <c r="C1626" s="167" t="s">
        <v>556</v>
      </c>
      <c r="D1626" s="148">
        <v>1E-3</v>
      </c>
      <c r="E1626" s="145" t="s">
        <v>450</v>
      </c>
    </row>
    <row r="1627" spans="1:5" x14ac:dyDescent="0.25">
      <c r="A1627" s="46">
        <v>127</v>
      </c>
      <c r="B1627" s="143" t="s">
        <v>19</v>
      </c>
      <c r="C1627" s="143" t="s">
        <v>569</v>
      </c>
      <c r="D1627" s="148">
        <v>3.0000000000000001E-3</v>
      </c>
      <c r="E1627" s="145" t="s">
        <v>450</v>
      </c>
    </row>
    <row r="1628" spans="1:5" x14ac:dyDescent="0.25">
      <c r="A1628" s="46">
        <v>127</v>
      </c>
      <c r="B1628" s="143" t="s">
        <v>19</v>
      </c>
      <c r="C1628" s="143" t="s">
        <v>488</v>
      </c>
      <c r="D1628" s="148">
        <v>2E-3</v>
      </c>
      <c r="E1628" s="145" t="s">
        <v>450</v>
      </c>
    </row>
    <row r="1629" spans="1:5" x14ac:dyDescent="0.25">
      <c r="A1629" s="46">
        <v>161</v>
      </c>
      <c r="B1629" s="143" t="s">
        <v>21</v>
      </c>
      <c r="C1629" s="152" t="s">
        <v>511</v>
      </c>
      <c r="D1629" s="141">
        <v>1.2E-2</v>
      </c>
      <c r="E1629" s="141" t="s">
        <v>458</v>
      </c>
    </row>
    <row r="1630" spans="1:5" x14ac:dyDescent="0.25">
      <c r="A1630" s="46">
        <v>161</v>
      </c>
      <c r="B1630" s="143" t="s">
        <v>21</v>
      </c>
      <c r="C1630" s="152" t="s">
        <v>512</v>
      </c>
      <c r="D1630" s="141">
        <v>1.4E-2</v>
      </c>
      <c r="E1630" s="141" t="s">
        <v>458</v>
      </c>
    </row>
    <row r="1631" spans="1:5" x14ac:dyDescent="0.25">
      <c r="A1631" s="46">
        <v>161</v>
      </c>
      <c r="B1631" s="143" t="s">
        <v>21</v>
      </c>
      <c r="C1631" s="90" t="s">
        <v>581</v>
      </c>
      <c r="D1631" s="141">
        <v>1.2E-2</v>
      </c>
      <c r="E1631" s="141" t="s">
        <v>458</v>
      </c>
    </row>
    <row r="1632" spans="1:5" x14ac:dyDescent="0.25">
      <c r="A1632" s="46">
        <v>161</v>
      </c>
      <c r="B1632" s="143" t="s">
        <v>21</v>
      </c>
      <c r="C1632" s="152" t="s">
        <v>502</v>
      </c>
      <c r="D1632" s="141">
        <v>0.01</v>
      </c>
      <c r="E1632" s="141" t="s">
        <v>450</v>
      </c>
    </row>
    <row r="1633" spans="1:5" x14ac:dyDescent="0.25">
      <c r="A1633" s="46">
        <v>161</v>
      </c>
      <c r="B1633" s="143" t="s">
        <v>21</v>
      </c>
      <c r="C1633" s="89" t="s">
        <v>96</v>
      </c>
      <c r="D1633" s="141">
        <v>0.02</v>
      </c>
      <c r="E1633" s="141" t="s">
        <v>450</v>
      </c>
    </row>
    <row r="1634" spans="1:5" x14ac:dyDescent="0.25">
      <c r="A1634" s="46">
        <v>161</v>
      </c>
      <c r="B1634" s="143" t="s">
        <v>21</v>
      </c>
      <c r="C1634" s="89" t="s">
        <v>519</v>
      </c>
      <c r="D1634" s="141">
        <v>1.4999999999999999E-2</v>
      </c>
      <c r="E1634" s="141" t="s">
        <v>448</v>
      </c>
    </row>
    <row r="1635" spans="1:5" x14ac:dyDescent="0.25">
      <c r="A1635" s="46">
        <v>161</v>
      </c>
      <c r="B1635" s="143" t="s">
        <v>21</v>
      </c>
      <c r="C1635" s="89" t="s">
        <v>816</v>
      </c>
      <c r="D1635" s="141">
        <v>3.0000000000000001E-3</v>
      </c>
      <c r="E1635" s="141" t="s">
        <v>450</v>
      </c>
    </row>
    <row r="1636" spans="1:5" x14ac:dyDescent="0.25">
      <c r="A1636" s="46">
        <v>161</v>
      </c>
      <c r="B1636" s="143" t="s">
        <v>21</v>
      </c>
      <c r="C1636" s="89" t="s">
        <v>629</v>
      </c>
      <c r="D1636" s="141">
        <v>3.0000000000000001E-3</v>
      </c>
      <c r="E1636" s="141" t="s">
        <v>450</v>
      </c>
    </row>
    <row r="1637" spans="1:5" x14ac:dyDescent="0.25">
      <c r="A1637" s="46">
        <v>161</v>
      </c>
      <c r="B1637" s="143" t="s">
        <v>21</v>
      </c>
      <c r="C1637" s="89" t="s">
        <v>488</v>
      </c>
      <c r="D1637" s="141">
        <v>2E-3</v>
      </c>
      <c r="E1637" s="141" t="s">
        <v>450</v>
      </c>
    </row>
    <row r="1638" spans="1:5" x14ac:dyDescent="0.25">
      <c r="A1638" s="46">
        <v>161</v>
      </c>
      <c r="B1638" s="143" t="s">
        <v>21</v>
      </c>
      <c r="C1638" s="89" t="s">
        <v>467</v>
      </c>
      <c r="D1638" s="141">
        <v>2E-3</v>
      </c>
      <c r="E1638" s="141" t="s">
        <v>448</v>
      </c>
    </row>
    <row r="1639" spans="1:5" x14ac:dyDescent="0.25">
      <c r="A1639" s="46">
        <v>161</v>
      </c>
      <c r="B1639" s="143" t="s">
        <v>21</v>
      </c>
      <c r="C1639" s="89" t="s">
        <v>487</v>
      </c>
      <c r="D1639" s="141">
        <v>1E-3</v>
      </c>
      <c r="E1639" s="141" t="s">
        <v>450</v>
      </c>
    </row>
    <row r="1640" spans="1:5" x14ac:dyDescent="0.25">
      <c r="A1640" s="46">
        <v>161</v>
      </c>
      <c r="B1640" s="143" t="s">
        <v>21</v>
      </c>
      <c r="C1640" s="89" t="s">
        <v>590</v>
      </c>
      <c r="D1640" s="141">
        <v>0.01</v>
      </c>
      <c r="E1640" s="141" t="s">
        <v>450</v>
      </c>
    </row>
    <row r="1641" spans="1:5" x14ac:dyDescent="0.25">
      <c r="A1641" s="46">
        <v>161</v>
      </c>
      <c r="B1641" s="143" t="s">
        <v>21</v>
      </c>
      <c r="C1641" s="89" t="s">
        <v>584</v>
      </c>
      <c r="D1641" s="141">
        <v>5.0000000000000001E-3</v>
      </c>
      <c r="E1641" s="141" t="s">
        <v>450</v>
      </c>
    </row>
    <row r="1642" spans="1:5" x14ac:dyDescent="0.25">
      <c r="A1642" s="46">
        <v>161</v>
      </c>
      <c r="B1642" s="143" t="s">
        <v>21</v>
      </c>
      <c r="C1642" s="143" t="s">
        <v>578</v>
      </c>
      <c r="D1642" s="141">
        <v>1E-3</v>
      </c>
      <c r="E1642" s="141" t="s">
        <v>448</v>
      </c>
    </row>
    <row r="1643" spans="1:5" x14ac:dyDescent="0.25">
      <c r="A1643" s="46">
        <v>161</v>
      </c>
      <c r="B1643" s="143" t="s">
        <v>21</v>
      </c>
      <c r="C1643" s="89" t="s">
        <v>614</v>
      </c>
      <c r="D1643" s="141">
        <v>5.0000000000000001E-3</v>
      </c>
      <c r="E1643" s="141" t="s">
        <v>450</v>
      </c>
    </row>
    <row r="1644" spans="1:5" x14ac:dyDescent="0.25">
      <c r="A1644" s="46">
        <v>161</v>
      </c>
      <c r="B1644" s="143" t="s">
        <v>21</v>
      </c>
      <c r="C1644" s="89" t="s">
        <v>468</v>
      </c>
      <c r="D1644" s="141">
        <v>2E-3</v>
      </c>
      <c r="E1644" s="141" t="s">
        <v>450</v>
      </c>
    </row>
    <row r="1645" spans="1:5" x14ac:dyDescent="0.25">
      <c r="A1645" s="46">
        <v>341</v>
      </c>
      <c r="B1645" s="143" t="s">
        <v>29</v>
      </c>
      <c r="C1645" s="175" t="s">
        <v>1065</v>
      </c>
      <c r="D1645" s="175">
        <v>5.0000000000000001E-3</v>
      </c>
      <c r="E1645" s="139" t="s">
        <v>450</v>
      </c>
    </row>
    <row r="1646" spans="1:5" x14ac:dyDescent="0.25">
      <c r="A1646" s="46">
        <v>341</v>
      </c>
      <c r="B1646" s="143" t="s">
        <v>29</v>
      </c>
      <c r="C1646" s="175" t="s">
        <v>1066</v>
      </c>
      <c r="D1646" s="175">
        <v>0.13</v>
      </c>
      <c r="E1646" s="139" t="s">
        <v>450</v>
      </c>
    </row>
    <row r="1647" spans="1:5" x14ac:dyDescent="0.25">
      <c r="A1647" s="46">
        <v>341</v>
      </c>
      <c r="B1647" s="143" t="s">
        <v>29</v>
      </c>
      <c r="C1647" s="175" t="s">
        <v>1067</v>
      </c>
      <c r="D1647" s="175">
        <v>1.2999999999999999E-2</v>
      </c>
      <c r="E1647" s="139" t="s">
        <v>450</v>
      </c>
    </row>
    <row r="1648" spans="1:5" x14ac:dyDescent="0.25">
      <c r="A1648" s="46">
        <v>341</v>
      </c>
      <c r="B1648" s="143" t="s">
        <v>29</v>
      </c>
      <c r="C1648" s="175" t="s">
        <v>1068</v>
      </c>
      <c r="D1648" s="175">
        <v>1.2999999999999999E-2</v>
      </c>
      <c r="E1648" s="139" t="s">
        <v>450</v>
      </c>
    </row>
    <row r="1649" spans="1:5" x14ac:dyDescent="0.25">
      <c r="A1649" s="46">
        <v>341</v>
      </c>
      <c r="B1649" s="143" t="s">
        <v>29</v>
      </c>
      <c r="C1649" s="175" t="s">
        <v>935</v>
      </c>
      <c r="D1649" s="175">
        <v>0.12</v>
      </c>
      <c r="E1649" s="139" t="s">
        <v>450</v>
      </c>
    </row>
    <row r="1650" spans="1:5" x14ac:dyDescent="0.25">
      <c r="A1650" s="46">
        <v>341</v>
      </c>
      <c r="B1650" s="143" t="s">
        <v>29</v>
      </c>
      <c r="C1650" s="175" t="s">
        <v>671</v>
      </c>
      <c r="D1650" s="175">
        <v>1E-3</v>
      </c>
      <c r="E1650" s="139" t="s">
        <v>450</v>
      </c>
    </row>
    <row r="1651" spans="1:5" x14ac:dyDescent="0.25">
      <c r="A1651" s="46">
        <v>341</v>
      </c>
      <c r="B1651" s="143" t="s">
        <v>29</v>
      </c>
      <c r="C1651" s="175" t="s">
        <v>1069</v>
      </c>
      <c r="D1651" s="175">
        <v>1E-3</v>
      </c>
      <c r="E1651" s="139" t="s">
        <v>450</v>
      </c>
    </row>
    <row r="1652" spans="1:5" x14ac:dyDescent="0.25">
      <c r="A1652" s="46">
        <v>341</v>
      </c>
      <c r="B1652" s="143" t="s">
        <v>29</v>
      </c>
      <c r="C1652" s="175" t="s">
        <v>516</v>
      </c>
      <c r="D1652" s="175">
        <v>1E-4</v>
      </c>
      <c r="E1652" s="139" t="s">
        <v>450</v>
      </c>
    </row>
    <row r="1653" spans="1:5" x14ac:dyDescent="0.25">
      <c r="A1653" s="46">
        <v>341</v>
      </c>
      <c r="B1653" s="143" t="s">
        <v>29</v>
      </c>
      <c r="C1653" s="175" t="s">
        <v>1070</v>
      </c>
      <c r="D1653" s="175">
        <v>2.5000000000000001E-2</v>
      </c>
      <c r="E1653" s="139" t="s">
        <v>450</v>
      </c>
    </row>
    <row r="1654" spans="1:5" x14ac:dyDescent="0.25">
      <c r="A1654" s="46">
        <v>341</v>
      </c>
      <c r="B1654" s="143" t="s">
        <v>29</v>
      </c>
      <c r="C1654" s="175" t="s">
        <v>1064</v>
      </c>
      <c r="D1654" s="175">
        <v>5.0000000000000001E-4</v>
      </c>
      <c r="E1654" s="139" t="s">
        <v>450</v>
      </c>
    </row>
    <row r="1655" spans="1:5" x14ac:dyDescent="0.25">
      <c r="A1655" s="46">
        <v>341</v>
      </c>
      <c r="B1655" s="143" t="s">
        <v>29</v>
      </c>
      <c r="C1655" s="175" t="s">
        <v>697</v>
      </c>
      <c r="D1655" s="175">
        <v>0.01</v>
      </c>
      <c r="E1655" s="139" t="s">
        <v>450</v>
      </c>
    </row>
    <row r="1656" spans="1:5" x14ac:dyDescent="0.25">
      <c r="A1656" s="46">
        <v>341</v>
      </c>
      <c r="B1656" s="143" t="s">
        <v>29</v>
      </c>
      <c r="C1656" s="175" t="s">
        <v>1071</v>
      </c>
      <c r="D1656" s="175">
        <v>2E-3</v>
      </c>
      <c r="E1656" s="139" t="s">
        <v>450</v>
      </c>
    </row>
    <row r="1657" spans="1:5" x14ac:dyDescent="0.25">
      <c r="A1657" s="46">
        <v>341</v>
      </c>
      <c r="B1657" s="143" t="s">
        <v>29</v>
      </c>
      <c r="C1657" s="175" t="s">
        <v>1072</v>
      </c>
      <c r="D1657" s="175">
        <v>5.0000000000000001E-4</v>
      </c>
      <c r="E1657" s="139" t="s">
        <v>450</v>
      </c>
    </row>
    <row r="1658" spans="1:5" x14ac:dyDescent="0.25">
      <c r="A1658" s="46">
        <v>235</v>
      </c>
      <c r="B1658" s="143" t="s">
        <v>275</v>
      </c>
      <c r="C1658" s="152" t="s">
        <v>511</v>
      </c>
      <c r="D1658" s="144">
        <v>1.2E-2</v>
      </c>
      <c r="E1658" s="141" t="s">
        <v>450</v>
      </c>
    </row>
    <row r="1659" spans="1:5" x14ac:dyDescent="0.25">
      <c r="A1659" s="46">
        <v>235</v>
      </c>
      <c r="B1659" s="143" t="s">
        <v>275</v>
      </c>
      <c r="C1659" s="152" t="s">
        <v>510</v>
      </c>
      <c r="D1659" s="144">
        <v>1.2E-2</v>
      </c>
      <c r="E1659" s="141" t="s">
        <v>450</v>
      </c>
    </row>
    <row r="1660" spans="1:5" x14ac:dyDescent="0.25">
      <c r="A1660" s="46">
        <v>235</v>
      </c>
      <c r="B1660" s="143" t="s">
        <v>275</v>
      </c>
      <c r="C1660" s="152" t="s">
        <v>512</v>
      </c>
      <c r="D1660" s="144">
        <v>1.4E-2</v>
      </c>
      <c r="E1660" s="141" t="s">
        <v>450</v>
      </c>
    </row>
    <row r="1661" spans="1:5" x14ac:dyDescent="0.25">
      <c r="A1661" s="46">
        <v>235</v>
      </c>
      <c r="B1661" s="143" t="s">
        <v>275</v>
      </c>
      <c r="C1661" s="146" t="s">
        <v>935</v>
      </c>
      <c r="D1661" s="144">
        <v>4.4999999999999998E-2</v>
      </c>
      <c r="E1661" s="141" t="s">
        <v>450</v>
      </c>
    </row>
    <row r="1662" spans="1:5" x14ac:dyDescent="0.25">
      <c r="A1662" s="46">
        <v>235</v>
      </c>
      <c r="B1662" s="143" t="s">
        <v>275</v>
      </c>
      <c r="C1662" s="146" t="s">
        <v>936</v>
      </c>
      <c r="D1662" s="144">
        <v>0.08</v>
      </c>
      <c r="E1662" s="141" t="s">
        <v>450</v>
      </c>
    </row>
    <row r="1663" spans="1:5" x14ac:dyDescent="0.25">
      <c r="A1663" s="46">
        <v>235</v>
      </c>
      <c r="B1663" s="143" t="s">
        <v>275</v>
      </c>
      <c r="C1663" s="146" t="s">
        <v>898</v>
      </c>
      <c r="D1663" s="141">
        <v>2E-3</v>
      </c>
      <c r="E1663" s="141" t="s">
        <v>448</v>
      </c>
    </row>
    <row r="1664" spans="1:5" x14ac:dyDescent="0.25">
      <c r="A1664" s="46">
        <v>235</v>
      </c>
      <c r="B1664" s="143" t="s">
        <v>275</v>
      </c>
      <c r="C1664" s="146" t="s">
        <v>937</v>
      </c>
      <c r="D1664" s="141">
        <v>2E-3</v>
      </c>
      <c r="E1664" s="145" t="s">
        <v>450</v>
      </c>
    </row>
    <row r="1665" spans="1:5" x14ac:dyDescent="0.25">
      <c r="A1665" s="46">
        <v>235</v>
      </c>
      <c r="B1665" s="143" t="s">
        <v>275</v>
      </c>
      <c r="C1665" s="89" t="s">
        <v>478</v>
      </c>
      <c r="D1665" s="141">
        <v>2E-3</v>
      </c>
      <c r="E1665" s="141" t="s">
        <v>448</v>
      </c>
    </row>
    <row r="1666" spans="1:5" x14ac:dyDescent="0.25">
      <c r="A1666" s="46">
        <v>235</v>
      </c>
      <c r="B1666" s="143" t="s">
        <v>275</v>
      </c>
      <c r="C1666" s="89" t="s">
        <v>470</v>
      </c>
      <c r="D1666" s="141">
        <v>1E-3</v>
      </c>
      <c r="E1666" s="145" t="s">
        <v>450</v>
      </c>
    </row>
    <row r="1667" spans="1:5" x14ac:dyDescent="0.25">
      <c r="A1667" s="46">
        <v>235</v>
      </c>
      <c r="B1667" s="143" t="s">
        <v>275</v>
      </c>
      <c r="C1667" s="89" t="s">
        <v>516</v>
      </c>
      <c r="D1667" s="141">
        <v>1E-3</v>
      </c>
      <c r="E1667" s="145" t="s">
        <v>450</v>
      </c>
    </row>
    <row r="1668" spans="1:5" x14ac:dyDescent="0.25">
      <c r="A1668" s="46">
        <v>356</v>
      </c>
      <c r="B1668" s="143" t="s">
        <v>20</v>
      </c>
      <c r="C1668" s="165" t="s">
        <v>1068</v>
      </c>
      <c r="D1668" s="148">
        <v>0.02</v>
      </c>
      <c r="E1668" s="145" t="s">
        <v>450</v>
      </c>
    </row>
    <row r="1669" spans="1:5" x14ac:dyDescent="0.25">
      <c r="A1669" s="46">
        <v>356</v>
      </c>
      <c r="B1669" s="143" t="s">
        <v>20</v>
      </c>
      <c r="C1669" s="165" t="s">
        <v>1104</v>
      </c>
      <c r="D1669" s="148">
        <v>0.01</v>
      </c>
      <c r="E1669" s="145" t="s">
        <v>450</v>
      </c>
    </row>
    <row r="1670" spans="1:5" x14ac:dyDescent="0.25">
      <c r="A1670" s="46">
        <v>356</v>
      </c>
      <c r="B1670" s="143" t="s">
        <v>20</v>
      </c>
      <c r="C1670" s="165" t="s">
        <v>1105</v>
      </c>
      <c r="D1670" s="148">
        <v>0.05</v>
      </c>
      <c r="E1670" s="145" t="s">
        <v>450</v>
      </c>
    </row>
    <row r="1671" spans="1:5" x14ac:dyDescent="0.25">
      <c r="A1671" s="46">
        <v>356</v>
      </c>
      <c r="B1671" s="143" t="s">
        <v>20</v>
      </c>
      <c r="C1671" s="165" t="s">
        <v>697</v>
      </c>
      <c r="D1671" s="148">
        <v>2.5000000000000001E-2</v>
      </c>
      <c r="E1671" s="145" t="s">
        <v>450</v>
      </c>
    </row>
    <row r="1672" spans="1:5" x14ac:dyDescent="0.25">
      <c r="A1672" s="46">
        <v>356</v>
      </c>
      <c r="B1672" s="143" t="s">
        <v>20</v>
      </c>
      <c r="C1672" s="165" t="s">
        <v>1106</v>
      </c>
      <c r="D1672" s="148">
        <v>2.5000000000000001E-2</v>
      </c>
      <c r="E1672" s="145" t="s">
        <v>450</v>
      </c>
    </row>
    <row r="1673" spans="1:5" x14ac:dyDescent="0.25">
      <c r="A1673" s="46">
        <v>356</v>
      </c>
      <c r="B1673" s="143" t="s">
        <v>20</v>
      </c>
      <c r="C1673" s="165" t="s">
        <v>1107</v>
      </c>
      <c r="D1673" s="148">
        <v>2.5000000000000001E-2</v>
      </c>
      <c r="E1673" s="145" t="s">
        <v>450</v>
      </c>
    </row>
    <row r="1674" spans="1:5" x14ac:dyDescent="0.25">
      <c r="A1674" s="46">
        <v>356</v>
      </c>
      <c r="B1674" s="143" t="s">
        <v>20</v>
      </c>
      <c r="C1674" s="165" t="s">
        <v>1045</v>
      </c>
      <c r="D1674" s="148">
        <v>2.5000000000000001E-2</v>
      </c>
      <c r="E1674" s="145" t="s">
        <v>450</v>
      </c>
    </row>
    <row r="1675" spans="1:5" x14ac:dyDescent="0.25">
      <c r="A1675" s="46">
        <v>356</v>
      </c>
      <c r="B1675" s="143" t="s">
        <v>20</v>
      </c>
      <c r="C1675" s="89" t="s">
        <v>1108</v>
      </c>
      <c r="D1675" s="141">
        <v>0.01</v>
      </c>
      <c r="E1675" s="145" t="s">
        <v>450</v>
      </c>
    </row>
    <row r="1676" spans="1:5" x14ac:dyDescent="0.25">
      <c r="A1676" s="46">
        <v>356</v>
      </c>
      <c r="B1676" s="143" t="s">
        <v>20</v>
      </c>
      <c r="C1676" s="89" t="s">
        <v>552</v>
      </c>
      <c r="D1676" s="141">
        <v>0.01</v>
      </c>
      <c r="E1676" s="145" t="s">
        <v>450</v>
      </c>
    </row>
    <row r="1677" spans="1:5" x14ac:dyDescent="0.25">
      <c r="A1677" s="46">
        <v>356</v>
      </c>
      <c r="B1677" s="143" t="s">
        <v>20</v>
      </c>
      <c r="C1677" s="89" t="s">
        <v>478</v>
      </c>
      <c r="D1677" s="141">
        <v>5.0000000000000001E-3</v>
      </c>
      <c r="E1677" s="145" t="s">
        <v>448</v>
      </c>
    </row>
    <row r="1678" spans="1:5" x14ac:dyDescent="0.25">
      <c r="A1678" s="46">
        <v>356</v>
      </c>
      <c r="B1678" s="143" t="s">
        <v>20</v>
      </c>
      <c r="C1678" s="89" t="s">
        <v>470</v>
      </c>
      <c r="D1678" s="141">
        <v>2E-3</v>
      </c>
      <c r="E1678" s="145" t="s">
        <v>450</v>
      </c>
    </row>
    <row r="1679" spans="1:5" x14ac:dyDescent="0.25">
      <c r="A1679" s="46">
        <v>356</v>
      </c>
      <c r="B1679" s="143" t="s">
        <v>20</v>
      </c>
      <c r="C1679" s="89" t="s">
        <v>516</v>
      </c>
      <c r="D1679" s="141">
        <v>1E-3</v>
      </c>
      <c r="E1679" s="145" t="s">
        <v>450</v>
      </c>
    </row>
    <row r="1680" spans="1:5" x14ac:dyDescent="0.25">
      <c r="A1680" s="46">
        <v>356</v>
      </c>
      <c r="B1680" s="143" t="s">
        <v>20</v>
      </c>
      <c r="C1680" s="89" t="s">
        <v>1109</v>
      </c>
      <c r="D1680" s="141">
        <v>0.02</v>
      </c>
      <c r="E1680" s="145" t="s">
        <v>450</v>
      </c>
    </row>
    <row r="1681" spans="1:5" x14ac:dyDescent="0.25">
      <c r="A1681" s="46">
        <v>356</v>
      </c>
      <c r="B1681" s="143" t="s">
        <v>20</v>
      </c>
      <c r="C1681" s="89" t="s">
        <v>1063</v>
      </c>
      <c r="D1681" s="141">
        <v>2E-3</v>
      </c>
      <c r="E1681" s="145" t="s">
        <v>450</v>
      </c>
    </row>
    <row r="1682" spans="1:5" x14ac:dyDescent="0.25">
      <c r="A1682" s="46">
        <v>159</v>
      </c>
      <c r="B1682" s="143" t="s">
        <v>32</v>
      </c>
      <c r="C1682" s="152" t="s">
        <v>512</v>
      </c>
      <c r="D1682" s="141">
        <v>1.2E-2</v>
      </c>
      <c r="E1682" s="141" t="s">
        <v>450</v>
      </c>
    </row>
    <row r="1683" spans="1:5" x14ac:dyDescent="0.25">
      <c r="A1683" s="46">
        <v>159</v>
      </c>
      <c r="B1683" s="143" t="s">
        <v>32</v>
      </c>
      <c r="C1683" s="90" t="s">
        <v>581</v>
      </c>
      <c r="D1683" s="141">
        <v>1.4E-2</v>
      </c>
      <c r="E1683" s="141" t="s">
        <v>450</v>
      </c>
    </row>
    <row r="1684" spans="1:5" x14ac:dyDescent="0.25">
      <c r="A1684" s="46">
        <v>159</v>
      </c>
      <c r="B1684" s="143" t="s">
        <v>32</v>
      </c>
      <c r="C1684" s="152" t="s">
        <v>511</v>
      </c>
      <c r="D1684" s="141">
        <v>1.2E-2</v>
      </c>
      <c r="E1684" s="141" t="s">
        <v>450</v>
      </c>
    </row>
    <row r="1685" spans="1:5" x14ac:dyDescent="0.25">
      <c r="A1685" s="46">
        <v>159</v>
      </c>
      <c r="B1685" s="143" t="s">
        <v>32</v>
      </c>
      <c r="C1685" s="89" t="s">
        <v>812</v>
      </c>
      <c r="D1685" s="141">
        <v>1E-3</v>
      </c>
      <c r="E1685" s="141" t="s">
        <v>450</v>
      </c>
    </row>
    <row r="1686" spans="1:5" x14ac:dyDescent="0.25">
      <c r="A1686" s="46">
        <v>159</v>
      </c>
      <c r="B1686" s="143" t="s">
        <v>32</v>
      </c>
      <c r="C1686" s="89" t="s">
        <v>447</v>
      </c>
      <c r="D1686" s="141">
        <v>0.05</v>
      </c>
      <c r="E1686" s="141" t="s">
        <v>450</v>
      </c>
    </row>
    <row r="1687" spans="1:5" x14ac:dyDescent="0.25">
      <c r="A1687" s="46">
        <v>159</v>
      </c>
      <c r="B1687" s="143" t="s">
        <v>32</v>
      </c>
      <c r="C1687" s="89" t="s">
        <v>573</v>
      </c>
      <c r="D1687" s="141">
        <v>1E-3</v>
      </c>
      <c r="E1687" s="141" t="s">
        <v>450</v>
      </c>
    </row>
    <row r="1688" spans="1:5" x14ac:dyDescent="0.25">
      <c r="A1688" s="46">
        <v>159</v>
      </c>
      <c r="B1688" s="143" t="s">
        <v>32</v>
      </c>
      <c r="C1688" s="89" t="s">
        <v>453</v>
      </c>
      <c r="D1688" s="141">
        <v>0.01</v>
      </c>
      <c r="E1688" s="141" t="s">
        <v>450</v>
      </c>
    </row>
    <row r="1689" spans="1:5" x14ac:dyDescent="0.25">
      <c r="A1689" s="46">
        <v>159</v>
      </c>
      <c r="B1689" s="143" t="s">
        <v>32</v>
      </c>
      <c r="C1689" s="89" t="s">
        <v>488</v>
      </c>
      <c r="D1689" s="141">
        <v>2E-3</v>
      </c>
      <c r="E1689" s="141" t="s">
        <v>450</v>
      </c>
    </row>
    <row r="1690" spans="1:5" x14ac:dyDescent="0.25">
      <c r="A1690" s="46">
        <v>159</v>
      </c>
      <c r="B1690" s="143" t="s">
        <v>32</v>
      </c>
      <c r="C1690" s="89" t="s">
        <v>467</v>
      </c>
      <c r="D1690" s="141">
        <v>2E-3</v>
      </c>
      <c r="E1690" s="141" t="s">
        <v>448</v>
      </c>
    </row>
    <row r="1691" spans="1:5" x14ac:dyDescent="0.25">
      <c r="A1691" s="46">
        <v>159</v>
      </c>
      <c r="B1691" s="143" t="s">
        <v>32</v>
      </c>
      <c r="C1691" s="89" t="s">
        <v>487</v>
      </c>
      <c r="D1691" s="141">
        <v>1E-3</v>
      </c>
      <c r="E1691" s="141" t="s">
        <v>450</v>
      </c>
    </row>
    <row r="1692" spans="1:5" x14ac:dyDescent="0.25">
      <c r="A1692" s="46">
        <v>159</v>
      </c>
      <c r="B1692" s="143" t="s">
        <v>32</v>
      </c>
      <c r="C1692" s="89" t="s">
        <v>813</v>
      </c>
      <c r="D1692" s="141">
        <v>0.05</v>
      </c>
      <c r="E1692" s="141" t="s">
        <v>450</v>
      </c>
    </row>
    <row r="1693" spans="1:5" x14ac:dyDescent="0.25">
      <c r="A1693" s="46">
        <v>192</v>
      </c>
      <c r="B1693" s="143" t="s">
        <v>24</v>
      </c>
      <c r="C1693" s="90" t="s">
        <v>581</v>
      </c>
      <c r="D1693" s="148">
        <v>1.2E-2</v>
      </c>
      <c r="E1693" s="145" t="s">
        <v>450</v>
      </c>
    </row>
    <row r="1694" spans="1:5" x14ac:dyDescent="0.25">
      <c r="A1694" s="46">
        <v>192</v>
      </c>
      <c r="B1694" s="143" t="s">
        <v>24</v>
      </c>
      <c r="C1694" s="152" t="s">
        <v>512</v>
      </c>
      <c r="D1694" s="148">
        <v>1.4E-2</v>
      </c>
      <c r="E1694" s="145" t="s">
        <v>450</v>
      </c>
    </row>
    <row r="1695" spans="1:5" x14ac:dyDescent="0.25">
      <c r="A1695" s="46">
        <v>192</v>
      </c>
      <c r="B1695" s="143" t="s">
        <v>24</v>
      </c>
      <c r="C1695" s="152" t="s">
        <v>511</v>
      </c>
      <c r="D1695" s="148">
        <v>1.2E-2</v>
      </c>
      <c r="E1695" s="145" t="s">
        <v>450</v>
      </c>
    </row>
    <row r="1696" spans="1:5" x14ac:dyDescent="0.25">
      <c r="A1696" s="46">
        <v>192</v>
      </c>
      <c r="B1696" s="143" t="s">
        <v>24</v>
      </c>
      <c r="C1696" s="143" t="s">
        <v>568</v>
      </c>
      <c r="D1696" s="148">
        <v>5.0000000000000001E-3</v>
      </c>
      <c r="E1696" s="145" t="s">
        <v>450</v>
      </c>
    </row>
    <row r="1697" spans="1:5" x14ac:dyDescent="0.25">
      <c r="A1697" s="46">
        <v>192</v>
      </c>
      <c r="B1697" s="143" t="s">
        <v>24</v>
      </c>
      <c r="C1697" s="143" t="s">
        <v>846</v>
      </c>
      <c r="D1697" s="148">
        <v>5.0000000000000001E-3</v>
      </c>
      <c r="E1697" s="145" t="s">
        <v>450</v>
      </c>
    </row>
    <row r="1698" spans="1:5" x14ac:dyDescent="0.25">
      <c r="A1698" s="46">
        <v>192</v>
      </c>
      <c r="B1698" s="143" t="s">
        <v>24</v>
      </c>
      <c r="C1698" s="143" t="s">
        <v>475</v>
      </c>
      <c r="D1698" s="148">
        <v>5.0000000000000001E-3</v>
      </c>
      <c r="E1698" s="145" t="s">
        <v>458</v>
      </c>
    </row>
    <row r="1699" spans="1:5" x14ac:dyDescent="0.25">
      <c r="A1699" s="46">
        <v>192</v>
      </c>
      <c r="B1699" s="143" t="s">
        <v>24</v>
      </c>
      <c r="C1699" s="143" t="s">
        <v>865</v>
      </c>
      <c r="D1699" s="148">
        <v>0.01</v>
      </c>
      <c r="E1699" s="145" t="s">
        <v>450</v>
      </c>
    </row>
    <row r="1700" spans="1:5" x14ac:dyDescent="0.25">
      <c r="A1700" s="46">
        <v>192</v>
      </c>
      <c r="B1700" s="143" t="s">
        <v>24</v>
      </c>
      <c r="C1700" s="143" t="s">
        <v>478</v>
      </c>
      <c r="D1700" s="148">
        <v>3.0000000000000001E-3</v>
      </c>
      <c r="E1700" s="145" t="s">
        <v>448</v>
      </c>
    </row>
    <row r="1701" spans="1:5" x14ac:dyDescent="0.25">
      <c r="A1701" s="46">
        <v>192</v>
      </c>
      <c r="B1701" s="143" t="s">
        <v>24</v>
      </c>
      <c r="C1701" s="152" t="s">
        <v>512</v>
      </c>
      <c r="D1701" s="148">
        <v>0.08</v>
      </c>
      <c r="E1701" s="145" t="s">
        <v>458</v>
      </c>
    </row>
    <row r="1702" spans="1:5" x14ac:dyDescent="0.25">
      <c r="A1702" s="46">
        <v>192</v>
      </c>
      <c r="B1702" s="143" t="s">
        <v>24</v>
      </c>
      <c r="C1702" s="143" t="s">
        <v>470</v>
      </c>
      <c r="D1702" s="148">
        <v>2E-3</v>
      </c>
      <c r="E1702" s="145" t="s">
        <v>450</v>
      </c>
    </row>
    <row r="1703" spans="1:5" x14ac:dyDescent="0.25">
      <c r="A1703" s="46">
        <v>192</v>
      </c>
      <c r="B1703" s="143" t="s">
        <v>24</v>
      </c>
      <c r="C1703" s="143" t="s">
        <v>516</v>
      </c>
      <c r="D1703" s="148">
        <v>1E-3</v>
      </c>
      <c r="E1703" s="145" t="s">
        <v>450</v>
      </c>
    </row>
    <row r="1704" spans="1:5" x14ac:dyDescent="0.25">
      <c r="A1704" s="47">
        <v>262</v>
      </c>
      <c r="B1704" s="143" t="s">
        <v>293</v>
      </c>
      <c r="C1704" s="152" t="s">
        <v>510</v>
      </c>
      <c r="D1704" s="141">
        <v>1.2E-2</v>
      </c>
      <c r="E1704" s="145" t="s">
        <v>450</v>
      </c>
    </row>
    <row r="1705" spans="1:5" x14ac:dyDescent="0.25">
      <c r="A1705" s="47">
        <v>262</v>
      </c>
      <c r="B1705" s="143" t="s">
        <v>293</v>
      </c>
      <c r="C1705" s="152" t="s">
        <v>511</v>
      </c>
      <c r="D1705" s="141">
        <v>1.2E-2</v>
      </c>
      <c r="E1705" s="145" t="s">
        <v>450</v>
      </c>
    </row>
    <row r="1706" spans="1:5" x14ac:dyDescent="0.25">
      <c r="A1706" s="47">
        <v>262</v>
      </c>
      <c r="B1706" s="143" t="s">
        <v>293</v>
      </c>
      <c r="C1706" s="152" t="s">
        <v>512</v>
      </c>
      <c r="D1706" s="141">
        <v>1.4E-2</v>
      </c>
      <c r="E1706" s="145" t="s">
        <v>450</v>
      </c>
    </row>
    <row r="1707" spans="1:5" x14ac:dyDescent="0.25">
      <c r="A1707" s="47">
        <v>262</v>
      </c>
      <c r="B1707" s="143" t="s">
        <v>293</v>
      </c>
      <c r="C1707" s="152" t="s">
        <v>521</v>
      </c>
      <c r="D1707" s="141">
        <v>1.4999999999999999E-2</v>
      </c>
      <c r="E1707" s="145" t="s">
        <v>450</v>
      </c>
    </row>
    <row r="1708" spans="1:5" x14ac:dyDescent="0.25">
      <c r="A1708" s="47">
        <v>262</v>
      </c>
      <c r="B1708" s="143" t="s">
        <v>293</v>
      </c>
      <c r="C1708" s="152" t="s">
        <v>482</v>
      </c>
      <c r="D1708" s="141">
        <v>0.02</v>
      </c>
      <c r="E1708" s="145" t="s">
        <v>450</v>
      </c>
    </row>
    <row r="1709" spans="1:5" x14ac:dyDescent="0.25">
      <c r="A1709" s="47">
        <v>262</v>
      </c>
      <c r="B1709" s="143" t="s">
        <v>293</v>
      </c>
      <c r="C1709" s="152" t="s">
        <v>522</v>
      </c>
      <c r="D1709" s="141">
        <v>0.05</v>
      </c>
      <c r="E1709" s="145" t="s">
        <v>450</v>
      </c>
    </row>
    <row r="1710" spans="1:5" x14ac:dyDescent="0.25">
      <c r="A1710" s="47">
        <v>262</v>
      </c>
      <c r="B1710" s="143" t="s">
        <v>293</v>
      </c>
      <c r="C1710" s="152" t="s">
        <v>523</v>
      </c>
      <c r="D1710" s="141">
        <v>1.4999999999999999E-2</v>
      </c>
      <c r="E1710" s="145" t="s">
        <v>450</v>
      </c>
    </row>
    <row r="1711" spans="1:5" x14ac:dyDescent="0.25">
      <c r="A1711" s="47">
        <v>262</v>
      </c>
      <c r="B1711" s="143" t="s">
        <v>293</v>
      </c>
      <c r="C1711" s="152" t="s">
        <v>474</v>
      </c>
      <c r="D1711" s="141">
        <v>1.4999999999999999E-2</v>
      </c>
      <c r="E1711" s="145" t="s">
        <v>450</v>
      </c>
    </row>
    <row r="1712" spans="1:5" x14ac:dyDescent="0.25">
      <c r="A1712" s="46">
        <v>10</v>
      </c>
      <c r="B1712" s="143" t="s">
        <v>156</v>
      </c>
      <c r="C1712" s="152" t="s">
        <v>511</v>
      </c>
      <c r="D1712" s="154">
        <v>1.2E-2</v>
      </c>
      <c r="E1712" s="155" t="s">
        <v>458</v>
      </c>
    </row>
    <row r="1713" spans="1:5" x14ac:dyDescent="0.25">
      <c r="A1713" s="46">
        <v>10</v>
      </c>
      <c r="B1713" s="143" t="s">
        <v>156</v>
      </c>
      <c r="C1713" s="90" t="s">
        <v>581</v>
      </c>
      <c r="D1713" s="154">
        <v>1.2E-2</v>
      </c>
      <c r="E1713" s="155" t="s">
        <v>458</v>
      </c>
    </row>
    <row r="1714" spans="1:5" x14ac:dyDescent="0.25">
      <c r="A1714" s="46">
        <v>10</v>
      </c>
      <c r="B1714" s="143" t="s">
        <v>156</v>
      </c>
      <c r="C1714" s="152" t="s">
        <v>512</v>
      </c>
      <c r="D1714" s="154">
        <v>1.2E-2</v>
      </c>
      <c r="E1714" s="155" t="s">
        <v>450</v>
      </c>
    </row>
    <row r="1715" spans="1:5" x14ac:dyDescent="0.25">
      <c r="A1715" s="46">
        <v>10</v>
      </c>
      <c r="B1715" s="143" t="s">
        <v>156</v>
      </c>
      <c r="C1715" s="90" t="s">
        <v>683</v>
      </c>
      <c r="D1715" s="154">
        <v>0.02</v>
      </c>
      <c r="E1715" s="155" t="s">
        <v>450</v>
      </c>
    </row>
    <row r="1716" spans="1:5" x14ac:dyDescent="0.25">
      <c r="A1716" s="46">
        <v>10</v>
      </c>
      <c r="B1716" s="143" t="s">
        <v>156</v>
      </c>
      <c r="C1716" s="90" t="s">
        <v>465</v>
      </c>
      <c r="D1716" s="154">
        <v>0.02</v>
      </c>
      <c r="E1716" s="155" t="s">
        <v>458</v>
      </c>
    </row>
    <row r="1717" spans="1:5" x14ac:dyDescent="0.25">
      <c r="A1717" s="46">
        <v>10</v>
      </c>
      <c r="B1717" s="143" t="s">
        <v>156</v>
      </c>
      <c r="C1717" s="90" t="s">
        <v>684</v>
      </c>
      <c r="D1717" s="154">
        <v>1.7999999999999999E-2</v>
      </c>
      <c r="E1717" s="155" t="s">
        <v>458</v>
      </c>
    </row>
    <row r="1718" spans="1:5" x14ac:dyDescent="0.25">
      <c r="A1718" s="46">
        <v>10</v>
      </c>
      <c r="B1718" s="143" t="s">
        <v>156</v>
      </c>
      <c r="C1718" s="90" t="s">
        <v>488</v>
      </c>
      <c r="D1718" s="154">
        <v>0.01</v>
      </c>
      <c r="E1718" s="155" t="s">
        <v>450</v>
      </c>
    </row>
    <row r="1719" spans="1:5" x14ac:dyDescent="0.25">
      <c r="A1719" s="46">
        <v>10</v>
      </c>
      <c r="B1719" s="143" t="s">
        <v>156</v>
      </c>
      <c r="C1719" s="143" t="s">
        <v>487</v>
      </c>
      <c r="D1719" s="154">
        <v>3.0000000000000001E-3</v>
      </c>
      <c r="E1719" s="155" t="s">
        <v>458</v>
      </c>
    </row>
    <row r="1720" spans="1:5" x14ac:dyDescent="0.25">
      <c r="A1720" s="46">
        <v>10</v>
      </c>
      <c r="B1720" s="143" t="s">
        <v>156</v>
      </c>
      <c r="C1720" s="143" t="s">
        <v>467</v>
      </c>
      <c r="D1720" s="154">
        <v>2.5000000000000001E-2</v>
      </c>
      <c r="E1720" s="155" t="s">
        <v>448</v>
      </c>
    </row>
    <row r="1721" spans="1:5" x14ac:dyDescent="0.25">
      <c r="A1721" s="46">
        <v>242</v>
      </c>
      <c r="B1721" s="143" t="s">
        <v>281</v>
      </c>
      <c r="C1721" s="90" t="s">
        <v>581</v>
      </c>
      <c r="D1721" s="141">
        <v>1.2E-2</v>
      </c>
      <c r="E1721" s="145" t="s">
        <v>450</v>
      </c>
    </row>
    <row r="1722" spans="1:5" x14ac:dyDescent="0.25">
      <c r="A1722" s="46">
        <v>242</v>
      </c>
      <c r="B1722" s="143" t="s">
        <v>281</v>
      </c>
      <c r="C1722" s="152" t="s">
        <v>511</v>
      </c>
      <c r="D1722" s="141">
        <v>1.2E-2</v>
      </c>
      <c r="E1722" s="145" t="s">
        <v>450</v>
      </c>
    </row>
    <row r="1723" spans="1:5" x14ac:dyDescent="0.25">
      <c r="A1723" s="46">
        <v>242</v>
      </c>
      <c r="B1723" s="143" t="s">
        <v>281</v>
      </c>
      <c r="C1723" s="152" t="s">
        <v>512</v>
      </c>
      <c r="D1723" s="141">
        <v>1.4E-2</v>
      </c>
      <c r="E1723" s="145" t="s">
        <v>450</v>
      </c>
    </row>
    <row r="1724" spans="1:5" x14ac:dyDescent="0.25">
      <c r="A1724" s="46">
        <v>242</v>
      </c>
      <c r="B1724" s="143" t="s">
        <v>281</v>
      </c>
      <c r="C1724" s="143" t="s">
        <v>571</v>
      </c>
      <c r="D1724" s="141">
        <v>0.03</v>
      </c>
      <c r="E1724" s="145" t="s">
        <v>450</v>
      </c>
    </row>
    <row r="1725" spans="1:5" x14ac:dyDescent="0.25">
      <c r="A1725" s="46">
        <v>242</v>
      </c>
      <c r="B1725" s="143" t="s">
        <v>281</v>
      </c>
      <c r="C1725" s="89" t="s">
        <v>827</v>
      </c>
      <c r="D1725" s="141">
        <v>8.0000000000000002E-3</v>
      </c>
      <c r="E1725" s="145" t="s">
        <v>450</v>
      </c>
    </row>
    <row r="1726" spans="1:5" x14ac:dyDescent="0.25">
      <c r="A1726" s="46">
        <v>242</v>
      </c>
      <c r="B1726" s="143" t="s">
        <v>281</v>
      </c>
      <c r="C1726" s="89" t="s">
        <v>945</v>
      </c>
      <c r="D1726" s="141">
        <v>0.01</v>
      </c>
      <c r="E1726" s="145" t="s">
        <v>450</v>
      </c>
    </row>
    <row r="1727" spans="1:5" x14ac:dyDescent="0.25">
      <c r="A1727" s="46">
        <v>242</v>
      </c>
      <c r="B1727" s="143" t="s">
        <v>281</v>
      </c>
      <c r="C1727" s="89" t="s">
        <v>485</v>
      </c>
      <c r="D1727" s="141">
        <v>5.0000000000000001E-3</v>
      </c>
      <c r="E1727" s="145" t="s">
        <v>450</v>
      </c>
    </row>
    <row r="1728" spans="1:5" x14ac:dyDescent="0.25">
      <c r="A1728" s="46">
        <v>242</v>
      </c>
      <c r="B1728" s="143" t="s">
        <v>281</v>
      </c>
      <c r="C1728" s="89" t="s">
        <v>478</v>
      </c>
      <c r="D1728" s="141">
        <v>3.0000000000000001E-3</v>
      </c>
      <c r="E1728" s="141" t="s">
        <v>448</v>
      </c>
    </row>
    <row r="1729" spans="1:5" x14ac:dyDescent="0.25">
      <c r="A1729" s="46">
        <v>242</v>
      </c>
      <c r="B1729" s="143" t="s">
        <v>281</v>
      </c>
      <c r="C1729" s="89" t="s">
        <v>470</v>
      </c>
      <c r="D1729" s="141">
        <v>1E-3</v>
      </c>
      <c r="E1729" s="145" t="s">
        <v>450</v>
      </c>
    </row>
    <row r="1730" spans="1:5" x14ac:dyDescent="0.25">
      <c r="A1730" s="46">
        <v>242</v>
      </c>
      <c r="B1730" s="143" t="s">
        <v>281</v>
      </c>
      <c r="C1730" s="89" t="s">
        <v>516</v>
      </c>
      <c r="D1730" s="141">
        <v>1E-3</v>
      </c>
      <c r="E1730" s="145" t="s">
        <v>450</v>
      </c>
    </row>
    <row r="1731" spans="1:5" x14ac:dyDescent="0.25">
      <c r="A1731" s="46">
        <v>14</v>
      </c>
      <c r="B1731" s="143" t="s">
        <v>160</v>
      </c>
      <c r="C1731" s="152" t="s">
        <v>511</v>
      </c>
      <c r="D1731" s="154">
        <v>1.2E-2</v>
      </c>
      <c r="E1731" s="155" t="s">
        <v>458</v>
      </c>
    </row>
    <row r="1732" spans="1:5" x14ac:dyDescent="0.25">
      <c r="A1732" s="46">
        <v>14</v>
      </c>
      <c r="B1732" s="143" t="s">
        <v>160</v>
      </c>
      <c r="C1732" s="90" t="s">
        <v>581</v>
      </c>
      <c r="D1732" s="154">
        <v>1.2E-2</v>
      </c>
      <c r="E1732" s="155" t="s">
        <v>458</v>
      </c>
    </row>
    <row r="1733" spans="1:5" x14ac:dyDescent="0.25">
      <c r="A1733" s="46">
        <v>14</v>
      </c>
      <c r="B1733" s="143" t="s">
        <v>160</v>
      </c>
      <c r="C1733" s="152" t="s">
        <v>512</v>
      </c>
      <c r="D1733" s="154">
        <v>1.2E-2</v>
      </c>
      <c r="E1733" s="155" t="s">
        <v>450</v>
      </c>
    </row>
    <row r="1734" spans="1:5" x14ac:dyDescent="0.25">
      <c r="A1734" s="46">
        <v>14</v>
      </c>
      <c r="B1734" s="143" t="s">
        <v>160</v>
      </c>
      <c r="C1734" s="90" t="s">
        <v>522</v>
      </c>
      <c r="D1734" s="154">
        <v>2.5000000000000001E-2</v>
      </c>
      <c r="E1734" s="155" t="s">
        <v>450</v>
      </c>
    </row>
    <row r="1735" spans="1:5" x14ac:dyDescent="0.25">
      <c r="A1735" s="46">
        <v>14</v>
      </c>
      <c r="B1735" s="143" t="s">
        <v>160</v>
      </c>
      <c r="C1735" s="90" t="s">
        <v>482</v>
      </c>
      <c r="D1735" s="154">
        <v>1E-3</v>
      </c>
      <c r="E1735" s="155" t="s">
        <v>458</v>
      </c>
    </row>
    <row r="1736" spans="1:5" x14ac:dyDescent="0.25">
      <c r="A1736" s="46">
        <v>14</v>
      </c>
      <c r="B1736" s="143" t="s">
        <v>160</v>
      </c>
      <c r="C1736" s="90" t="s">
        <v>689</v>
      </c>
      <c r="D1736" s="154">
        <v>2E-3</v>
      </c>
      <c r="E1736" s="155" t="s">
        <v>448</v>
      </c>
    </row>
    <row r="1737" spans="1:5" x14ac:dyDescent="0.25">
      <c r="A1737" s="46">
        <v>14</v>
      </c>
      <c r="B1737" s="143" t="s">
        <v>160</v>
      </c>
      <c r="C1737" s="90" t="s">
        <v>488</v>
      </c>
      <c r="D1737" s="154">
        <v>0.01</v>
      </c>
      <c r="E1737" s="155" t="s">
        <v>450</v>
      </c>
    </row>
    <row r="1738" spans="1:5" x14ac:dyDescent="0.25">
      <c r="A1738" s="46">
        <v>14</v>
      </c>
      <c r="B1738" s="143" t="s">
        <v>160</v>
      </c>
      <c r="C1738" s="90" t="s">
        <v>690</v>
      </c>
      <c r="D1738" s="154">
        <v>2E-3</v>
      </c>
      <c r="E1738" s="155" t="s">
        <v>458</v>
      </c>
    </row>
    <row r="1739" spans="1:5" x14ac:dyDescent="0.25">
      <c r="A1739" s="46">
        <v>14</v>
      </c>
      <c r="B1739" s="143" t="s">
        <v>160</v>
      </c>
      <c r="C1739" s="143" t="s">
        <v>487</v>
      </c>
      <c r="D1739" s="154">
        <v>3.0000000000000001E-3</v>
      </c>
      <c r="E1739" s="155" t="s">
        <v>458</v>
      </c>
    </row>
    <row r="1740" spans="1:5" x14ac:dyDescent="0.25">
      <c r="A1740" s="46">
        <v>14</v>
      </c>
      <c r="B1740" s="143" t="s">
        <v>160</v>
      </c>
      <c r="C1740" s="143" t="s">
        <v>476</v>
      </c>
      <c r="D1740" s="154">
        <v>3.0000000000000001E-3</v>
      </c>
      <c r="E1740" s="155" t="s">
        <v>458</v>
      </c>
    </row>
    <row r="1741" spans="1:5" x14ac:dyDescent="0.25">
      <c r="A1741" s="46">
        <v>14</v>
      </c>
      <c r="B1741" s="143" t="s">
        <v>160</v>
      </c>
      <c r="C1741" s="90" t="s">
        <v>520</v>
      </c>
      <c r="D1741" s="154">
        <v>0.05</v>
      </c>
      <c r="E1741" s="155" t="s">
        <v>450</v>
      </c>
    </row>
    <row r="1742" spans="1:5" x14ac:dyDescent="0.25">
      <c r="A1742" s="46">
        <v>14</v>
      </c>
      <c r="B1742" s="143" t="s">
        <v>160</v>
      </c>
      <c r="C1742" s="143" t="s">
        <v>467</v>
      </c>
      <c r="D1742" s="154">
        <v>2E-3</v>
      </c>
      <c r="E1742" s="155" t="s">
        <v>448</v>
      </c>
    </row>
    <row r="1743" spans="1:5" x14ac:dyDescent="0.25">
      <c r="A1743" s="46">
        <v>148</v>
      </c>
      <c r="B1743" s="143" t="s">
        <v>229</v>
      </c>
      <c r="C1743" s="90" t="s">
        <v>581</v>
      </c>
      <c r="D1743" s="144">
        <v>1.2E-2</v>
      </c>
      <c r="E1743" s="142" t="s">
        <v>458</v>
      </c>
    </row>
    <row r="1744" spans="1:5" x14ac:dyDescent="0.25">
      <c r="A1744" s="46">
        <v>148</v>
      </c>
      <c r="B1744" s="143" t="s">
        <v>229</v>
      </c>
      <c r="C1744" s="152" t="s">
        <v>511</v>
      </c>
      <c r="D1744" s="144">
        <v>1.4E-2</v>
      </c>
      <c r="E1744" s="142" t="s">
        <v>458</v>
      </c>
    </row>
    <row r="1745" spans="1:5" x14ac:dyDescent="0.25">
      <c r="A1745" s="46">
        <v>148</v>
      </c>
      <c r="B1745" s="143" t="s">
        <v>229</v>
      </c>
      <c r="C1745" s="152" t="s">
        <v>512</v>
      </c>
      <c r="D1745" s="144">
        <v>1.2E-2</v>
      </c>
      <c r="E1745" s="142" t="s">
        <v>450</v>
      </c>
    </row>
    <row r="1746" spans="1:5" x14ac:dyDescent="0.25">
      <c r="A1746" s="46">
        <v>148</v>
      </c>
      <c r="B1746" s="143" t="s">
        <v>229</v>
      </c>
      <c r="C1746" s="143" t="s">
        <v>660</v>
      </c>
      <c r="D1746" s="144">
        <v>0.04</v>
      </c>
      <c r="E1746" s="142" t="s">
        <v>450</v>
      </c>
    </row>
    <row r="1747" spans="1:5" x14ac:dyDescent="0.25">
      <c r="A1747" s="46">
        <v>148</v>
      </c>
      <c r="B1747" s="143" t="s">
        <v>229</v>
      </c>
      <c r="C1747" s="143" t="s">
        <v>487</v>
      </c>
      <c r="D1747" s="144">
        <v>2E-3</v>
      </c>
      <c r="E1747" s="142" t="s">
        <v>450</v>
      </c>
    </row>
    <row r="1748" spans="1:5" x14ac:dyDescent="0.25">
      <c r="A1748" s="46">
        <v>148</v>
      </c>
      <c r="B1748" s="143" t="s">
        <v>229</v>
      </c>
      <c r="C1748" s="143" t="s">
        <v>764</v>
      </c>
      <c r="D1748" s="144">
        <v>0.02</v>
      </c>
      <c r="E1748" s="142" t="s">
        <v>450</v>
      </c>
    </row>
    <row r="1749" spans="1:5" x14ac:dyDescent="0.25">
      <c r="A1749" s="46">
        <v>148</v>
      </c>
      <c r="B1749" s="143" t="s">
        <v>229</v>
      </c>
      <c r="C1749" s="143" t="s">
        <v>488</v>
      </c>
      <c r="D1749" s="144">
        <v>2E-3</v>
      </c>
      <c r="E1749" s="142" t="s">
        <v>450</v>
      </c>
    </row>
    <row r="1750" spans="1:5" x14ac:dyDescent="0.25">
      <c r="A1750" s="46">
        <v>148</v>
      </c>
      <c r="B1750" s="143" t="s">
        <v>229</v>
      </c>
      <c r="C1750" s="143" t="s">
        <v>467</v>
      </c>
      <c r="D1750" s="144">
        <v>2E-3</v>
      </c>
      <c r="E1750" s="142" t="s">
        <v>448</v>
      </c>
    </row>
    <row r="1751" spans="1:5" x14ac:dyDescent="0.25">
      <c r="A1751" s="46">
        <v>148</v>
      </c>
      <c r="B1751" s="143" t="s">
        <v>229</v>
      </c>
      <c r="C1751" s="143" t="s">
        <v>802</v>
      </c>
      <c r="D1751" s="144">
        <v>5.0000000000000001E-3</v>
      </c>
      <c r="E1751" s="142" t="s">
        <v>450</v>
      </c>
    </row>
    <row r="1752" spans="1:5" x14ac:dyDescent="0.25">
      <c r="A1752" s="46"/>
      <c r="B1752" s="143"/>
      <c r="C1752" s="90"/>
      <c r="D1752" s="144"/>
      <c r="E1752" s="142"/>
    </row>
    <row r="1753" spans="1:5" x14ac:dyDescent="0.25">
      <c r="A1753" s="46"/>
      <c r="B1753" s="143"/>
      <c r="C1753" s="152"/>
      <c r="D1753" s="144"/>
      <c r="E1753" s="142"/>
    </row>
    <row r="1754" spans="1:5" x14ac:dyDescent="0.25">
      <c r="A1754" s="46">
        <v>19</v>
      </c>
      <c r="B1754" s="143" t="s">
        <v>25</v>
      </c>
      <c r="C1754" s="152" t="s">
        <v>512</v>
      </c>
      <c r="D1754" s="184">
        <v>1.2E-2</v>
      </c>
      <c r="E1754" s="155" t="s">
        <v>450</v>
      </c>
    </row>
    <row r="1755" spans="1:5" x14ac:dyDescent="0.25">
      <c r="A1755" s="46">
        <v>19</v>
      </c>
      <c r="B1755" s="143" t="s">
        <v>25</v>
      </c>
      <c r="C1755" s="152" t="s">
        <v>511</v>
      </c>
      <c r="D1755" s="184">
        <v>1.2E-2</v>
      </c>
      <c r="E1755" s="155" t="s">
        <v>450</v>
      </c>
    </row>
    <row r="1756" spans="1:5" x14ac:dyDescent="0.25">
      <c r="A1756" s="46">
        <v>19</v>
      </c>
      <c r="B1756" s="143" t="s">
        <v>25</v>
      </c>
      <c r="C1756" s="90" t="s">
        <v>581</v>
      </c>
      <c r="D1756" s="154">
        <v>1.2E-2</v>
      </c>
      <c r="E1756" s="155" t="s">
        <v>450</v>
      </c>
    </row>
    <row r="1757" spans="1:5" x14ac:dyDescent="0.25">
      <c r="A1757" s="46">
        <v>19</v>
      </c>
      <c r="B1757" s="143" t="s">
        <v>25</v>
      </c>
      <c r="C1757" s="143" t="s">
        <v>523</v>
      </c>
      <c r="D1757" s="144">
        <v>2.5000000000000001E-2</v>
      </c>
      <c r="E1757" s="142" t="s">
        <v>450</v>
      </c>
    </row>
    <row r="1758" spans="1:5" x14ac:dyDescent="0.25">
      <c r="A1758" s="46">
        <v>19</v>
      </c>
      <c r="B1758" s="143" t="s">
        <v>25</v>
      </c>
      <c r="C1758" s="143" t="s">
        <v>124</v>
      </c>
      <c r="D1758" s="144">
        <v>0.03</v>
      </c>
      <c r="E1758" s="142" t="s">
        <v>450</v>
      </c>
    </row>
    <row r="1759" spans="1:5" x14ac:dyDescent="0.25">
      <c r="A1759" s="46">
        <v>19</v>
      </c>
      <c r="B1759" s="143" t="s">
        <v>25</v>
      </c>
      <c r="C1759" s="143" t="s">
        <v>449</v>
      </c>
      <c r="D1759" s="144">
        <v>5.0000000000000001E-3</v>
      </c>
      <c r="E1759" s="142" t="s">
        <v>450</v>
      </c>
    </row>
    <row r="1760" spans="1:5" x14ac:dyDescent="0.25">
      <c r="A1760" s="46">
        <v>19</v>
      </c>
      <c r="B1760" s="143" t="s">
        <v>25</v>
      </c>
      <c r="C1760" s="143" t="s">
        <v>488</v>
      </c>
      <c r="D1760" s="144">
        <v>2E-3</v>
      </c>
      <c r="E1760" s="142" t="s">
        <v>450</v>
      </c>
    </row>
    <row r="1761" spans="1:5" x14ac:dyDescent="0.25">
      <c r="A1761" s="46">
        <v>19</v>
      </c>
      <c r="B1761" s="143" t="s">
        <v>25</v>
      </c>
      <c r="C1761" s="143" t="s">
        <v>467</v>
      </c>
      <c r="D1761" s="144">
        <v>2E-3</v>
      </c>
      <c r="E1761" s="142" t="s">
        <v>448</v>
      </c>
    </row>
    <row r="1762" spans="1:5" x14ac:dyDescent="0.25">
      <c r="A1762" s="46">
        <v>19</v>
      </c>
      <c r="B1762" s="143" t="s">
        <v>25</v>
      </c>
      <c r="C1762" s="143" t="s">
        <v>487</v>
      </c>
      <c r="D1762" s="144">
        <v>1E-3</v>
      </c>
      <c r="E1762" s="142" t="s">
        <v>450</v>
      </c>
    </row>
    <row r="1763" spans="1:5" x14ac:dyDescent="0.25">
      <c r="A1763" s="46">
        <v>19</v>
      </c>
      <c r="B1763" s="143" t="s">
        <v>25</v>
      </c>
      <c r="C1763" s="143" t="s">
        <v>585</v>
      </c>
      <c r="D1763" s="144">
        <v>0.02</v>
      </c>
      <c r="E1763" s="142" t="s">
        <v>450</v>
      </c>
    </row>
    <row r="1764" spans="1:5" x14ac:dyDescent="0.25">
      <c r="A1764" s="46">
        <v>19</v>
      </c>
      <c r="B1764" s="143" t="s">
        <v>25</v>
      </c>
      <c r="C1764" s="143" t="s">
        <v>586</v>
      </c>
      <c r="D1764" s="144">
        <v>1E-3</v>
      </c>
      <c r="E1764" s="142" t="s">
        <v>450</v>
      </c>
    </row>
    <row r="1765" spans="1:5" x14ac:dyDescent="0.25">
      <c r="A1765" s="46">
        <v>19</v>
      </c>
      <c r="B1765" s="143" t="s">
        <v>25</v>
      </c>
      <c r="C1765" s="143" t="s">
        <v>587</v>
      </c>
      <c r="D1765" s="144">
        <v>1E-3</v>
      </c>
      <c r="E1765" s="142" t="s">
        <v>450</v>
      </c>
    </row>
    <row r="1766" spans="1:5" x14ac:dyDescent="0.25">
      <c r="A1766" s="46">
        <v>19</v>
      </c>
      <c r="B1766" s="143" t="s">
        <v>25</v>
      </c>
      <c r="C1766" s="143" t="s">
        <v>588</v>
      </c>
      <c r="D1766" s="144">
        <v>3.0000000000000001E-3</v>
      </c>
      <c r="E1766" s="142" t="s">
        <v>458</v>
      </c>
    </row>
    <row r="1767" spans="1:5" x14ac:dyDescent="0.25">
      <c r="A1767" s="46">
        <v>19</v>
      </c>
      <c r="B1767" s="143" t="s">
        <v>25</v>
      </c>
      <c r="C1767" s="143" t="s">
        <v>461</v>
      </c>
      <c r="D1767" s="144">
        <v>0.01</v>
      </c>
      <c r="E1767" s="142" t="s">
        <v>458</v>
      </c>
    </row>
    <row r="1768" spans="1:5" x14ac:dyDescent="0.25">
      <c r="A1768" s="46">
        <v>19</v>
      </c>
      <c r="B1768" s="143"/>
      <c r="C1768" s="152"/>
      <c r="D1768" s="154"/>
      <c r="E1768" s="155"/>
    </row>
    <row r="1769" spans="1:5" x14ac:dyDescent="0.25">
      <c r="A1769" s="46">
        <v>19</v>
      </c>
      <c r="B1769" s="143" t="s">
        <v>25</v>
      </c>
      <c r="C1769" s="90" t="s">
        <v>523</v>
      </c>
      <c r="D1769" s="154">
        <v>2.5000000000000001E-2</v>
      </c>
      <c r="E1769" s="155" t="s">
        <v>450</v>
      </c>
    </row>
    <row r="1770" spans="1:5" x14ac:dyDescent="0.25">
      <c r="A1770" s="46">
        <v>19</v>
      </c>
      <c r="B1770" s="143" t="s">
        <v>25</v>
      </c>
      <c r="C1770" s="143" t="s">
        <v>449</v>
      </c>
      <c r="D1770" s="154">
        <v>3.0000000000000001E-3</v>
      </c>
      <c r="E1770" s="155" t="s">
        <v>458</v>
      </c>
    </row>
    <row r="1771" spans="1:5" x14ac:dyDescent="0.25">
      <c r="A1771" s="46">
        <v>19</v>
      </c>
      <c r="B1771" s="143" t="s">
        <v>25</v>
      </c>
      <c r="C1771" s="143" t="s">
        <v>124</v>
      </c>
      <c r="D1771" s="154">
        <v>1.4999999999999999E-2</v>
      </c>
      <c r="E1771" s="155" t="s">
        <v>448</v>
      </c>
    </row>
    <row r="1772" spans="1:5" x14ac:dyDescent="0.25">
      <c r="A1772" s="46">
        <v>19</v>
      </c>
      <c r="B1772" s="143" t="s">
        <v>25</v>
      </c>
      <c r="C1772" s="90" t="s">
        <v>488</v>
      </c>
      <c r="D1772" s="154">
        <v>0.01</v>
      </c>
      <c r="E1772" s="155" t="s">
        <v>450</v>
      </c>
    </row>
    <row r="1773" spans="1:5" x14ac:dyDescent="0.25">
      <c r="A1773" s="46">
        <v>19</v>
      </c>
      <c r="B1773" s="143" t="s">
        <v>25</v>
      </c>
      <c r="C1773" s="143" t="s">
        <v>487</v>
      </c>
      <c r="D1773" s="154">
        <v>3.0000000000000001E-3</v>
      </c>
      <c r="E1773" s="155" t="s">
        <v>458</v>
      </c>
    </row>
    <row r="1774" spans="1:5" x14ac:dyDescent="0.25">
      <c r="A1774" s="46">
        <v>19</v>
      </c>
      <c r="B1774" s="143" t="s">
        <v>25</v>
      </c>
      <c r="C1774" s="90" t="s">
        <v>573</v>
      </c>
      <c r="D1774" s="154">
        <v>1E-3</v>
      </c>
      <c r="E1774" s="155" t="s">
        <v>450</v>
      </c>
    </row>
    <row r="1775" spans="1:5" x14ac:dyDescent="0.25">
      <c r="A1775" s="46">
        <v>19</v>
      </c>
      <c r="B1775" s="143" t="s">
        <v>25</v>
      </c>
      <c r="C1775" s="90" t="s">
        <v>461</v>
      </c>
      <c r="D1775" s="154">
        <v>2.5000000000000001E-2</v>
      </c>
      <c r="E1775" s="155" t="s">
        <v>450</v>
      </c>
    </row>
    <row r="1776" spans="1:5" x14ac:dyDescent="0.25">
      <c r="A1776" s="46">
        <v>19</v>
      </c>
      <c r="B1776" s="143" t="s">
        <v>25</v>
      </c>
      <c r="C1776" s="143" t="s">
        <v>467</v>
      </c>
      <c r="D1776" s="154">
        <v>2E-3</v>
      </c>
      <c r="E1776" s="155" t="s">
        <v>448</v>
      </c>
    </row>
    <row r="1777" spans="1:5" x14ac:dyDescent="0.25">
      <c r="A1777" s="46">
        <v>353</v>
      </c>
      <c r="B1777" s="143" t="s">
        <v>374</v>
      </c>
      <c r="C1777" s="165" t="s">
        <v>1068</v>
      </c>
      <c r="D1777" s="148">
        <v>1.2E-2</v>
      </c>
      <c r="E1777" s="145" t="s">
        <v>458</v>
      </c>
    </row>
    <row r="1778" spans="1:5" x14ac:dyDescent="0.25">
      <c r="A1778" s="46">
        <v>353</v>
      </c>
      <c r="B1778" s="143" t="s">
        <v>374</v>
      </c>
      <c r="C1778" s="165" t="s">
        <v>1066</v>
      </c>
      <c r="D1778" s="148">
        <v>1.2E-2</v>
      </c>
      <c r="E1778" s="145" t="s">
        <v>458</v>
      </c>
    </row>
    <row r="1779" spans="1:5" x14ac:dyDescent="0.25">
      <c r="A1779" s="46">
        <v>353</v>
      </c>
      <c r="B1779" s="143" t="s">
        <v>374</v>
      </c>
      <c r="C1779" s="165" t="s">
        <v>1067</v>
      </c>
      <c r="D1779" s="148">
        <v>1.2E-2</v>
      </c>
      <c r="E1779" s="145" t="s">
        <v>458</v>
      </c>
    </row>
    <row r="1780" spans="1:5" x14ac:dyDescent="0.25">
      <c r="A1780" s="46">
        <v>353</v>
      </c>
      <c r="B1780" s="143" t="s">
        <v>374</v>
      </c>
      <c r="C1780" s="165" t="s">
        <v>697</v>
      </c>
      <c r="D1780" s="148">
        <v>0.01</v>
      </c>
      <c r="E1780" s="145" t="s">
        <v>458</v>
      </c>
    </row>
    <row r="1781" spans="1:5" x14ac:dyDescent="0.25">
      <c r="A1781" s="46">
        <v>353</v>
      </c>
      <c r="B1781" s="143" t="s">
        <v>374</v>
      </c>
      <c r="C1781" s="165" t="s">
        <v>475</v>
      </c>
      <c r="D1781" s="148">
        <v>1.4999999999999999E-2</v>
      </c>
      <c r="E1781" s="145" t="s">
        <v>458</v>
      </c>
    </row>
    <row r="1782" spans="1:5" x14ac:dyDescent="0.25">
      <c r="A1782" s="46">
        <v>353</v>
      </c>
      <c r="B1782" s="143" t="s">
        <v>374</v>
      </c>
      <c r="C1782" s="165" t="s">
        <v>476</v>
      </c>
      <c r="D1782" s="148">
        <v>5.0000000000000001E-3</v>
      </c>
      <c r="E1782" s="145" t="s">
        <v>458</v>
      </c>
    </row>
    <row r="1783" spans="1:5" x14ac:dyDescent="0.25">
      <c r="A1783" s="46">
        <v>353</v>
      </c>
      <c r="B1783" s="143" t="s">
        <v>374</v>
      </c>
      <c r="C1783" s="165" t="s">
        <v>1094</v>
      </c>
      <c r="D1783" s="148">
        <v>1E-3</v>
      </c>
      <c r="E1783" s="145" t="s">
        <v>448</v>
      </c>
    </row>
    <row r="1784" spans="1:5" x14ac:dyDescent="0.25">
      <c r="A1784" s="46">
        <v>353</v>
      </c>
      <c r="B1784" s="143" t="s">
        <v>374</v>
      </c>
      <c r="C1784" s="165" t="s">
        <v>535</v>
      </c>
      <c r="D1784" s="148">
        <v>5.0000000000000001E-3</v>
      </c>
      <c r="E1784" s="145" t="s">
        <v>448</v>
      </c>
    </row>
    <row r="1785" spans="1:5" x14ac:dyDescent="0.25">
      <c r="A1785" s="46">
        <v>353</v>
      </c>
      <c r="B1785" s="143" t="s">
        <v>374</v>
      </c>
      <c r="C1785" s="165" t="s">
        <v>470</v>
      </c>
      <c r="D1785" s="148">
        <v>3.0000000000000001E-3</v>
      </c>
      <c r="E1785" s="145" t="s">
        <v>458</v>
      </c>
    </row>
    <row r="1786" spans="1:5" x14ac:dyDescent="0.25">
      <c r="A1786" s="46">
        <v>353</v>
      </c>
      <c r="B1786" s="143" t="s">
        <v>374</v>
      </c>
      <c r="C1786" s="165" t="s">
        <v>478</v>
      </c>
      <c r="D1786" s="148">
        <v>7.0000000000000001E-3</v>
      </c>
      <c r="E1786" s="145" t="s">
        <v>448</v>
      </c>
    </row>
    <row r="1787" spans="1:5" x14ac:dyDescent="0.25">
      <c r="A1787" s="46">
        <v>353</v>
      </c>
      <c r="B1787" s="143" t="s">
        <v>374</v>
      </c>
      <c r="C1787" s="165" t="s">
        <v>1095</v>
      </c>
      <c r="D1787" s="148">
        <v>1E-3</v>
      </c>
      <c r="E1787" s="145" t="s">
        <v>458</v>
      </c>
    </row>
    <row r="1788" spans="1:5" x14ac:dyDescent="0.25">
      <c r="A1788" s="46">
        <v>3</v>
      </c>
      <c r="B1788" s="143" t="s">
        <v>149</v>
      </c>
      <c r="C1788" s="90" t="s">
        <v>581</v>
      </c>
      <c r="D1788" s="184">
        <v>1.2E-2</v>
      </c>
      <c r="E1788" s="184" t="s">
        <v>450</v>
      </c>
    </row>
    <row r="1789" spans="1:5" x14ac:dyDescent="0.25">
      <c r="A1789" s="46">
        <v>3</v>
      </c>
      <c r="B1789" s="143" t="s">
        <v>149</v>
      </c>
      <c r="C1789" s="152" t="s">
        <v>511</v>
      </c>
      <c r="D1789" s="184">
        <v>1.2E-2</v>
      </c>
      <c r="E1789" s="184" t="s">
        <v>450</v>
      </c>
    </row>
    <row r="1790" spans="1:5" x14ac:dyDescent="0.25">
      <c r="A1790" s="46">
        <v>3</v>
      </c>
      <c r="B1790" s="143" t="s">
        <v>149</v>
      </c>
      <c r="C1790" s="152" t="s">
        <v>512</v>
      </c>
      <c r="D1790" s="154">
        <v>1.2E-2</v>
      </c>
      <c r="E1790" s="155" t="s">
        <v>450</v>
      </c>
    </row>
    <row r="1791" spans="1:5" x14ac:dyDescent="0.25">
      <c r="A1791" s="46">
        <v>3</v>
      </c>
      <c r="B1791" s="143" t="s">
        <v>149</v>
      </c>
      <c r="C1791" s="90" t="s">
        <v>517</v>
      </c>
      <c r="D1791" s="154">
        <v>1.2E-2</v>
      </c>
      <c r="E1791" s="155" t="s">
        <v>450</v>
      </c>
    </row>
    <row r="1792" spans="1:5" x14ac:dyDescent="0.25">
      <c r="A1792" s="46">
        <v>3</v>
      </c>
      <c r="B1792" s="143" t="s">
        <v>149</v>
      </c>
      <c r="C1792" s="90" t="s">
        <v>664</v>
      </c>
      <c r="D1792" s="154">
        <v>0.01</v>
      </c>
      <c r="E1792" s="155" t="s">
        <v>458</v>
      </c>
    </row>
    <row r="1793" spans="1:5" x14ac:dyDescent="0.25">
      <c r="A1793" s="46">
        <v>3</v>
      </c>
      <c r="B1793" s="143" t="s">
        <v>149</v>
      </c>
      <c r="C1793" s="143" t="s">
        <v>566</v>
      </c>
      <c r="D1793" s="154">
        <v>1.4999999999999999E-2</v>
      </c>
      <c r="E1793" s="155" t="s">
        <v>448</v>
      </c>
    </row>
    <row r="1794" spans="1:5" x14ac:dyDescent="0.25">
      <c r="A1794" s="46">
        <v>3</v>
      </c>
      <c r="B1794" s="143" t="s">
        <v>149</v>
      </c>
      <c r="C1794" s="90" t="s">
        <v>757</v>
      </c>
      <c r="D1794" s="154">
        <v>0.05</v>
      </c>
      <c r="E1794" s="155" t="s">
        <v>448</v>
      </c>
    </row>
    <row r="1795" spans="1:5" x14ac:dyDescent="0.25">
      <c r="A1795" s="46">
        <v>3</v>
      </c>
      <c r="B1795" s="143" t="s">
        <v>149</v>
      </c>
      <c r="C1795" s="90" t="s">
        <v>758</v>
      </c>
      <c r="D1795" s="154">
        <v>8.0000000000000002E-3</v>
      </c>
      <c r="E1795" s="155" t="s">
        <v>450</v>
      </c>
    </row>
    <row r="1796" spans="1:5" x14ac:dyDescent="0.25">
      <c r="A1796" s="46">
        <v>3</v>
      </c>
      <c r="B1796" s="143" t="s">
        <v>149</v>
      </c>
      <c r="C1796" s="90" t="s">
        <v>476</v>
      </c>
      <c r="D1796" s="154">
        <v>1.7999999999999999E-2</v>
      </c>
      <c r="E1796" s="155" t="s">
        <v>458</v>
      </c>
    </row>
    <row r="1797" spans="1:5" x14ac:dyDescent="0.25">
      <c r="A1797" s="46">
        <v>3</v>
      </c>
      <c r="B1797" s="143" t="s">
        <v>149</v>
      </c>
      <c r="C1797" s="90" t="s">
        <v>488</v>
      </c>
      <c r="D1797" s="154">
        <v>2E-3</v>
      </c>
      <c r="E1797" s="155" t="s">
        <v>450</v>
      </c>
    </row>
    <row r="1798" spans="1:5" x14ac:dyDescent="0.25">
      <c r="A1798" s="46">
        <v>3</v>
      </c>
      <c r="B1798" s="143" t="s">
        <v>149</v>
      </c>
      <c r="C1798" s="90" t="s">
        <v>487</v>
      </c>
      <c r="D1798" s="154">
        <v>1E-3</v>
      </c>
      <c r="E1798" s="155" t="s">
        <v>458</v>
      </c>
    </row>
    <row r="1799" spans="1:5" x14ac:dyDescent="0.25">
      <c r="A1799" s="46">
        <v>3</v>
      </c>
      <c r="B1799" s="143" t="s">
        <v>149</v>
      </c>
      <c r="C1799" s="90" t="s">
        <v>467</v>
      </c>
      <c r="D1799" s="154">
        <v>3.0000000000000001E-3</v>
      </c>
      <c r="E1799" s="155" t="s">
        <v>448</v>
      </c>
    </row>
    <row r="1800" spans="1:5" x14ac:dyDescent="0.25">
      <c r="A1800" s="46">
        <v>3</v>
      </c>
      <c r="B1800" s="143"/>
      <c r="C1800" s="90"/>
      <c r="D1800" s="141"/>
      <c r="E1800" s="206"/>
    </row>
    <row r="1801" spans="1:5" x14ac:dyDescent="0.25">
      <c r="A1801" s="46">
        <v>3</v>
      </c>
      <c r="B1801" s="143"/>
      <c r="C1801" s="152"/>
      <c r="D1801" s="141"/>
      <c r="E1801" s="206"/>
    </row>
    <row r="1802" spans="1:5" x14ac:dyDescent="0.25">
      <c r="A1802" s="46">
        <v>3</v>
      </c>
      <c r="B1802" s="143"/>
      <c r="C1802" s="152"/>
      <c r="D1802" s="141"/>
      <c r="E1802" s="180"/>
    </row>
    <row r="1803" spans="1:5" x14ac:dyDescent="0.25">
      <c r="A1803" s="46">
        <v>3</v>
      </c>
      <c r="B1803" s="143"/>
      <c r="C1803" s="178"/>
      <c r="D1803" s="179"/>
      <c r="E1803" s="180"/>
    </row>
    <row r="1804" spans="1:5" x14ac:dyDescent="0.25">
      <c r="A1804" s="46">
        <v>3</v>
      </c>
      <c r="B1804" s="143"/>
      <c r="C1804" s="178"/>
      <c r="D1804" s="179"/>
      <c r="E1804" s="180"/>
    </row>
    <row r="1805" spans="1:5" x14ac:dyDescent="0.25">
      <c r="A1805" s="46">
        <v>3</v>
      </c>
      <c r="B1805" s="143"/>
      <c r="C1805" s="143"/>
      <c r="D1805" s="179"/>
      <c r="E1805" s="180"/>
    </row>
    <row r="1806" spans="1:5" x14ac:dyDescent="0.25">
      <c r="A1806" s="46">
        <v>3</v>
      </c>
      <c r="B1806" s="143"/>
      <c r="C1806" s="178"/>
      <c r="D1806" s="179"/>
      <c r="E1806" s="180"/>
    </row>
    <row r="1807" spans="1:5" x14ac:dyDescent="0.25">
      <c r="A1807" s="46">
        <v>3</v>
      </c>
      <c r="B1807" s="143"/>
      <c r="C1807" s="178"/>
      <c r="D1807" s="179"/>
      <c r="E1807" s="180"/>
    </row>
    <row r="1808" spans="1:5" x14ac:dyDescent="0.25">
      <c r="A1808" s="46">
        <v>3</v>
      </c>
      <c r="B1808" s="143"/>
      <c r="C1808" s="178"/>
      <c r="D1808" s="179"/>
      <c r="E1808" s="180"/>
    </row>
    <row r="1809" spans="1:5" x14ac:dyDescent="0.25">
      <c r="A1809" s="46">
        <v>3</v>
      </c>
      <c r="B1809" s="143"/>
      <c r="C1809" s="178"/>
      <c r="D1809" s="179"/>
      <c r="E1809" s="180"/>
    </row>
    <row r="1810" spans="1:5" x14ac:dyDescent="0.25">
      <c r="A1810" s="46">
        <v>3</v>
      </c>
      <c r="B1810" s="143"/>
      <c r="C1810" s="178"/>
      <c r="D1810" s="179"/>
      <c r="E1810" s="180"/>
    </row>
    <row r="1811" spans="1:5" x14ac:dyDescent="0.25">
      <c r="A1811" s="46">
        <v>3</v>
      </c>
      <c r="B1811" s="143"/>
      <c r="C1811" s="178"/>
      <c r="D1811" s="179"/>
      <c r="E1811" s="180"/>
    </row>
    <row r="1812" spans="1:5" x14ac:dyDescent="0.25">
      <c r="A1812" s="46">
        <v>151</v>
      </c>
      <c r="B1812" s="143" t="s">
        <v>232</v>
      </c>
      <c r="C1812" s="90" t="s">
        <v>581</v>
      </c>
      <c r="D1812" s="144">
        <v>1.2E-2</v>
      </c>
      <c r="E1812" s="142" t="s">
        <v>450</v>
      </c>
    </row>
    <row r="1813" spans="1:5" x14ac:dyDescent="0.25">
      <c r="A1813" s="46">
        <v>151</v>
      </c>
      <c r="B1813" s="143" t="s">
        <v>232</v>
      </c>
      <c r="C1813" s="152" t="s">
        <v>511</v>
      </c>
      <c r="D1813" s="144">
        <v>1.4E-2</v>
      </c>
      <c r="E1813" s="142" t="s">
        <v>450</v>
      </c>
    </row>
    <row r="1814" spans="1:5" x14ac:dyDescent="0.25">
      <c r="A1814" s="46">
        <v>151</v>
      </c>
      <c r="B1814" s="143" t="s">
        <v>232</v>
      </c>
      <c r="C1814" s="152" t="s">
        <v>512</v>
      </c>
      <c r="D1814" s="144">
        <v>1.2E-2</v>
      </c>
      <c r="E1814" s="142" t="s">
        <v>450</v>
      </c>
    </row>
    <row r="1815" spans="1:5" x14ac:dyDescent="0.25">
      <c r="A1815" s="46">
        <v>151</v>
      </c>
      <c r="B1815" s="143" t="s">
        <v>232</v>
      </c>
      <c r="C1815" s="143" t="s">
        <v>804</v>
      </c>
      <c r="D1815" s="144">
        <v>0.09</v>
      </c>
      <c r="E1815" s="142" t="s">
        <v>450</v>
      </c>
    </row>
    <row r="1816" spans="1:5" x14ac:dyDescent="0.25">
      <c r="A1816" s="46">
        <v>151</v>
      </c>
      <c r="B1816" s="143" t="s">
        <v>232</v>
      </c>
      <c r="C1816" s="143" t="s">
        <v>726</v>
      </c>
      <c r="D1816" s="144">
        <v>5.0000000000000001E-3</v>
      </c>
      <c r="E1816" s="142"/>
    </row>
    <row r="1817" spans="1:5" x14ac:dyDescent="0.25">
      <c r="A1817" s="46">
        <v>151</v>
      </c>
      <c r="B1817" s="143" t="s">
        <v>232</v>
      </c>
      <c r="C1817" s="160" t="s">
        <v>477</v>
      </c>
      <c r="D1817" s="144">
        <v>0.02</v>
      </c>
      <c r="E1817" s="142" t="s">
        <v>458</v>
      </c>
    </row>
    <row r="1818" spans="1:5" x14ac:dyDescent="0.25">
      <c r="A1818" s="46">
        <v>151</v>
      </c>
      <c r="B1818" s="143" t="s">
        <v>232</v>
      </c>
      <c r="C1818" s="143" t="s">
        <v>500</v>
      </c>
      <c r="D1818" s="144">
        <v>5.0000000000000001E-3</v>
      </c>
      <c r="E1818" s="142" t="s">
        <v>450</v>
      </c>
    </row>
    <row r="1819" spans="1:5" x14ac:dyDescent="0.25">
      <c r="A1819" s="46">
        <v>151</v>
      </c>
      <c r="B1819" s="143" t="s">
        <v>232</v>
      </c>
      <c r="C1819" s="143" t="s">
        <v>327</v>
      </c>
      <c r="D1819" s="144">
        <v>0.05</v>
      </c>
      <c r="E1819" s="142" t="s">
        <v>450</v>
      </c>
    </row>
    <row r="1820" spans="1:5" x14ac:dyDescent="0.25">
      <c r="A1820" s="46">
        <v>151</v>
      </c>
      <c r="B1820" s="143" t="s">
        <v>232</v>
      </c>
      <c r="C1820" s="143" t="s">
        <v>583</v>
      </c>
      <c r="D1820" s="144">
        <v>5.0000000000000001E-3</v>
      </c>
      <c r="E1820" s="142" t="s">
        <v>450</v>
      </c>
    </row>
    <row r="1821" spans="1:5" x14ac:dyDescent="0.25">
      <c r="A1821" s="46">
        <v>151</v>
      </c>
      <c r="B1821" s="143" t="s">
        <v>232</v>
      </c>
      <c r="C1821" s="143" t="s">
        <v>488</v>
      </c>
      <c r="D1821" s="144">
        <v>2E-3</v>
      </c>
      <c r="E1821" s="142" t="s">
        <v>450</v>
      </c>
    </row>
    <row r="1822" spans="1:5" x14ac:dyDescent="0.25">
      <c r="A1822" s="46">
        <v>151</v>
      </c>
      <c r="B1822" s="143" t="s">
        <v>232</v>
      </c>
      <c r="C1822" s="143" t="s">
        <v>487</v>
      </c>
      <c r="D1822" s="144">
        <v>1E-3</v>
      </c>
      <c r="E1822" s="142" t="s">
        <v>450</v>
      </c>
    </row>
    <row r="1823" spans="1:5" x14ac:dyDescent="0.25">
      <c r="A1823" s="46">
        <v>151</v>
      </c>
      <c r="B1823" s="143" t="s">
        <v>232</v>
      </c>
      <c r="C1823" s="143" t="s">
        <v>467</v>
      </c>
      <c r="D1823" s="144">
        <v>2E-3</v>
      </c>
      <c r="E1823" s="142" t="s">
        <v>448</v>
      </c>
    </row>
    <row r="1824" spans="1:5" x14ac:dyDescent="0.25">
      <c r="A1824" s="46">
        <v>238</v>
      </c>
      <c r="B1824" s="143" t="s">
        <v>278</v>
      </c>
      <c r="C1824" s="152" t="s">
        <v>511</v>
      </c>
      <c r="D1824" s="141">
        <v>1.2E-2</v>
      </c>
      <c r="E1824" s="141" t="s">
        <v>450</v>
      </c>
    </row>
    <row r="1825" spans="1:5" x14ac:dyDescent="0.25">
      <c r="A1825" s="46">
        <v>238</v>
      </c>
      <c r="B1825" s="143" t="s">
        <v>278</v>
      </c>
      <c r="C1825" s="90" t="s">
        <v>581</v>
      </c>
      <c r="D1825" s="141">
        <v>1.2E-2</v>
      </c>
      <c r="E1825" s="141" t="s">
        <v>450</v>
      </c>
    </row>
    <row r="1826" spans="1:5" x14ac:dyDescent="0.25">
      <c r="A1826" s="46">
        <v>238</v>
      </c>
      <c r="B1826" s="143" t="s">
        <v>278</v>
      </c>
      <c r="C1826" s="152" t="s">
        <v>512</v>
      </c>
      <c r="D1826" s="141">
        <v>1.4E-2</v>
      </c>
      <c r="E1826" s="141" t="s">
        <v>450</v>
      </c>
    </row>
    <row r="1827" spans="1:5" x14ac:dyDescent="0.25">
      <c r="A1827" s="46">
        <v>238</v>
      </c>
      <c r="B1827" s="143" t="s">
        <v>278</v>
      </c>
      <c r="C1827" s="89" t="s">
        <v>941</v>
      </c>
      <c r="D1827" s="141">
        <v>1.4999999999999999E-2</v>
      </c>
      <c r="E1827" s="141" t="s">
        <v>450</v>
      </c>
    </row>
    <row r="1828" spans="1:5" x14ac:dyDescent="0.25">
      <c r="A1828" s="46">
        <v>238</v>
      </c>
      <c r="B1828" s="143" t="s">
        <v>278</v>
      </c>
      <c r="C1828" s="89" t="s">
        <v>825</v>
      </c>
      <c r="D1828" s="141">
        <v>3.0000000000000001E-3</v>
      </c>
      <c r="E1828" s="141" t="s">
        <v>450</v>
      </c>
    </row>
    <row r="1829" spans="1:5" x14ac:dyDescent="0.25">
      <c r="A1829" s="46">
        <v>238</v>
      </c>
      <c r="B1829" s="143" t="s">
        <v>278</v>
      </c>
      <c r="C1829" s="89" t="s">
        <v>697</v>
      </c>
      <c r="D1829" s="141">
        <v>0.03</v>
      </c>
      <c r="E1829" s="141" t="s">
        <v>450</v>
      </c>
    </row>
    <row r="1830" spans="1:5" x14ac:dyDescent="0.25">
      <c r="A1830" s="46">
        <v>238</v>
      </c>
      <c r="B1830" s="143" t="s">
        <v>278</v>
      </c>
      <c r="C1830" s="89" t="s">
        <v>781</v>
      </c>
      <c r="D1830" s="141">
        <v>0.03</v>
      </c>
      <c r="E1830" s="141" t="s">
        <v>450</v>
      </c>
    </row>
    <row r="1831" spans="1:5" x14ac:dyDescent="0.25">
      <c r="A1831" s="46">
        <v>238</v>
      </c>
      <c r="B1831" s="143" t="s">
        <v>278</v>
      </c>
      <c r="C1831" s="143" t="s">
        <v>461</v>
      </c>
      <c r="D1831" s="141">
        <v>3.0000000000000001E-3</v>
      </c>
      <c r="E1831" s="141" t="s">
        <v>450</v>
      </c>
    </row>
    <row r="1832" spans="1:5" x14ac:dyDescent="0.25">
      <c r="A1832" s="46">
        <v>238</v>
      </c>
      <c r="B1832" s="143" t="s">
        <v>278</v>
      </c>
      <c r="C1832" s="89" t="s">
        <v>478</v>
      </c>
      <c r="D1832" s="141">
        <v>2E-3</v>
      </c>
      <c r="E1832" s="141" t="s">
        <v>448</v>
      </c>
    </row>
    <row r="1833" spans="1:5" x14ac:dyDescent="0.25">
      <c r="A1833" s="46">
        <v>238</v>
      </c>
      <c r="B1833" s="143" t="s">
        <v>278</v>
      </c>
      <c r="C1833" s="89" t="s">
        <v>470</v>
      </c>
      <c r="D1833" s="141">
        <v>3.0000000000000001E-3</v>
      </c>
      <c r="E1833" s="145" t="s">
        <v>450</v>
      </c>
    </row>
    <row r="1834" spans="1:5" x14ac:dyDescent="0.25">
      <c r="A1834" s="46">
        <v>238</v>
      </c>
      <c r="B1834" s="143" t="s">
        <v>278</v>
      </c>
      <c r="C1834" s="89" t="s">
        <v>516</v>
      </c>
      <c r="D1834" s="141">
        <v>1E-3</v>
      </c>
      <c r="E1834" s="145" t="s">
        <v>450</v>
      </c>
    </row>
    <row r="1835" spans="1:5" x14ac:dyDescent="0.25">
      <c r="A1835" s="46">
        <v>238</v>
      </c>
      <c r="B1835" s="143" t="s">
        <v>278</v>
      </c>
      <c r="C1835" s="89" t="s">
        <v>515</v>
      </c>
      <c r="D1835" s="141">
        <v>3.0000000000000001E-3</v>
      </c>
      <c r="E1835" s="141" t="s">
        <v>450</v>
      </c>
    </row>
    <row r="1836" spans="1:5" x14ac:dyDescent="0.25">
      <c r="A1836" s="46">
        <v>87</v>
      </c>
      <c r="B1836" s="143" t="s">
        <v>199</v>
      </c>
      <c r="C1836" s="143" t="s">
        <v>625</v>
      </c>
      <c r="D1836" s="144">
        <v>3</v>
      </c>
      <c r="E1836" s="145" t="s">
        <v>749</v>
      </c>
    </row>
    <row r="1837" spans="1:5" x14ac:dyDescent="0.25">
      <c r="A1837" s="46"/>
      <c r="B1837" s="98" t="s">
        <v>401</v>
      </c>
      <c r="C1837" s="89" t="s">
        <v>1018</v>
      </c>
      <c r="D1837" s="141">
        <v>1</v>
      </c>
      <c r="E1837" s="150" t="s">
        <v>450</v>
      </c>
    </row>
    <row r="1838" spans="1:5" x14ac:dyDescent="0.25">
      <c r="A1838" s="46">
        <v>167</v>
      </c>
      <c r="B1838" s="143" t="s">
        <v>58</v>
      </c>
      <c r="C1838" s="146" t="s">
        <v>401</v>
      </c>
      <c r="D1838" s="148">
        <v>7.0000000000000007E-2</v>
      </c>
      <c r="E1838" s="145" t="s">
        <v>450</v>
      </c>
    </row>
    <row r="1839" spans="1:5" x14ac:dyDescent="0.25">
      <c r="A1839" s="46">
        <v>167</v>
      </c>
      <c r="B1839" s="143" t="s">
        <v>58</v>
      </c>
      <c r="C1839" s="143" t="s">
        <v>566</v>
      </c>
      <c r="D1839" s="148">
        <v>0.3</v>
      </c>
      <c r="E1839" s="145" t="s">
        <v>448</v>
      </c>
    </row>
    <row r="1840" spans="1:5" x14ac:dyDescent="0.25">
      <c r="A1840" s="46">
        <v>167</v>
      </c>
      <c r="B1840" s="143" t="s">
        <v>58</v>
      </c>
      <c r="C1840" s="152" t="s">
        <v>508</v>
      </c>
      <c r="D1840" s="148">
        <v>0.01</v>
      </c>
      <c r="E1840" s="145" t="s">
        <v>450</v>
      </c>
    </row>
    <row r="1841" spans="1:5" x14ac:dyDescent="0.25">
      <c r="A1841" s="46">
        <v>167</v>
      </c>
      <c r="B1841" s="143" t="s">
        <v>58</v>
      </c>
      <c r="C1841" s="146" t="s">
        <v>488</v>
      </c>
      <c r="D1841" s="148">
        <v>2E-3</v>
      </c>
      <c r="E1841" s="145" t="s">
        <v>450</v>
      </c>
    </row>
    <row r="1842" spans="1:5" x14ac:dyDescent="0.25">
      <c r="A1842" s="46">
        <v>167</v>
      </c>
      <c r="B1842" s="143" t="s">
        <v>58</v>
      </c>
      <c r="C1842" s="146" t="s">
        <v>644</v>
      </c>
      <c r="D1842" s="148">
        <v>0.35</v>
      </c>
      <c r="E1842" s="145" t="s">
        <v>448</v>
      </c>
    </row>
    <row r="1843" spans="1:5" x14ac:dyDescent="0.25">
      <c r="A1843" s="46">
        <v>167</v>
      </c>
      <c r="B1843" s="143" t="s">
        <v>58</v>
      </c>
      <c r="C1843" s="146" t="s">
        <v>776</v>
      </c>
      <c r="D1843" s="151">
        <v>1</v>
      </c>
      <c r="E1843" s="145" t="s">
        <v>579</v>
      </c>
    </row>
    <row r="1844" spans="1:5" x14ac:dyDescent="0.25">
      <c r="A1844" s="46">
        <v>167</v>
      </c>
      <c r="B1844" s="143" t="s">
        <v>58</v>
      </c>
      <c r="C1844" s="146" t="s">
        <v>636</v>
      </c>
      <c r="D1844" s="149">
        <v>5.0000000000000001E-4</v>
      </c>
      <c r="E1844" s="145" t="s">
        <v>450</v>
      </c>
    </row>
    <row r="1845" spans="1:5" x14ac:dyDescent="0.25">
      <c r="A1845" s="46">
        <v>167</v>
      </c>
      <c r="B1845" s="143" t="s">
        <v>58</v>
      </c>
      <c r="C1845" s="146" t="s">
        <v>466</v>
      </c>
      <c r="D1845" s="148">
        <v>1E-3</v>
      </c>
      <c r="E1845" s="145" t="s">
        <v>450</v>
      </c>
    </row>
    <row r="1846" spans="1:5" x14ac:dyDescent="0.25">
      <c r="A1846" s="46">
        <v>167</v>
      </c>
      <c r="B1846" s="143" t="s">
        <v>58</v>
      </c>
      <c r="C1846" s="146" t="s">
        <v>500</v>
      </c>
      <c r="D1846" s="148">
        <v>0.03</v>
      </c>
      <c r="E1846" s="145" t="s">
        <v>450</v>
      </c>
    </row>
    <row r="1847" spans="1:5" x14ac:dyDescent="0.25">
      <c r="A1847" s="46">
        <v>167</v>
      </c>
      <c r="B1847" s="143" t="s">
        <v>58</v>
      </c>
      <c r="C1847" s="146" t="s">
        <v>612</v>
      </c>
      <c r="D1847" s="148">
        <v>0.03</v>
      </c>
      <c r="E1847" s="145" t="s">
        <v>653</v>
      </c>
    </row>
    <row r="1848" spans="1:5" x14ac:dyDescent="0.25">
      <c r="A1848" s="46">
        <v>167</v>
      </c>
      <c r="B1848" s="143" t="s">
        <v>58</v>
      </c>
      <c r="C1848" s="146" t="s">
        <v>509</v>
      </c>
      <c r="D1848" s="148">
        <v>0.01</v>
      </c>
      <c r="E1848" s="145" t="s">
        <v>450</v>
      </c>
    </row>
    <row r="1849" spans="1:5" x14ac:dyDescent="0.25">
      <c r="A1849" s="46">
        <v>167</v>
      </c>
      <c r="B1849" s="143" t="s">
        <v>58</v>
      </c>
      <c r="C1849" s="146" t="s">
        <v>627</v>
      </c>
      <c r="D1849" s="159">
        <v>1</v>
      </c>
      <c r="E1849" s="145" t="s">
        <v>749</v>
      </c>
    </row>
    <row r="1850" spans="1:5" x14ac:dyDescent="0.25">
      <c r="A1850" s="46">
        <v>89</v>
      </c>
      <c r="B1850" s="143" t="s">
        <v>201</v>
      </c>
      <c r="C1850" s="143" t="s">
        <v>625</v>
      </c>
      <c r="D1850" s="144">
        <v>3</v>
      </c>
      <c r="E1850" s="145" t="s">
        <v>749</v>
      </c>
    </row>
    <row r="1851" spans="1:5" x14ac:dyDescent="0.25">
      <c r="A1851" s="46">
        <v>227</v>
      </c>
      <c r="B1851" s="143" t="s">
        <v>31</v>
      </c>
      <c r="C1851" s="89" t="s">
        <v>922</v>
      </c>
      <c r="D1851" s="141">
        <v>3.5000000000000003E-2</v>
      </c>
      <c r="E1851" s="145" t="s">
        <v>450</v>
      </c>
    </row>
    <row r="1852" spans="1:5" x14ac:dyDescent="0.25">
      <c r="A1852" s="46">
        <v>227</v>
      </c>
      <c r="B1852" s="143" t="s">
        <v>31</v>
      </c>
      <c r="C1852" s="89" t="s">
        <v>923</v>
      </c>
      <c r="D1852" s="141">
        <v>0.03</v>
      </c>
      <c r="E1852" s="145" t="s">
        <v>450</v>
      </c>
    </row>
    <row r="1853" spans="1:5" x14ac:dyDescent="0.25">
      <c r="A1853" s="46">
        <v>227</v>
      </c>
      <c r="B1853" s="143" t="s">
        <v>31</v>
      </c>
      <c r="C1853" s="89" t="s">
        <v>898</v>
      </c>
      <c r="D1853" s="141">
        <v>1E-3</v>
      </c>
      <c r="E1853" s="145" t="s">
        <v>448</v>
      </c>
    </row>
    <row r="1854" spans="1:5" x14ac:dyDescent="0.25">
      <c r="A1854" s="46">
        <v>227</v>
      </c>
      <c r="B1854" s="143" t="s">
        <v>31</v>
      </c>
      <c r="C1854" s="89" t="s">
        <v>461</v>
      </c>
      <c r="D1854" s="141">
        <v>1.4999999999999999E-2</v>
      </c>
      <c r="E1854" s="145" t="s">
        <v>450</v>
      </c>
    </row>
    <row r="1855" spans="1:5" x14ac:dyDescent="0.25">
      <c r="A1855" s="46">
        <v>227</v>
      </c>
      <c r="B1855" s="143" t="s">
        <v>31</v>
      </c>
      <c r="C1855" s="89" t="s">
        <v>697</v>
      </c>
      <c r="D1855" s="141">
        <v>1.2E-2</v>
      </c>
      <c r="E1855" s="145" t="s">
        <v>450</v>
      </c>
    </row>
    <row r="1856" spans="1:5" x14ac:dyDescent="0.25">
      <c r="A1856" s="46">
        <v>227</v>
      </c>
      <c r="B1856" s="143" t="s">
        <v>31</v>
      </c>
      <c r="C1856" s="89" t="s">
        <v>583</v>
      </c>
      <c r="D1856" s="141">
        <v>5.0000000000000001E-3</v>
      </c>
      <c r="E1856" s="145" t="s">
        <v>450</v>
      </c>
    </row>
    <row r="1857" spans="1:5" x14ac:dyDescent="0.25">
      <c r="A1857" s="46">
        <v>227</v>
      </c>
      <c r="B1857" s="143" t="s">
        <v>31</v>
      </c>
      <c r="C1857" s="89" t="s">
        <v>478</v>
      </c>
      <c r="D1857" s="141">
        <v>3.0000000000000001E-3</v>
      </c>
      <c r="E1857" s="141" t="s">
        <v>448</v>
      </c>
    </row>
    <row r="1858" spans="1:5" x14ac:dyDescent="0.25">
      <c r="A1858" s="46">
        <v>227</v>
      </c>
      <c r="B1858" s="143" t="s">
        <v>31</v>
      </c>
      <c r="C1858" s="89" t="s">
        <v>470</v>
      </c>
      <c r="D1858" s="141">
        <v>3.0000000000000001E-3</v>
      </c>
      <c r="E1858" s="145" t="s">
        <v>450</v>
      </c>
    </row>
    <row r="1859" spans="1:5" x14ac:dyDescent="0.25">
      <c r="A1859" s="46">
        <v>227</v>
      </c>
      <c r="B1859" s="143" t="s">
        <v>31</v>
      </c>
      <c r="C1859" s="89" t="s">
        <v>516</v>
      </c>
      <c r="D1859" s="141">
        <v>1E-3</v>
      </c>
      <c r="E1859" s="145" t="s">
        <v>450</v>
      </c>
    </row>
    <row r="1860" spans="1:5" x14ac:dyDescent="0.25">
      <c r="A1860" s="46">
        <v>207</v>
      </c>
      <c r="B1860" s="143" t="s">
        <v>104</v>
      </c>
      <c r="C1860" s="143" t="s">
        <v>886</v>
      </c>
      <c r="D1860" s="148">
        <v>7.4999999999999997E-2</v>
      </c>
      <c r="E1860" s="145" t="s">
        <v>450</v>
      </c>
    </row>
    <row r="1861" spans="1:5" x14ac:dyDescent="0.25">
      <c r="A1861" s="46">
        <v>207</v>
      </c>
      <c r="B1861" s="143" t="s">
        <v>104</v>
      </c>
      <c r="C1861" s="146" t="s">
        <v>612</v>
      </c>
      <c r="D1861" s="148">
        <v>0.02</v>
      </c>
      <c r="E1861" s="145" t="s">
        <v>450</v>
      </c>
    </row>
    <row r="1862" spans="1:5" x14ac:dyDescent="0.25">
      <c r="A1862" s="46">
        <v>207</v>
      </c>
      <c r="B1862" s="143" t="s">
        <v>104</v>
      </c>
      <c r="C1862" s="143" t="s">
        <v>459</v>
      </c>
      <c r="D1862" s="148">
        <v>0.01</v>
      </c>
      <c r="E1862" s="145" t="s">
        <v>450</v>
      </c>
    </row>
    <row r="1863" spans="1:5" x14ac:dyDescent="0.25">
      <c r="A1863" s="46">
        <v>207</v>
      </c>
      <c r="B1863" s="143" t="s">
        <v>104</v>
      </c>
      <c r="C1863" s="147" t="s">
        <v>532</v>
      </c>
      <c r="D1863" s="148">
        <v>0.01</v>
      </c>
      <c r="E1863" s="145" t="s">
        <v>450</v>
      </c>
    </row>
    <row r="1864" spans="1:5" x14ac:dyDescent="0.25">
      <c r="A1864" s="46">
        <v>207</v>
      </c>
      <c r="B1864" s="143" t="s">
        <v>104</v>
      </c>
      <c r="C1864" s="143" t="s">
        <v>559</v>
      </c>
      <c r="D1864" s="148">
        <v>1</v>
      </c>
      <c r="E1864" s="145" t="s">
        <v>749</v>
      </c>
    </row>
    <row r="1865" spans="1:5" x14ac:dyDescent="0.25">
      <c r="A1865" s="46">
        <v>207</v>
      </c>
      <c r="B1865" s="143" t="s">
        <v>104</v>
      </c>
      <c r="C1865" s="143" t="s">
        <v>887</v>
      </c>
      <c r="D1865" s="148">
        <v>7.5000000000000002E-4</v>
      </c>
      <c r="E1865" s="145" t="s">
        <v>450</v>
      </c>
    </row>
    <row r="1866" spans="1:5" x14ac:dyDescent="0.25">
      <c r="A1866" s="46">
        <v>207</v>
      </c>
      <c r="B1866" s="143" t="s">
        <v>104</v>
      </c>
      <c r="C1866" s="143" t="s">
        <v>449</v>
      </c>
      <c r="D1866" s="148">
        <v>1.2500000000000001E-2</v>
      </c>
      <c r="E1866" s="145" t="s">
        <v>450</v>
      </c>
    </row>
    <row r="1867" spans="1:5" x14ac:dyDescent="0.25">
      <c r="A1867" s="46"/>
      <c r="B1867" s="98" t="s">
        <v>1493</v>
      </c>
      <c r="C1867" s="89" t="s">
        <v>1551</v>
      </c>
      <c r="D1867" s="141">
        <v>1</v>
      </c>
      <c r="E1867" s="150" t="s">
        <v>450</v>
      </c>
    </row>
    <row r="1868" spans="1:5" x14ac:dyDescent="0.25">
      <c r="A1868" s="46">
        <v>90</v>
      </c>
      <c r="B1868" s="143" t="s">
        <v>202</v>
      </c>
      <c r="C1868" s="143" t="s">
        <v>625</v>
      </c>
      <c r="D1868" s="144">
        <v>3</v>
      </c>
      <c r="E1868" s="145" t="s">
        <v>749</v>
      </c>
    </row>
    <row r="1869" spans="1:5" x14ac:dyDescent="0.25">
      <c r="A1869" s="46">
        <v>321</v>
      </c>
      <c r="B1869" s="143" t="s">
        <v>349</v>
      </c>
      <c r="C1869" s="89" t="s">
        <v>625</v>
      </c>
      <c r="D1869" s="141">
        <v>3</v>
      </c>
      <c r="E1869" s="145" t="s">
        <v>749</v>
      </c>
    </row>
    <row r="1870" spans="1:5" x14ac:dyDescent="0.25">
      <c r="A1870" s="46">
        <v>321</v>
      </c>
      <c r="B1870" s="143" t="s">
        <v>349</v>
      </c>
      <c r="C1870" s="89" t="s">
        <v>648</v>
      </c>
      <c r="D1870" s="141">
        <v>0.01</v>
      </c>
      <c r="E1870" s="89" t="s">
        <v>450</v>
      </c>
    </row>
    <row r="1871" spans="1:5" x14ac:dyDescent="0.25">
      <c r="A1871" s="46">
        <v>321</v>
      </c>
      <c r="B1871" s="143" t="s">
        <v>349</v>
      </c>
      <c r="C1871" s="89" t="s">
        <v>656</v>
      </c>
      <c r="D1871" s="141">
        <v>1.4999999999999999E-2</v>
      </c>
      <c r="E1871" s="89" t="s">
        <v>450</v>
      </c>
    </row>
    <row r="1872" spans="1:5" x14ac:dyDescent="0.25">
      <c r="A1872" s="46">
        <v>321</v>
      </c>
      <c r="B1872" s="143" t="s">
        <v>349</v>
      </c>
      <c r="C1872" s="89" t="s">
        <v>1025</v>
      </c>
      <c r="D1872" s="141">
        <v>2E-3</v>
      </c>
      <c r="E1872" s="89" t="s">
        <v>450</v>
      </c>
    </row>
    <row r="1873" spans="1:5" x14ac:dyDescent="0.25">
      <c r="A1873" s="46">
        <v>321</v>
      </c>
      <c r="B1873" s="143" t="s">
        <v>349</v>
      </c>
      <c r="C1873" s="89" t="s">
        <v>1026</v>
      </c>
      <c r="D1873" s="141">
        <v>2E-3</v>
      </c>
      <c r="E1873" s="89" t="s">
        <v>450</v>
      </c>
    </row>
    <row r="1874" spans="1:5" x14ac:dyDescent="0.25">
      <c r="A1874" s="46">
        <v>321</v>
      </c>
      <c r="B1874" s="143" t="s">
        <v>349</v>
      </c>
      <c r="C1874" s="89" t="s">
        <v>639</v>
      </c>
      <c r="D1874" s="141">
        <v>1E-3</v>
      </c>
      <c r="E1874" s="89" t="s">
        <v>450</v>
      </c>
    </row>
    <row r="1875" spans="1:5" x14ac:dyDescent="0.25">
      <c r="A1875" s="46">
        <v>321</v>
      </c>
      <c r="B1875" s="143" t="s">
        <v>349</v>
      </c>
      <c r="C1875" s="156" t="s">
        <v>689</v>
      </c>
      <c r="D1875" s="141">
        <v>1E-3</v>
      </c>
      <c r="E1875" s="89" t="s">
        <v>448</v>
      </c>
    </row>
    <row r="1876" spans="1:5" x14ac:dyDescent="0.25">
      <c r="A1876" s="46">
        <v>320</v>
      </c>
      <c r="B1876" s="143" t="s">
        <v>78</v>
      </c>
      <c r="C1876" s="89" t="s">
        <v>625</v>
      </c>
      <c r="D1876" s="141">
        <v>3</v>
      </c>
      <c r="E1876" s="145" t="s">
        <v>749</v>
      </c>
    </row>
    <row r="1877" spans="1:5" x14ac:dyDescent="0.25">
      <c r="A1877" s="46">
        <v>320</v>
      </c>
      <c r="B1877" s="143" t="s">
        <v>78</v>
      </c>
      <c r="C1877" s="89" t="s">
        <v>988</v>
      </c>
      <c r="D1877" s="141">
        <v>0.02</v>
      </c>
      <c r="E1877" s="89" t="s">
        <v>450</v>
      </c>
    </row>
    <row r="1878" spans="1:5" x14ac:dyDescent="0.25">
      <c r="A1878" s="46">
        <v>320</v>
      </c>
      <c r="B1878" s="143" t="s">
        <v>78</v>
      </c>
      <c r="C1878" s="89" t="s">
        <v>1022</v>
      </c>
      <c r="D1878" s="141">
        <v>1.4999999999999999E-2</v>
      </c>
      <c r="E1878" s="89" t="s">
        <v>450</v>
      </c>
    </row>
    <row r="1879" spans="1:5" x14ac:dyDescent="0.25">
      <c r="A1879" s="46">
        <v>320</v>
      </c>
      <c r="B1879" s="143" t="s">
        <v>78</v>
      </c>
      <c r="C1879" s="89" t="s">
        <v>647</v>
      </c>
      <c r="D1879" s="141">
        <v>8.0000000000000002E-3</v>
      </c>
      <c r="E1879" s="89" t="s">
        <v>450</v>
      </c>
    </row>
    <row r="1880" spans="1:5" x14ac:dyDescent="0.25">
      <c r="A1880" s="46">
        <v>320</v>
      </c>
      <c r="B1880" s="143" t="s">
        <v>78</v>
      </c>
      <c r="C1880" s="89" t="s">
        <v>404</v>
      </c>
      <c r="D1880" s="141">
        <v>2.5000000000000001E-2</v>
      </c>
      <c r="E1880" s="89" t="s">
        <v>450</v>
      </c>
    </row>
    <row r="1881" spans="1:5" x14ac:dyDescent="0.25">
      <c r="A1881" s="46">
        <v>320</v>
      </c>
      <c r="B1881" s="143" t="s">
        <v>78</v>
      </c>
      <c r="C1881" s="156" t="s">
        <v>476</v>
      </c>
      <c r="D1881" s="141">
        <v>5.0000000000000001E-3</v>
      </c>
      <c r="E1881" s="89" t="s">
        <v>450</v>
      </c>
    </row>
    <row r="1882" spans="1:5" x14ac:dyDescent="0.25">
      <c r="A1882" s="46">
        <v>320</v>
      </c>
      <c r="B1882" s="143" t="s">
        <v>78</v>
      </c>
      <c r="C1882" s="89" t="s">
        <v>488</v>
      </c>
      <c r="D1882" s="141">
        <v>1E-3</v>
      </c>
      <c r="E1882" s="89"/>
    </row>
    <row r="1883" spans="1:5" x14ac:dyDescent="0.25">
      <c r="A1883" s="46">
        <v>320</v>
      </c>
      <c r="B1883" s="143" t="s">
        <v>78</v>
      </c>
      <c r="C1883" s="89" t="s">
        <v>487</v>
      </c>
      <c r="D1883" s="141">
        <v>1E-3</v>
      </c>
      <c r="E1883" s="89"/>
    </row>
    <row r="1884" spans="1:5" x14ac:dyDescent="0.25">
      <c r="A1884" s="46">
        <v>351</v>
      </c>
      <c r="B1884" s="143" t="s">
        <v>372</v>
      </c>
      <c r="C1884" s="89" t="s">
        <v>625</v>
      </c>
      <c r="D1884" s="141">
        <v>3</v>
      </c>
      <c r="E1884" s="145" t="s">
        <v>749</v>
      </c>
    </row>
    <row r="1885" spans="1:5" x14ac:dyDescent="0.25">
      <c r="A1885" s="46">
        <v>351</v>
      </c>
      <c r="B1885" s="143" t="s">
        <v>372</v>
      </c>
      <c r="C1885" s="89" t="s">
        <v>488</v>
      </c>
      <c r="D1885" s="141">
        <v>1E-3</v>
      </c>
      <c r="E1885" s="89"/>
    </row>
    <row r="1886" spans="1:5" x14ac:dyDescent="0.25">
      <c r="A1886" s="46">
        <v>351</v>
      </c>
      <c r="B1886" s="143" t="s">
        <v>372</v>
      </c>
      <c r="C1886" s="89" t="s">
        <v>487</v>
      </c>
      <c r="D1886" s="141">
        <v>1E-3</v>
      </c>
      <c r="E1886" s="89"/>
    </row>
    <row r="1887" spans="1:5" x14ac:dyDescent="0.25">
      <c r="A1887" s="46">
        <v>351</v>
      </c>
      <c r="B1887" s="143" t="s">
        <v>372</v>
      </c>
      <c r="C1887" s="165" t="s">
        <v>1091</v>
      </c>
      <c r="D1887" s="148">
        <v>0.02</v>
      </c>
      <c r="E1887" s="145" t="s">
        <v>458</v>
      </c>
    </row>
    <row r="1888" spans="1:5" x14ac:dyDescent="0.25">
      <c r="A1888" s="46">
        <v>351</v>
      </c>
      <c r="B1888" s="143" t="s">
        <v>372</v>
      </c>
      <c r="C1888" s="165" t="s">
        <v>1092</v>
      </c>
      <c r="D1888" s="148">
        <v>0.01</v>
      </c>
      <c r="E1888" s="145" t="s">
        <v>458</v>
      </c>
    </row>
    <row r="1889" spans="1:5" x14ac:dyDescent="0.25">
      <c r="A1889" s="46">
        <v>107</v>
      </c>
      <c r="B1889" s="143" t="s">
        <v>102</v>
      </c>
      <c r="C1889" s="89" t="s">
        <v>625</v>
      </c>
      <c r="D1889" s="141">
        <v>2</v>
      </c>
      <c r="E1889" s="145" t="s">
        <v>749</v>
      </c>
    </row>
    <row r="1890" spans="1:5" x14ac:dyDescent="0.25">
      <c r="A1890" s="46">
        <v>107</v>
      </c>
      <c r="B1890" s="143" t="s">
        <v>102</v>
      </c>
      <c r="C1890" s="89" t="s">
        <v>703</v>
      </c>
      <c r="D1890" s="141">
        <v>0.02</v>
      </c>
      <c r="E1890" s="141" t="s">
        <v>450</v>
      </c>
    </row>
    <row r="1891" spans="1:5" x14ac:dyDescent="0.25">
      <c r="A1891" s="46">
        <v>107</v>
      </c>
      <c r="B1891" s="143" t="s">
        <v>102</v>
      </c>
      <c r="C1891" s="89" t="s">
        <v>734</v>
      </c>
      <c r="D1891" s="141">
        <v>0.02</v>
      </c>
      <c r="E1891" s="141" t="s">
        <v>458</v>
      </c>
    </row>
    <row r="1892" spans="1:5" x14ac:dyDescent="0.25">
      <c r="A1892" s="46">
        <v>107</v>
      </c>
      <c r="B1892" s="143" t="s">
        <v>102</v>
      </c>
      <c r="C1892" s="89" t="s">
        <v>119</v>
      </c>
      <c r="D1892" s="141">
        <v>0.02</v>
      </c>
      <c r="E1892" s="141" t="s">
        <v>458</v>
      </c>
    </row>
    <row r="1893" spans="1:5" x14ac:dyDescent="0.25">
      <c r="A1893" s="46">
        <v>107</v>
      </c>
      <c r="B1893" s="143" t="s">
        <v>102</v>
      </c>
      <c r="C1893" s="89" t="s">
        <v>657</v>
      </c>
      <c r="D1893" s="141">
        <v>0.02</v>
      </c>
      <c r="E1893" s="141" t="s">
        <v>450</v>
      </c>
    </row>
    <row r="1894" spans="1:5" x14ac:dyDescent="0.25">
      <c r="A1894" s="46">
        <v>107</v>
      </c>
      <c r="B1894" s="143" t="s">
        <v>102</v>
      </c>
      <c r="C1894" s="89" t="s">
        <v>742</v>
      </c>
      <c r="D1894" s="141">
        <v>0.02</v>
      </c>
      <c r="E1894" s="141" t="s">
        <v>450</v>
      </c>
    </row>
    <row r="1895" spans="1:5" x14ac:dyDescent="0.25">
      <c r="A1895" s="46">
        <v>107</v>
      </c>
      <c r="B1895" s="143" t="s">
        <v>102</v>
      </c>
      <c r="C1895" s="89" t="s">
        <v>743</v>
      </c>
      <c r="D1895" s="141">
        <v>0.02</v>
      </c>
      <c r="E1895" s="141" t="s">
        <v>450</v>
      </c>
    </row>
    <row r="1896" spans="1:5" x14ac:dyDescent="0.25">
      <c r="A1896" s="46">
        <v>107</v>
      </c>
      <c r="B1896" s="143" t="s">
        <v>102</v>
      </c>
      <c r="C1896" s="89" t="s">
        <v>744</v>
      </c>
      <c r="D1896" s="141">
        <v>0.02</v>
      </c>
      <c r="E1896" s="141" t="s">
        <v>450</v>
      </c>
    </row>
    <row r="1897" spans="1:5" x14ac:dyDescent="0.25">
      <c r="A1897" s="46">
        <v>107</v>
      </c>
      <c r="B1897" s="143" t="s">
        <v>102</v>
      </c>
      <c r="C1897" s="89" t="s">
        <v>656</v>
      </c>
      <c r="D1897" s="141">
        <v>1E-3</v>
      </c>
      <c r="E1897" s="141" t="s">
        <v>450</v>
      </c>
    </row>
    <row r="1898" spans="1:5" x14ac:dyDescent="0.25">
      <c r="A1898" s="46">
        <v>107</v>
      </c>
      <c r="B1898" s="143" t="s">
        <v>102</v>
      </c>
      <c r="C1898" s="89" t="s">
        <v>745</v>
      </c>
      <c r="D1898" s="141">
        <v>2E-3</v>
      </c>
      <c r="E1898" s="141" t="s">
        <v>450</v>
      </c>
    </row>
    <row r="1899" spans="1:5" x14ac:dyDescent="0.25">
      <c r="A1899" s="46">
        <v>107</v>
      </c>
      <c r="B1899" s="143" t="s">
        <v>102</v>
      </c>
      <c r="C1899" s="89" t="s">
        <v>327</v>
      </c>
      <c r="D1899" s="141">
        <v>1.4999999999999999E-2</v>
      </c>
      <c r="E1899" s="141" t="s">
        <v>450</v>
      </c>
    </row>
    <row r="1900" spans="1:5" x14ac:dyDescent="0.25">
      <c r="A1900" s="46">
        <v>107</v>
      </c>
      <c r="B1900" s="143" t="s">
        <v>102</v>
      </c>
      <c r="C1900" s="89" t="s">
        <v>694</v>
      </c>
      <c r="D1900" s="141">
        <v>2E-3</v>
      </c>
      <c r="E1900" s="141" t="s">
        <v>450</v>
      </c>
    </row>
    <row r="1901" spans="1:5" x14ac:dyDescent="0.25">
      <c r="A1901" s="46">
        <v>317</v>
      </c>
      <c r="B1901" s="143" t="s">
        <v>347</v>
      </c>
      <c r="C1901" s="89" t="s">
        <v>1021</v>
      </c>
      <c r="D1901" s="141">
        <v>0.19</v>
      </c>
      <c r="E1901" s="89" t="s">
        <v>450</v>
      </c>
    </row>
    <row r="1902" spans="1:5" x14ac:dyDescent="0.25">
      <c r="A1902" s="46">
        <v>317</v>
      </c>
      <c r="B1902" s="143" t="s">
        <v>347</v>
      </c>
      <c r="C1902" s="89" t="s">
        <v>1016</v>
      </c>
      <c r="D1902" s="141">
        <v>7.0000000000000007E-2</v>
      </c>
      <c r="E1902" s="89" t="s">
        <v>450</v>
      </c>
    </row>
    <row r="1903" spans="1:5" x14ac:dyDescent="0.25">
      <c r="A1903" s="46">
        <v>317</v>
      </c>
      <c r="B1903" s="143" t="s">
        <v>347</v>
      </c>
      <c r="C1903" s="89" t="s">
        <v>1022</v>
      </c>
      <c r="D1903" s="141">
        <v>0.02</v>
      </c>
      <c r="E1903" s="89" t="s">
        <v>450</v>
      </c>
    </row>
    <row r="1904" spans="1:5" x14ac:dyDescent="0.25">
      <c r="A1904" s="46">
        <v>317</v>
      </c>
      <c r="B1904" s="143" t="s">
        <v>347</v>
      </c>
      <c r="C1904" s="89" t="s">
        <v>1020</v>
      </c>
      <c r="D1904" s="141">
        <v>0.05</v>
      </c>
      <c r="E1904" s="89" t="s">
        <v>448</v>
      </c>
    </row>
    <row r="1905" spans="1:5" x14ac:dyDescent="0.25">
      <c r="A1905" s="46">
        <v>317</v>
      </c>
      <c r="B1905" s="143" t="s">
        <v>347</v>
      </c>
      <c r="C1905" s="89" t="s">
        <v>502</v>
      </c>
      <c r="D1905" s="141">
        <v>4.0000000000000001E-3</v>
      </c>
      <c r="E1905" s="89" t="s">
        <v>450</v>
      </c>
    </row>
    <row r="1906" spans="1:5" x14ac:dyDescent="0.25">
      <c r="A1906" s="46">
        <v>317</v>
      </c>
      <c r="B1906" s="143" t="s">
        <v>347</v>
      </c>
      <c r="C1906" s="89" t="s">
        <v>694</v>
      </c>
      <c r="D1906" s="141">
        <v>7.0000000000000001E-3</v>
      </c>
      <c r="E1906" s="89" t="s">
        <v>450</v>
      </c>
    </row>
    <row r="1907" spans="1:5" x14ac:dyDescent="0.25">
      <c r="A1907" s="46">
        <v>317</v>
      </c>
      <c r="B1907" s="143" t="s">
        <v>347</v>
      </c>
      <c r="C1907" s="89" t="s">
        <v>488</v>
      </c>
      <c r="D1907" s="141">
        <v>1E-3</v>
      </c>
      <c r="E1907" s="89" t="s">
        <v>450</v>
      </c>
    </row>
    <row r="1908" spans="1:5" x14ac:dyDescent="0.25">
      <c r="A1908" s="46">
        <v>317</v>
      </c>
      <c r="B1908" s="143" t="s">
        <v>347</v>
      </c>
      <c r="C1908" s="89" t="s">
        <v>487</v>
      </c>
      <c r="D1908" s="141">
        <v>5.0000000000000001E-4</v>
      </c>
      <c r="E1908" s="89" t="s">
        <v>450</v>
      </c>
    </row>
    <row r="1909" spans="1:5" x14ac:dyDescent="0.25">
      <c r="A1909" s="46"/>
      <c r="B1909" s="98" t="s">
        <v>410</v>
      </c>
      <c r="C1909" s="89" t="s">
        <v>1550</v>
      </c>
      <c r="D1909" s="141">
        <v>1</v>
      </c>
      <c r="E1909" s="150" t="s">
        <v>450</v>
      </c>
    </row>
    <row r="1910" spans="1:5" x14ac:dyDescent="0.25">
      <c r="A1910" s="46"/>
      <c r="B1910" s="98" t="s">
        <v>409</v>
      </c>
      <c r="C1910" s="89" t="s">
        <v>1549</v>
      </c>
      <c r="D1910" s="141">
        <v>1</v>
      </c>
      <c r="E1910" s="150" t="s">
        <v>450</v>
      </c>
    </row>
    <row r="1911" spans="1:5" x14ac:dyDescent="0.25">
      <c r="A1911" s="46">
        <v>88</v>
      </c>
      <c r="B1911" s="143" t="s">
        <v>200</v>
      </c>
      <c r="C1911" s="143" t="s">
        <v>625</v>
      </c>
      <c r="D1911" s="144">
        <v>3</v>
      </c>
      <c r="E1911" s="145" t="s">
        <v>749</v>
      </c>
    </row>
    <row r="1912" spans="1:5" x14ac:dyDescent="0.25">
      <c r="A1912" s="46">
        <v>138</v>
      </c>
      <c r="B1912" s="143" t="s">
        <v>221</v>
      </c>
      <c r="C1912" s="89" t="s">
        <v>601</v>
      </c>
      <c r="D1912" s="141">
        <v>0.15</v>
      </c>
      <c r="E1912" s="141" t="s">
        <v>458</v>
      </c>
    </row>
    <row r="1913" spans="1:5" x14ac:dyDescent="0.25">
      <c r="A1913" s="46">
        <v>138</v>
      </c>
      <c r="B1913" s="143" t="s">
        <v>221</v>
      </c>
      <c r="C1913" s="89" t="s">
        <v>648</v>
      </c>
      <c r="D1913" s="141">
        <v>0.01</v>
      </c>
      <c r="E1913" s="141" t="s">
        <v>458</v>
      </c>
    </row>
    <row r="1914" spans="1:5" x14ac:dyDescent="0.25">
      <c r="A1914" s="46">
        <v>138</v>
      </c>
      <c r="B1914" s="143" t="s">
        <v>221</v>
      </c>
      <c r="C1914" s="89" t="s">
        <v>459</v>
      </c>
      <c r="D1914" s="141">
        <v>3.0000000000000001E-3</v>
      </c>
      <c r="E1914" s="141" t="s">
        <v>458</v>
      </c>
    </row>
    <row r="1915" spans="1:5" x14ac:dyDescent="0.25">
      <c r="A1915" s="46">
        <v>138</v>
      </c>
      <c r="B1915" s="143" t="s">
        <v>221</v>
      </c>
      <c r="C1915" s="89" t="s">
        <v>488</v>
      </c>
      <c r="D1915" s="141">
        <v>2E-3</v>
      </c>
      <c r="E1915" s="141" t="s">
        <v>458</v>
      </c>
    </row>
    <row r="1916" spans="1:5" x14ac:dyDescent="0.25">
      <c r="A1916" s="46">
        <v>138</v>
      </c>
      <c r="B1916" s="143" t="s">
        <v>221</v>
      </c>
      <c r="C1916" s="89" t="s">
        <v>636</v>
      </c>
      <c r="D1916" s="141">
        <v>5.0000000000000001E-4</v>
      </c>
      <c r="E1916" s="141" t="s">
        <v>458</v>
      </c>
    </row>
    <row r="1917" spans="1:5" x14ac:dyDescent="0.25">
      <c r="A1917" s="46">
        <v>134</v>
      </c>
      <c r="B1917" s="143" t="s">
        <v>73</v>
      </c>
      <c r="C1917" s="89" t="s">
        <v>786</v>
      </c>
      <c r="D1917" s="141">
        <v>0.11</v>
      </c>
      <c r="E1917" s="141" t="s">
        <v>450</v>
      </c>
    </row>
    <row r="1918" spans="1:5" x14ac:dyDescent="0.25">
      <c r="A1918" s="46">
        <v>134</v>
      </c>
      <c r="B1918" s="143" t="s">
        <v>73</v>
      </c>
      <c r="C1918" s="89" t="s">
        <v>694</v>
      </c>
      <c r="D1918" s="141">
        <v>1E-3</v>
      </c>
      <c r="E1918" s="141" t="s">
        <v>450</v>
      </c>
    </row>
    <row r="1919" spans="1:5" x14ac:dyDescent="0.25">
      <c r="A1919" s="46">
        <v>134</v>
      </c>
      <c r="B1919" s="143" t="s">
        <v>73</v>
      </c>
      <c r="C1919" s="89" t="s">
        <v>453</v>
      </c>
      <c r="D1919" s="141">
        <v>1E-4</v>
      </c>
      <c r="E1919" s="141" t="s">
        <v>458</v>
      </c>
    </row>
    <row r="1920" spans="1:5" x14ac:dyDescent="0.25">
      <c r="A1920" s="46">
        <v>134</v>
      </c>
      <c r="B1920" s="143" t="s">
        <v>73</v>
      </c>
      <c r="C1920" s="89" t="s">
        <v>557</v>
      </c>
      <c r="D1920" s="141">
        <v>0.01</v>
      </c>
      <c r="E1920" s="141" t="s">
        <v>458</v>
      </c>
    </row>
    <row r="1921" spans="1:5" x14ac:dyDescent="0.25">
      <c r="A1921" s="46">
        <v>134</v>
      </c>
      <c r="B1921" s="143" t="s">
        <v>73</v>
      </c>
      <c r="C1921" s="89" t="s">
        <v>480</v>
      </c>
      <c r="D1921" s="141">
        <v>1E-3</v>
      </c>
      <c r="E1921" s="141" t="s">
        <v>458</v>
      </c>
    </row>
    <row r="1922" spans="1:5" x14ac:dyDescent="0.25">
      <c r="A1922" s="46">
        <v>134</v>
      </c>
      <c r="B1922" s="143" t="s">
        <v>73</v>
      </c>
      <c r="C1922" s="89" t="s">
        <v>488</v>
      </c>
      <c r="D1922" s="141">
        <v>2E-3</v>
      </c>
      <c r="E1922" s="141" t="s">
        <v>450</v>
      </c>
    </row>
    <row r="1923" spans="1:5" x14ac:dyDescent="0.25">
      <c r="A1923" s="46">
        <v>134</v>
      </c>
      <c r="B1923" s="143" t="s">
        <v>73</v>
      </c>
      <c r="C1923" s="89" t="s">
        <v>636</v>
      </c>
      <c r="D1923" s="141">
        <v>5.0000000000000001E-4</v>
      </c>
      <c r="E1923" s="141" t="s">
        <v>450</v>
      </c>
    </row>
    <row r="1924" spans="1:5" x14ac:dyDescent="0.25">
      <c r="A1924" s="46"/>
      <c r="B1924" s="98" t="s">
        <v>405</v>
      </c>
      <c r="C1924" s="89" t="s">
        <v>1100</v>
      </c>
      <c r="D1924" s="141">
        <v>1</v>
      </c>
      <c r="E1924" s="150" t="s">
        <v>450</v>
      </c>
    </row>
    <row r="1925" spans="1:5" x14ac:dyDescent="0.25">
      <c r="A1925" s="46">
        <v>309</v>
      </c>
      <c r="B1925" s="143" t="s">
        <v>340</v>
      </c>
      <c r="C1925" s="89" t="s">
        <v>1005</v>
      </c>
      <c r="D1925" s="141">
        <v>0.5</v>
      </c>
      <c r="E1925" s="145" t="s">
        <v>749</v>
      </c>
    </row>
    <row r="1926" spans="1:5" x14ac:dyDescent="0.25">
      <c r="A1926" s="46">
        <v>309</v>
      </c>
      <c r="B1926" s="143" t="s">
        <v>340</v>
      </c>
      <c r="C1926" s="89" t="s">
        <v>657</v>
      </c>
      <c r="D1926" s="141">
        <v>0.03</v>
      </c>
      <c r="E1926" s="89" t="s">
        <v>450</v>
      </c>
    </row>
    <row r="1927" spans="1:5" x14ac:dyDescent="0.25">
      <c r="A1927" s="46">
        <v>309</v>
      </c>
      <c r="B1927" s="143" t="s">
        <v>340</v>
      </c>
      <c r="C1927" s="89" t="s">
        <v>656</v>
      </c>
      <c r="D1927" s="141">
        <v>0.01</v>
      </c>
      <c r="E1927" s="89" t="s">
        <v>450</v>
      </c>
    </row>
    <row r="1928" spans="1:5" x14ac:dyDescent="0.25">
      <c r="A1928" s="46">
        <v>309</v>
      </c>
      <c r="B1928" s="143" t="s">
        <v>340</v>
      </c>
      <c r="C1928" s="89" t="s">
        <v>1006</v>
      </c>
      <c r="D1928" s="141">
        <v>0.02</v>
      </c>
      <c r="E1928" s="89" t="s">
        <v>450</v>
      </c>
    </row>
    <row r="1929" spans="1:5" x14ac:dyDescent="0.25">
      <c r="A1929" s="46">
        <v>309</v>
      </c>
      <c r="B1929" s="143" t="s">
        <v>340</v>
      </c>
      <c r="C1929" s="207" t="s">
        <v>829</v>
      </c>
      <c r="D1929" s="141">
        <v>5.0000000000000001E-3</v>
      </c>
      <c r="E1929" s="89" t="s">
        <v>450</v>
      </c>
    </row>
    <row r="1930" spans="1:5" x14ac:dyDescent="0.25">
      <c r="A1930" s="46">
        <v>309</v>
      </c>
      <c r="B1930" s="143" t="s">
        <v>340</v>
      </c>
      <c r="C1930" s="89" t="s">
        <v>823</v>
      </c>
      <c r="D1930" s="141">
        <v>1E-3</v>
      </c>
      <c r="E1930" s="89" t="s">
        <v>450</v>
      </c>
    </row>
    <row r="1931" spans="1:5" x14ac:dyDescent="0.25">
      <c r="A1931" s="46">
        <v>309</v>
      </c>
      <c r="B1931" s="143" t="s">
        <v>340</v>
      </c>
      <c r="C1931" s="89" t="s">
        <v>569</v>
      </c>
      <c r="D1931" s="141">
        <v>5.0000000000000001E-3</v>
      </c>
      <c r="E1931" s="89" t="s">
        <v>450</v>
      </c>
    </row>
    <row r="1932" spans="1:5" x14ac:dyDescent="0.25">
      <c r="A1932" s="46">
        <v>330</v>
      </c>
      <c r="B1932" s="143" t="s">
        <v>356</v>
      </c>
      <c r="C1932" s="89" t="s">
        <v>1046</v>
      </c>
      <c r="D1932" s="177">
        <v>0.5</v>
      </c>
      <c r="E1932" s="145" t="s">
        <v>749</v>
      </c>
    </row>
    <row r="1933" spans="1:5" x14ac:dyDescent="0.25">
      <c r="A1933" s="46">
        <v>330</v>
      </c>
      <c r="B1933" s="143" t="s">
        <v>356</v>
      </c>
      <c r="C1933" s="89" t="s">
        <v>912</v>
      </c>
      <c r="D1933" s="177">
        <v>0.03</v>
      </c>
      <c r="E1933" s="150" t="s">
        <v>450</v>
      </c>
    </row>
    <row r="1934" spans="1:5" x14ac:dyDescent="0.25">
      <c r="A1934" s="46">
        <v>330</v>
      </c>
      <c r="B1934" s="143" t="s">
        <v>356</v>
      </c>
      <c r="C1934" s="89" t="s">
        <v>1048</v>
      </c>
      <c r="D1934" s="177">
        <v>0.04</v>
      </c>
      <c r="E1934" s="150" t="s">
        <v>450</v>
      </c>
    </row>
    <row r="1935" spans="1:5" x14ac:dyDescent="0.25">
      <c r="A1935" s="46">
        <v>330</v>
      </c>
      <c r="B1935" s="143" t="s">
        <v>356</v>
      </c>
      <c r="C1935" s="156" t="s">
        <v>698</v>
      </c>
      <c r="D1935" s="177">
        <v>0.04</v>
      </c>
      <c r="E1935" s="150" t="s">
        <v>450</v>
      </c>
    </row>
    <row r="1936" spans="1:5" x14ac:dyDescent="0.25">
      <c r="A1936" s="46">
        <v>328</v>
      </c>
      <c r="B1936" s="143" t="s">
        <v>354</v>
      </c>
      <c r="C1936" s="89" t="s">
        <v>785</v>
      </c>
      <c r="D1936" s="48">
        <v>0.09</v>
      </c>
      <c r="E1936" s="98" t="s">
        <v>450</v>
      </c>
    </row>
    <row r="1937" spans="1:5" x14ac:dyDescent="0.25">
      <c r="A1937" s="46">
        <v>328</v>
      </c>
      <c r="B1937" s="143" t="s">
        <v>354</v>
      </c>
      <c r="C1937" s="89" t="s">
        <v>500</v>
      </c>
      <c r="D1937" s="48">
        <v>5.0000000000000001E-3</v>
      </c>
      <c r="E1937" s="98" t="s">
        <v>450</v>
      </c>
    </row>
    <row r="1938" spans="1:5" x14ac:dyDescent="0.25">
      <c r="A1938" s="46">
        <v>328</v>
      </c>
      <c r="B1938" s="143" t="s">
        <v>354</v>
      </c>
      <c r="C1938" s="161" t="s">
        <v>829</v>
      </c>
      <c r="D1938" s="48">
        <v>3.0000000000000001E-3</v>
      </c>
      <c r="E1938" s="98" t="s">
        <v>450</v>
      </c>
    </row>
    <row r="1939" spans="1:5" x14ac:dyDescent="0.25">
      <c r="A1939" s="46">
        <v>328</v>
      </c>
      <c r="B1939" s="143" t="s">
        <v>354</v>
      </c>
      <c r="C1939" s="89" t="s">
        <v>1035</v>
      </c>
      <c r="D1939" s="48">
        <v>5.0000000000000001E-3</v>
      </c>
      <c r="E1939" s="98" t="s">
        <v>450</v>
      </c>
    </row>
    <row r="1940" spans="1:5" x14ac:dyDescent="0.25">
      <c r="A1940" s="46">
        <v>328</v>
      </c>
      <c r="B1940" s="143" t="s">
        <v>354</v>
      </c>
      <c r="C1940" s="156" t="s">
        <v>583</v>
      </c>
      <c r="D1940" s="48">
        <v>5.0000000000000001E-3</v>
      </c>
      <c r="E1940" s="98" t="s">
        <v>450</v>
      </c>
    </row>
    <row r="1941" spans="1:5" x14ac:dyDescent="0.25">
      <c r="A1941" s="46">
        <v>328</v>
      </c>
      <c r="B1941" s="143" t="s">
        <v>354</v>
      </c>
      <c r="C1941" s="89" t="s">
        <v>1047</v>
      </c>
      <c r="D1941" s="48">
        <v>0.04</v>
      </c>
      <c r="E1941" s="98" t="s">
        <v>450</v>
      </c>
    </row>
    <row r="1942" spans="1:5" x14ac:dyDescent="0.25">
      <c r="A1942" s="46">
        <v>328</v>
      </c>
      <c r="B1942" s="143" t="s">
        <v>354</v>
      </c>
      <c r="C1942" s="89" t="s">
        <v>449</v>
      </c>
      <c r="D1942" s="48">
        <v>1E-3</v>
      </c>
      <c r="E1942" s="98" t="s">
        <v>450</v>
      </c>
    </row>
    <row r="1943" spans="1:5" x14ac:dyDescent="0.25">
      <c r="A1943" s="46">
        <v>328</v>
      </c>
      <c r="B1943" s="143" t="s">
        <v>354</v>
      </c>
      <c r="C1943" s="207" t="s">
        <v>503</v>
      </c>
      <c r="D1943" s="48">
        <v>1E-3</v>
      </c>
      <c r="E1943" s="98" t="s">
        <v>450</v>
      </c>
    </row>
    <row r="1944" spans="1:5" x14ac:dyDescent="0.25">
      <c r="A1944" s="46">
        <v>328</v>
      </c>
      <c r="B1944" s="143" t="s">
        <v>354</v>
      </c>
      <c r="C1944" s="89" t="s">
        <v>470</v>
      </c>
      <c r="D1944" s="48">
        <v>1E-3</v>
      </c>
      <c r="E1944" s="98" t="s">
        <v>450</v>
      </c>
    </row>
    <row r="1945" spans="1:5" x14ac:dyDescent="0.25">
      <c r="A1945" s="46">
        <v>328</v>
      </c>
      <c r="B1945" s="143" t="s">
        <v>354</v>
      </c>
      <c r="C1945" s="89" t="s">
        <v>605</v>
      </c>
      <c r="D1945" s="48">
        <v>1E-3</v>
      </c>
      <c r="E1945" s="98" t="s">
        <v>450</v>
      </c>
    </row>
    <row r="1946" spans="1:5" x14ac:dyDescent="0.25">
      <c r="A1946" s="46">
        <v>328</v>
      </c>
      <c r="B1946" s="143" t="s">
        <v>354</v>
      </c>
      <c r="C1946" s="89" t="s">
        <v>688</v>
      </c>
      <c r="D1946" s="48">
        <v>1E-3</v>
      </c>
      <c r="E1946" s="98" t="s">
        <v>450</v>
      </c>
    </row>
    <row r="1947" spans="1:5" x14ac:dyDescent="0.25">
      <c r="A1947" s="46">
        <v>328</v>
      </c>
      <c r="B1947" s="143" t="s">
        <v>354</v>
      </c>
      <c r="C1947" s="89" t="s">
        <v>516</v>
      </c>
      <c r="D1947" s="48">
        <v>1E-3</v>
      </c>
      <c r="E1947" s="98" t="s">
        <v>450</v>
      </c>
    </row>
    <row r="1948" spans="1:5" x14ac:dyDescent="0.25">
      <c r="A1948" s="46">
        <v>327</v>
      </c>
      <c r="B1948" s="143" t="s">
        <v>75</v>
      </c>
      <c r="C1948" s="89" t="s">
        <v>1044</v>
      </c>
      <c r="D1948" s="48">
        <v>0.06</v>
      </c>
      <c r="E1948" s="98" t="s">
        <v>450</v>
      </c>
    </row>
    <row r="1949" spans="1:5" x14ac:dyDescent="0.25">
      <c r="A1949" s="46">
        <v>327</v>
      </c>
      <c r="B1949" s="143" t="s">
        <v>75</v>
      </c>
      <c r="C1949" s="89" t="s">
        <v>1045</v>
      </c>
      <c r="D1949" s="48">
        <v>0.05</v>
      </c>
      <c r="E1949" s="98" t="s">
        <v>450</v>
      </c>
    </row>
    <row r="1950" spans="1:5" x14ac:dyDescent="0.25">
      <c r="A1950" s="46">
        <v>327</v>
      </c>
      <c r="B1950" s="143" t="s">
        <v>75</v>
      </c>
      <c r="C1950" s="89" t="s">
        <v>1035</v>
      </c>
      <c r="D1950" s="48">
        <v>5.0000000000000001E-3</v>
      </c>
      <c r="E1950" s="98" t="s">
        <v>450</v>
      </c>
    </row>
    <row r="1951" spans="1:5" x14ac:dyDescent="0.25">
      <c r="A1951" s="46">
        <v>327</v>
      </c>
      <c r="B1951" s="143" t="s">
        <v>75</v>
      </c>
      <c r="C1951" s="161" t="s">
        <v>745</v>
      </c>
      <c r="D1951" s="48">
        <v>1E-3</v>
      </c>
      <c r="E1951" s="98" t="s">
        <v>450</v>
      </c>
    </row>
    <row r="1952" spans="1:5" x14ac:dyDescent="0.25">
      <c r="A1952" s="46">
        <v>327</v>
      </c>
      <c r="B1952" s="143" t="s">
        <v>75</v>
      </c>
      <c r="C1952" s="89" t="s">
        <v>470</v>
      </c>
      <c r="D1952" s="48">
        <v>1E-3</v>
      </c>
      <c r="E1952" s="98" t="s">
        <v>450</v>
      </c>
    </row>
    <row r="1953" spans="1:5" x14ac:dyDescent="0.25">
      <c r="A1953" s="46">
        <v>327</v>
      </c>
      <c r="B1953" s="143" t="s">
        <v>75</v>
      </c>
      <c r="C1953" s="89" t="s">
        <v>516</v>
      </c>
      <c r="D1953" s="48">
        <v>1E-3</v>
      </c>
      <c r="E1953" s="98" t="s">
        <v>450</v>
      </c>
    </row>
    <row r="1954" spans="1:5" x14ac:dyDescent="0.25">
      <c r="A1954" s="46">
        <v>327</v>
      </c>
      <c r="B1954" s="143" t="s">
        <v>75</v>
      </c>
      <c r="C1954" s="89" t="s">
        <v>1046</v>
      </c>
      <c r="D1954" s="48">
        <v>0.5</v>
      </c>
      <c r="E1954" s="145" t="s">
        <v>749</v>
      </c>
    </row>
    <row r="1955" spans="1:5" x14ac:dyDescent="0.25">
      <c r="A1955" s="46">
        <v>126</v>
      </c>
      <c r="B1955" s="143" t="s">
        <v>47</v>
      </c>
      <c r="C1955" s="143" t="s">
        <v>888</v>
      </c>
      <c r="D1955" s="148">
        <v>0.12</v>
      </c>
      <c r="E1955" s="145" t="s">
        <v>450</v>
      </c>
    </row>
    <row r="1956" spans="1:5" x14ac:dyDescent="0.25">
      <c r="A1956" s="46">
        <v>126</v>
      </c>
      <c r="B1956" s="143" t="s">
        <v>47</v>
      </c>
      <c r="C1956" s="143" t="s">
        <v>466</v>
      </c>
      <c r="D1956" s="208">
        <v>5.0000000000000001E-4</v>
      </c>
      <c r="E1956" s="145" t="s">
        <v>450</v>
      </c>
    </row>
    <row r="1957" spans="1:5" x14ac:dyDescent="0.25">
      <c r="A1957" s="46">
        <v>126</v>
      </c>
      <c r="B1957" s="143" t="s">
        <v>47</v>
      </c>
      <c r="C1957" s="143" t="s">
        <v>489</v>
      </c>
      <c r="D1957" s="148">
        <v>0.01</v>
      </c>
      <c r="E1957" s="145" t="s">
        <v>450</v>
      </c>
    </row>
    <row r="1958" spans="1:5" x14ac:dyDescent="0.25">
      <c r="A1958" s="46">
        <v>126</v>
      </c>
      <c r="B1958" s="143" t="s">
        <v>47</v>
      </c>
      <c r="C1958" s="143" t="s">
        <v>889</v>
      </c>
      <c r="D1958" s="148">
        <v>2E-3</v>
      </c>
      <c r="E1958" s="145" t="s">
        <v>448</v>
      </c>
    </row>
    <row r="1959" spans="1:5" x14ac:dyDescent="0.25">
      <c r="A1959" s="46">
        <v>126</v>
      </c>
      <c r="B1959" s="143" t="s">
        <v>47</v>
      </c>
      <c r="C1959" s="143" t="s">
        <v>461</v>
      </c>
      <c r="D1959" s="148">
        <v>0.02</v>
      </c>
      <c r="E1959" s="145" t="s">
        <v>458</v>
      </c>
    </row>
    <row r="1960" spans="1:5" x14ac:dyDescent="0.25">
      <c r="A1960" s="46">
        <v>126</v>
      </c>
      <c r="B1960" s="143" t="s">
        <v>47</v>
      </c>
      <c r="C1960" s="143" t="s">
        <v>485</v>
      </c>
      <c r="D1960" s="148">
        <v>3.0000000000000001E-3</v>
      </c>
      <c r="E1960" s="145" t="s">
        <v>450</v>
      </c>
    </row>
    <row r="1961" spans="1:5" x14ac:dyDescent="0.25">
      <c r="A1961" s="46">
        <v>126</v>
      </c>
      <c r="B1961" s="143" t="s">
        <v>47</v>
      </c>
      <c r="C1961" s="143" t="s">
        <v>554</v>
      </c>
      <c r="D1961" s="148">
        <v>0.2</v>
      </c>
      <c r="E1961" s="145" t="s">
        <v>450</v>
      </c>
    </row>
    <row r="1962" spans="1:5" x14ac:dyDescent="0.25">
      <c r="A1962" s="46">
        <v>126</v>
      </c>
      <c r="B1962" s="143" t="s">
        <v>47</v>
      </c>
      <c r="C1962" s="143" t="s">
        <v>770</v>
      </c>
      <c r="D1962" s="148">
        <v>0.02</v>
      </c>
      <c r="E1962" s="145" t="s">
        <v>450</v>
      </c>
    </row>
    <row r="1963" spans="1:5" x14ac:dyDescent="0.25">
      <c r="A1963" s="46">
        <v>126</v>
      </c>
      <c r="B1963" s="143" t="s">
        <v>47</v>
      </c>
      <c r="C1963" s="143" t="s">
        <v>697</v>
      </c>
      <c r="D1963" s="148">
        <v>0.02</v>
      </c>
      <c r="E1963" s="145" t="s">
        <v>450</v>
      </c>
    </row>
    <row r="1964" spans="1:5" x14ac:dyDescent="0.25">
      <c r="A1964" s="46">
        <v>126</v>
      </c>
      <c r="B1964" s="143" t="s">
        <v>47</v>
      </c>
      <c r="C1964" s="139" t="s">
        <v>520</v>
      </c>
      <c r="D1964" s="148">
        <v>0.08</v>
      </c>
      <c r="E1964" s="145" t="s">
        <v>450</v>
      </c>
    </row>
    <row r="1965" spans="1:5" x14ac:dyDescent="0.25">
      <c r="A1965" s="46">
        <v>126</v>
      </c>
      <c r="B1965" s="143" t="s">
        <v>47</v>
      </c>
      <c r="C1965" s="152" t="s">
        <v>503</v>
      </c>
      <c r="D1965" s="148">
        <v>4.4999999999999998E-2</v>
      </c>
      <c r="E1965" s="145" t="s">
        <v>450</v>
      </c>
    </row>
    <row r="1966" spans="1:5" x14ac:dyDescent="0.25">
      <c r="A1966" s="46">
        <v>291</v>
      </c>
      <c r="B1966" s="143" t="s">
        <v>323</v>
      </c>
      <c r="C1966" s="143" t="s">
        <v>500</v>
      </c>
      <c r="D1966" s="141">
        <v>1.4999999999999999E-2</v>
      </c>
      <c r="E1966" s="89">
        <v>9</v>
      </c>
    </row>
    <row r="1967" spans="1:5" x14ac:dyDescent="0.25">
      <c r="A1967" s="46">
        <v>291</v>
      </c>
      <c r="B1967" s="143" t="s">
        <v>323</v>
      </c>
      <c r="C1967" s="89" t="s">
        <v>726</v>
      </c>
      <c r="D1967" s="141">
        <v>4.0000000000000001E-3</v>
      </c>
      <c r="E1967" s="89">
        <v>8</v>
      </c>
    </row>
    <row r="1968" spans="1:5" x14ac:dyDescent="0.25">
      <c r="A1968" s="46">
        <v>291</v>
      </c>
      <c r="B1968" s="143" t="s">
        <v>323</v>
      </c>
      <c r="C1968" s="89" t="s">
        <v>469</v>
      </c>
      <c r="D1968" s="141">
        <v>1.4999999999999999E-2</v>
      </c>
      <c r="E1968" s="89" t="s">
        <v>448</v>
      </c>
    </row>
    <row r="1969" spans="1:5" x14ac:dyDescent="0.25">
      <c r="A1969" s="46">
        <v>291</v>
      </c>
      <c r="B1969" s="143" t="s">
        <v>323</v>
      </c>
      <c r="C1969" s="89" t="s">
        <v>955</v>
      </c>
      <c r="D1969" s="141">
        <v>1</v>
      </c>
      <c r="E1969" s="89" t="s">
        <v>458</v>
      </c>
    </row>
    <row r="1970" spans="1:5" x14ac:dyDescent="0.25">
      <c r="A1970" s="46">
        <v>291</v>
      </c>
      <c r="B1970" s="143" t="s">
        <v>323</v>
      </c>
      <c r="C1970" s="89" t="s">
        <v>891</v>
      </c>
      <c r="D1970" s="141">
        <v>2E-3</v>
      </c>
      <c r="E1970" s="89" t="s">
        <v>458</v>
      </c>
    </row>
    <row r="1971" spans="1:5" x14ac:dyDescent="0.25">
      <c r="A1971" s="46">
        <v>291</v>
      </c>
      <c r="B1971" s="143" t="s">
        <v>323</v>
      </c>
      <c r="C1971" s="152" t="s">
        <v>503</v>
      </c>
      <c r="D1971" s="141">
        <v>1E-3</v>
      </c>
      <c r="E1971" s="89" t="s">
        <v>458</v>
      </c>
    </row>
    <row r="1972" spans="1:5" x14ac:dyDescent="0.25">
      <c r="A1972" s="46">
        <v>291</v>
      </c>
      <c r="B1972" s="143" t="s">
        <v>323</v>
      </c>
      <c r="C1972" s="143" t="s">
        <v>449</v>
      </c>
      <c r="D1972" s="141">
        <v>1E-3</v>
      </c>
      <c r="E1972" s="89" t="s">
        <v>458</v>
      </c>
    </row>
    <row r="1973" spans="1:5" x14ac:dyDescent="0.25">
      <c r="A1973" s="46">
        <v>291</v>
      </c>
      <c r="B1973" s="143" t="s">
        <v>323</v>
      </c>
      <c r="C1973" s="89" t="s">
        <v>493</v>
      </c>
      <c r="D1973" s="141">
        <v>1E-4</v>
      </c>
      <c r="E1973" s="89" t="s">
        <v>458</v>
      </c>
    </row>
    <row r="1974" spans="1:5" x14ac:dyDescent="0.25">
      <c r="A1974" s="46">
        <v>291</v>
      </c>
      <c r="B1974" s="143" t="s">
        <v>323</v>
      </c>
      <c r="C1974" s="89" t="s">
        <v>534</v>
      </c>
      <c r="D1974" s="141">
        <v>1E-4</v>
      </c>
      <c r="E1974" s="89" t="s">
        <v>458</v>
      </c>
    </row>
    <row r="1975" spans="1:5" x14ac:dyDescent="0.25">
      <c r="A1975" s="46">
        <v>291</v>
      </c>
      <c r="B1975" s="143" t="s">
        <v>323</v>
      </c>
      <c r="C1975" s="89" t="s">
        <v>688</v>
      </c>
      <c r="D1975" s="141">
        <v>1.0000000000000001E-5</v>
      </c>
      <c r="E1975" s="89" t="s">
        <v>458</v>
      </c>
    </row>
    <row r="1976" spans="1:5" x14ac:dyDescent="0.25">
      <c r="A1976" s="46">
        <v>291</v>
      </c>
      <c r="B1976" s="143" t="s">
        <v>323</v>
      </c>
      <c r="C1976" s="143" t="s">
        <v>578</v>
      </c>
      <c r="D1976" s="141">
        <v>1.0000000000000001E-5</v>
      </c>
      <c r="E1976" s="89" t="s">
        <v>458</v>
      </c>
    </row>
    <row r="1977" spans="1:5" x14ac:dyDescent="0.25">
      <c r="A1977" s="46">
        <v>291</v>
      </c>
      <c r="B1977" s="143" t="s">
        <v>323</v>
      </c>
      <c r="C1977" s="89" t="s">
        <v>478</v>
      </c>
      <c r="D1977" s="141">
        <v>2E-3</v>
      </c>
      <c r="E1977" s="89" t="s">
        <v>448</v>
      </c>
    </row>
    <row r="1978" spans="1:5" x14ac:dyDescent="0.25">
      <c r="A1978" s="46">
        <v>311</v>
      </c>
      <c r="B1978" s="143" t="s">
        <v>1556</v>
      </c>
      <c r="C1978" s="89" t="s">
        <v>1005</v>
      </c>
      <c r="D1978" s="141">
        <v>0.5</v>
      </c>
      <c r="E1978" s="145" t="s">
        <v>749</v>
      </c>
    </row>
    <row r="1979" spans="1:5" x14ac:dyDescent="0.25">
      <c r="A1979" s="46">
        <v>311</v>
      </c>
      <c r="B1979" s="143" t="s">
        <v>1556</v>
      </c>
      <c r="C1979" s="156" t="s">
        <v>491</v>
      </c>
      <c r="D1979" s="141">
        <v>0.17</v>
      </c>
      <c r="E1979" s="89" t="s">
        <v>450</v>
      </c>
    </row>
    <row r="1980" spans="1:5" x14ac:dyDescent="0.25">
      <c r="A1980" s="46">
        <v>311</v>
      </c>
      <c r="B1980" s="143" t="s">
        <v>1556</v>
      </c>
      <c r="C1980" s="89" t="s">
        <v>1013</v>
      </c>
      <c r="D1980" s="141">
        <v>0.01</v>
      </c>
      <c r="E1980" s="89" t="s">
        <v>450</v>
      </c>
    </row>
    <row r="1981" spans="1:5" x14ac:dyDescent="0.25">
      <c r="A1981" s="46">
        <v>311</v>
      </c>
      <c r="B1981" s="143" t="s">
        <v>1556</v>
      </c>
      <c r="C1981" s="89" t="s">
        <v>502</v>
      </c>
      <c r="D1981" s="141">
        <v>1E-3</v>
      </c>
      <c r="E1981" s="89"/>
    </row>
    <row r="1982" spans="1:5" x14ac:dyDescent="0.25">
      <c r="A1982" s="46">
        <v>311</v>
      </c>
      <c r="B1982" s="143" t="s">
        <v>1556</v>
      </c>
      <c r="C1982" s="89" t="s">
        <v>823</v>
      </c>
      <c r="D1982" s="141">
        <v>1E-3</v>
      </c>
      <c r="E1982" s="89"/>
    </row>
    <row r="1983" spans="1:5" x14ac:dyDescent="0.25">
      <c r="A1983" s="46"/>
      <c r="B1983" s="98" t="s">
        <v>413</v>
      </c>
      <c r="C1983" s="89" t="s">
        <v>500</v>
      </c>
      <c r="D1983" s="141">
        <v>1</v>
      </c>
      <c r="E1983" s="150" t="s">
        <v>450</v>
      </c>
    </row>
    <row r="1984" spans="1:5" x14ac:dyDescent="0.25">
      <c r="A1984" s="46">
        <v>324</v>
      </c>
      <c r="B1984" s="143" t="s">
        <v>352</v>
      </c>
      <c r="C1984" s="89" t="s">
        <v>1036</v>
      </c>
      <c r="D1984" s="141">
        <v>0.06</v>
      </c>
      <c r="E1984" s="98" t="s">
        <v>450</v>
      </c>
    </row>
    <row r="1985" spans="1:5" x14ac:dyDescent="0.25">
      <c r="A1985" s="46">
        <v>324</v>
      </c>
      <c r="B1985" s="143" t="s">
        <v>352</v>
      </c>
      <c r="C1985" s="89" t="s">
        <v>925</v>
      </c>
      <c r="D1985" s="141">
        <v>7.4999999999999997E-2</v>
      </c>
      <c r="E1985" s="98" t="s">
        <v>450</v>
      </c>
    </row>
    <row r="1986" spans="1:5" x14ac:dyDescent="0.25">
      <c r="A1986" s="46">
        <v>324</v>
      </c>
      <c r="B1986" s="143" t="s">
        <v>352</v>
      </c>
      <c r="C1986" s="89" t="s">
        <v>1033</v>
      </c>
      <c r="D1986" s="141">
        <v>0.06</v>
      </c>
      <c r="E1986" s="98" t="s">
        <v>450</v>
      </c>
    </row>
    <row r="1987" spans="1:5" x14ac:dyDescent="0.25">
      <c r="A1987" s="46">
        <v>324</v>
      </c>
      <c r="B1987" s="143" t="s">
        <v>352</v>
      </c>
      <c r="C1987" s="89" t="s">
        <v>1037</v>
      </c>
      <c r="D1987" s="141">
        <v>1.4999999999999999E-2</v>
      </c>
      <c r="E1987" s="98" t="s">
        <v>450</v>
      </c>
    </row>
    <row r="1988" spans="1:5" x14ac:dyDescent="0.25">
      <c r="A1988" s="46">
        <v>324</v>
      </c>
      <c r="B1988" s="143" t="s">
        <v>352</v>
      </c>
      <c r="C1988" s="89" t="s">
        <v>697</v>
      </c>
      <c r="D1988" s="141">
        <v>0.02</v>
      </c>
      <c r="E1988" s="98" t="s">
        <v>450</v>
      </c>
    </row>
    <row r="1989" spans="1:5" x14ac:dyDescent="0.25">
      <c r="A1989" s="46">
        <v>324</v>
      </c>
      <c r="B1989" s="143" t="s">
        <v>352</v>
      </c>
      <c r="C1989" s="89" t="s">
        <v>478</v>
      </c>
      <c r="D1989" s="141">
        <v>3.0000000000000001E-3</v>
      </c>
      <c r="E1989" s="98" t="s">
        <v>448</v>
      </c>
    </row>
    <row r="1990" spans="1:5" x14ac:dyDescent="0.25">
      <c r="A1990" s="46">
        <v>324</v>
      </c>
      <c r="B1990" s="143" t="s">
        <v>352</v>
      </c>
      <c r="C1990" s="89" t="s">
        <v>470</v>
      </c>
      <c r="D1990" s="182">
        <v>1E-3</v>
      </c>
      <c r="E1990" s="98" t="s">
        <v>450</v>
      </c>
    </row>
    <row r="1991" spans="1:5" x14ac:dyDescent="0.25">
      <c r="A1991" s="46">
        <v>324</v>
      </c>
      <c r="B1991" s="143" t="s">
        <v>352</v>
      </c>
      <c r="C1991" s="89" t="s">
        <v>516</v>
      </c>
      <c r="D1991" s="182">
        <v>1E-3</v>
      </c>
      <c r="E1991" s="98" t="s">
        <v>450</v>
      </c>
    </row>
    <row r="1992" spans="1:5" x14ac:dyDescent="0.25">
      <c r="A1992" s="46">
        <v>115</v>
      </c>
      <c r="B1992" s="143" t="s">
        <v>210</v>
      </c>
      <c r="C1992" s="89" t="s">
        <v>722</v>
      </c>
      <c r="D1992" s="141">
        <v>2</v>
      </c>
      <c r="E1992" s="145" t="s">
        <v>749</v>
      </c>
    </row>
    <row r="1993" spans="1:5" x14ac:dyDescent="0.25">
      <c r="A1993" s="46">
        <v>115</v>
      </c>
      <c r="B1993" s="143" t="s">
        <v>210</v>
      </c>
      <c r="C1993" s="89" t="s">
        <v>734</v>
      </c>
      <c r="D1993" s="141">
        <v>2.5000000000000001E-2</v>
      </c>
      <c r="E1993" s="141" t="s">
        <v>450</v>
      </c>
    </row>
    <row r="1994" spans="1:5" x14ac:dyDescent="0.25">
      <c r="A1994" s="46">
        <v>115</v>
      </c>
      <c r="B1994" s="143" t="s">
        <v>210</v>
      </c>
      <c r="C1994" s="89" t="s">
        <v>760</v>
      </c>
      <c r="D1994" s="141">
        <v>0.02</v>
      </c>
      <c r="E1994" s="141" t="s">
        <v>450</v>
      </c>
    </row>
    <row r="1995" spans="1:5" x14ac:dyDescent="0.25">
      <c r="A1995" s="46">
        <v>115</v>
      </c>
      <c r="B1995" s="143" t="s">
        <v>210</v>
      </c>
      <c r="C1995" s="89" t="s">
        <v>451</v>
      </c>
      <c r="D1995" s="141">
        <v>2.5000000000000001E-2</v>
      </c>
      <c r="E1995" s="141" t="s">
        <v>458</v>
      </c>
    </row>
    <row r="1996" spans="1:5" x14ac:dyDescent="0.25">
      <c r="A1996" s="46">
        <v>115</v>
      </c>
      <c r="B1996" s="143" t="s">
        <v>210</v>
      </c>
      <c r="C1996" s="89" t="s">
        <v>404</v>
      </c>
      <c r="D1996" s="141">
        <v>2.5000000000000001E-2</v>
      </c>
      <c r="E1996" s="141" t="s">
        <v>458</v>
      </c>
    </row>
    <row r="1997" spans="1:5" x14ac:dyDescent="0.25">
      <c r="A1997" s="46">
        <v>115</v>
      </c>
      <c r="B1997" s="143" t="s">
        <v>210</v>
      </c>
      <c r="C1997" s="89" t="s">
        <v>656</v>
      </c>
      <c r="D1997" s="141">
        <v>0.01</v>
      </c>
      <c r="E1997" s="141" t="s">
        <v>450</v>
      </c>
    </row>
    <row r="1998" spans="1:5" x14ac:dyDescent="0.25">
      <c r="A1998" s="46">
        <v>115</v>
      </c>
      <c r="B1998" s="143" t="s">
        <v>210</v>
      </c>
      <c r="C1998" s="89" t="s">
        <v>488</v>
      </c>
      <c r="D1998" s="141">
        <v>1E-3</v>
      </c>
      <c r="E1998" s="141" t="s">
        <v>450</v>
      </c>
    </row>
    <row r="1999" spans="1:5" x14ac:dyDescent="0.25">
      <c r="A1999" s="46">
        <v>115</v>
      </c>
      <c r="B1999" s="143" t="s">
        <v>210</v>
      </c>
      <c r="C1999" s="89" t="s">
        <v>467</v>
      </c>
      <c r="D1999" s="141">
        <v>1E-3</v>
      </c>
      <c r="E1999" s="141" t="s">
        <v>450</v>
      </c>
    </row>
    <row r="2000" spans="1:5" x14ac:dyDescent="0.25">
      <c r="A2000" s="46">
        <v>115</v>
      </c>
      <c r="B2000" s="143" t="s">
        <v>210</v>
      </c>
      <c r="C2000" s="89" t="s">
        <v>476</v>
      </c>
      <c r="D2000" s="141">
        <v>6.0000000000000001E-3</v>
      </c>
      <c r="E2000" s="141" t="s">
        <v>450</v>
      </c>
    </row>
    <row r="2001" spans="1:5" x14ac:dyDescent="0.25">
      <c r="A2001" s="46">
        <v>115</v>
      </c>
      <c r="B2001" s="143" t="s">
        <v>210</v>
      </c>
      <c r="C2001" s="89" t="s">
        <v>520</v>
      </c>
      <c r="D2001" s="141">
        <v>5.0000000000000001E-3</v>
      </c>
      <c r="E2001" s="141" t="s">
        <v>450</v>
      </c>
    </row>
    <row r="2002" spans="1:5" x14ac:dyDescent="0.25">
      <c r="A2002" s="46">
        <v>115</v>
      </c>
      <c r="B2002" s="143" t="s">
        <v>210</v>
      </c>
      <c r="C2002" s="89" t="s">
        <v>761</v>
      </c>
      <c r="D2002" s="141">
        <v>0.02</v>
      </c>
      <c r="E2002" s="141" t="s">
        <v>450</v>
      </c>
    </row>
    <row r="2003" spans="1:5" x14ac:dyDescent="0.25">
      <c r="A2003" s="46">
        <v>35</v>
      </c>
      <c r="B2003" s="143" t="s">
        <v>1496</v>
      </c>
      <c r="C2003" s="209" t="s">
        <v>769</v>
      </c>
      <c r="D2003" s="148">
        <v>0.15</v>
      </c>
      <c r="E2003" s="210" t="s">
        <v>458</v>
      </c>
    </row>
    <row r="2004" spans="1:5" x14ac:dyDescent="0.25">
      <c r="A2004" s="46">
        <v>35</v>
      </c>
      <c r="B2004" s="143" t="s">
        <v>1496</v>
      </c>
      <c r="C2004" s="146" t="s">
        <v>622</v>
      </c>
      <c r="D2004" s="148">
        <v>0.15</v>
      </c>
      <c r="E2004" s="169" t="s">
        <v>458</v>
      </c>
    </row>
    <row r="2005" spans="1:5" x14ac:dyDescent="0.25">
      <c r="A2005" s="46">
        <v>35</v>
      </c>
      <c r="B2005" s="143" t="s">
        <v>1496</v>
      </c>
      <c r="C2005" s="146" t="s">
        <v>327</v>
      </c>
      <c r="D2005" s="148">
        <v>1.4999999999999999E-2</v>
      </c>
      <c r="E2005" s="145" t="s">
        <v>450</v>
      </c>
    </row>
    <row r="2006" spans="1:5" x14ac:dyDescent="0.25">
      <c r="A2006" s="46">
        <v>35</v>
      </c>
      <c r="B2006" s="143" t="s">
        <v>1496</v>
      </c>
      <c r="C2006" s="146" t="s">
        <v>466</v>
      </c>
      <c r="D2006" s="148">
        <v>1E-3</v>
      </c>
      <c r="E2006" s="145" t="s">
        <v>450</v>
      </c>
    </row>
    <row r="2007" spans="1:5" x14ac:dyDescent="0.25">
      <c r="A2007" s="46">
        <v>35</v>
      </c>
      <c r="B2007" s="143" t="s">
        <v>1496</v>
      </c>
      <c r="C2007" s="146" t="s">
        <v>626</v>
      </c>
      <c r="D2007" s="148">
        <v>0.01</v>
      </c>
      <c r="E2007" s="145" t="s">
        <v>448</v>
      </c>
    </row>
    <row r="2008" spans="1:5" x14ac:dyDescent="0.25">
      <c r="A2008" s="46">
        <v>35</v>
      </c>
      <c r="B2008" s="143" t="s">
        <v>1496</v>
      </c>
      <c r="C2008" s="146" t="s">
        <v>627</v>
      </c>
      <c r="D2008" s="151">
        <v>1</v>
      </c>
      <c r="E2008" s="145" t="s">
        <v>594</v>
      </c>
    </row>
    <row r="2009" spans="1:5" x14ac:dyDescent="0.25">
      <c r="A2009" s="46">
        <v>35</v>
      </c>
      <c r="B2009" s="143" t="s">
        <v>1496</v>
      </c>
      <c r="C2009" s="146" t="s">
        <v>498</v>
      </c>
      <c r="D2009" s="148">
        <v>1.4999999999999999E-2</v>
      </c>
      <c r="E2009" s="145" t="s">
        <v>450</v>
      </c>
    </row>
    <row r="2010" spans="1:5" x14ac:dyDescent="0.25">
      <c r="A2010" s="46">
        <v>35</v>
      </c>
      <c r="B2010" s="143" t="s">
        <v>1496</v>
      </c>
      <c r="C2010" s="143" t="s">
        <v>467</v>
      </c>
      <c r="D2010" s="149">
        <v>5.0000000000000001E-4</v>
      </c>
      <c r="E2010" s="145" t="s">
        <v>448</v>
      </c>
    </row>
    <row r="2011" spans="1:5" x14ac:dyDescent="0.25">
      <c r="A2011" s="46">
        <v>35</v>
      </c>
      <c r="B2011" s="143" t="s">
        <v>1496</v>
      </c>
      <c r="C2011" s="143" t="s">
        <v>628</v>
      </c>
      <c r="D2011" s="149">
        <v>0.01</v>
      </c>
      <c r="E2011" s="145" t="s">
        <v>450</v>
      </c>
    </row>
    <row r="2012" spans="1:5" x14ac:dyDescent="0.25">
      <c r="A2012" s="46">
        <v>35</v>
      </c>
      <c r="B2012" s="143" t="s">
        <v>1496</v>
      </c>
      <c r="C2012" s="143" t="s">
        <v>487</v>
      </c>
      <c r="D2012" s="149">
        <v>5.0000000000000001E-4</v>
      </c>
      <c r="E2012" s="145" t="s">
        <v>450</v>
      </c>
    </row>
    <row r="2013" spans="1:5" x14ac:dyDescent="0.25">
      <c r="A2013" s="46">
        <v>35</v>
      </c>
      <c r="B2013" s="143" t="s">
        <v>1496</v>
      </c>
      <c r="C2013" s="146" t="s">
        <v>527</v>
      </c>
      <c r="D2013" s="148">
        <v>1E-3</v>
      </c>
      <c r="E2013" s="145" t="s">
        <v>458</v>
      </c>
    </row>
    <row r="2014" spans="1:5" x14ac:dyDescent="0.25">
      <c r="A2014" s="46">
        <v>35</v>
      </c>
      <c r="B2014" s="143" t="s">
        <v>1496</v>
      </c>
      <c r="C2014" s="89" t="s">
        <v>629</v>
      </c>
      <c r="D2014" s="148">
        <v>2E-3</v>
      </c>
      <c r="E2014" s="145" t="s">
        <v>458</v>
      </c>
    </row>
    <row r="2015" spans="1:5" x14ac:dyDescent="0.25">
      <c r="A2015" s="46">
        <v>35</v>
      </c>
      <c r="B2015" s="143" t="s">
        <v>1496</v>
      </c>
      <c r="C2015" s="146" t="s">
        <v>477</v>
      </c>
      <c r="D2015" s="148">
        <v>2E-3</v>
      </c>
      <c r="E2015" s="145" t="s">
        <v>458</v>
      </c>
    </row>
    <row r="2016" spans="1:5" x14ac:dyDescent="0.25">
      <c r="A2016" s="46">
        <v>35</v>
      </c>
      <c r="B2016" s="143" t="s">
        <v>1496</v>
      </c>
      <c r="C2016" s="146" t="s">
        <v>630</v>
      </c>
      <c r="D2016" s="157">
        <v>1.4999999999999999E-2</v>
      </c>
      <c r="E2016" s="145" t="s">
        <v>458</v>
      </c>
    </row>
    <row r="2017" spans="1:5" x14ac:dyDescent="0.25">
      <c r="A2017" s="46">
        <v>35</v>
      </c>
      <c r="B2017" s="143" t="s">
        <v>1496</v>
      </c>
      <c r="C2017" s="146" t="s">
        <v>631</v>
      </c>
      <c r="D2017" s="157">
        <v>0.02</v>
      </c>
      <c r="E2017" s="145" t="s">
        <v>458</v>
      </c>
    </row>
    <row r="2018" spans="1:5" x14ac:dyDescent="0.25">
      <c r="A2018" s="46">
        <v>35</v>
      </c>
      <c r="B2018" s="143" t="s">
        <v>1496</v>
      </c>
      <c r="C2018" s="146" t="s">
        <v>615</v>
      </c>
      <c r="D2018" s="157">
        <v>0.04</v>
      </c>
      <c r="E2018" s="145" t="s">
        <v>458</v>
      </c>
    </row>
    <row r="2019" spans="1:5" x14ac:dyDescent="0.25">
      <c r="A2019" s="46">
        <v>331</v>
      </c>
      <c r="B2019" s="143" t="s">
        <v>357</v>
      </c>
      <c r="C2019" s="89" t="s">
        <v>549</v>
      </c>
      <c r="D2019" s="177">
        <v>0.15</v>
      </c>
      <c r="E2019" s="150" t="s">
        <v>450</v>
      </c>
    </row>
    <row r="2020" spans="1:5" x14ac:dyDescent="0.25">
      <c r="A2020" s="46">
        <v>331</v>
      </c>
      <c r="B2020" s="143" t="s">
        <v>357</v>
      </c>
      <c r="C2020" s="89" t="s">
        <v>1049</v>
      </c>
      <c r="D2020" s="177">
        <v>5.0000000000000001E-3</v>
      </c>
      <c r="E2020" s="150" t="s">
        <v>450</v>
      </c>
    </row>
    <row r="2021" spans="1:5" x14ac:dyDescent="0.25">
      <c r="A2021" s="46">
        <v>331</v>
      </c>
      <c r="B2021" s="143" t="s">
        <v>357</v>
      </c>
      <c r="C2021" s="89" t="s">
        <v>504</v>
      </c>
      <c r="D2021" s="177">
        <v>0.01</v>
      </c>
      <c r="E2021" s="150" t="s">
        <v>450</v>
      </c>
    </row>
    <row r="2022" spans="1:5" x14ac:dyDescent="0.25">
      <c r="A2022" s="46">
        <v>331</v>
      </c>
      <c r="B2022" s="143" t="s">
        <v>357</v>
      </c>
      <c r="C2022" s="89" t="s">
        <v>605</v>
      </c>
      <c r="D2022" s="177">
        <v>0.01</v>
      </c>
      <c r="E2022" s="150" t="s">
        <v>450</v>
      </c>
    </row>
    <row r="2023" spans="1:5" x14ac:dyDescent="0.25">
      <c r="A2023" s="46">
        <v>331</v>
      </c>
      <c r="B2023" s="143" t="s">
        <v>357</v>
      </c>
      <c r="C2023" s="89" t="s">
        <v>687</v>
      </c>
      <c r="D2023" s="48">
        <v>1E-3</v>
      </c>
      <c r="E2023" s="150" t="s">
        <v>450</v>
      </c>
    </row>
    <row r="2024" spans="1:5" x14ac:dyDescent="0.25">
      <c r="A2024" s="46">
        <v>331</v>
      </c>
      <c r="B2024" s="143" t="s">
        <v>357</v>
      </c>
      <c r="C2024" s="89" t="s">
        <v>466</v>
      </c>
      <c r="D2024" s="177">
        <v>2E-3</v>
      </c>
      <c r="E2024" s="150" t="s">
        <v>450</v>
      </c>
    </row>
    <row r="2025" spans="1:5" x14ac:dyDescent="0.25">
      <c r="A2025" s="46">
        <v>331</v>
      </c>
      <c r="B2025" s="143" t="s">
        <v>357</v>
      </c>
      <c r="C2025" s="89" t="s">
        <v>1002</v>
      </c>
      <c r="D2025" s="177">
        <v>1E-3</v>
      </c>
      <c r="E2025" s="150" t="s">
        <v>450</v>
      </c>
    </row>
    <row r="2026" spans="1:5" x14ac:dyDescent="0.25">
      <c r="A2026" s="46">
        <v>331</v>
      </c>
      <c r="B2026" s="143" t="s">
        <v>357</v>
      </c>
      <c r="C2026" s="89" t="s">
        <v>588</v>
      </c>
      <c r="D2026" s="177">
        <v>2E-3</v>
      </c>
      <c r="E2026" s="150" t="s">
        <v>450</v>
      </c>
    </row>
    <row r="2027" spans="1:5" x14ac:dyDescent="0.25">
      <c r="A2027" s="46">
        <v>312</v>
      </c>
      <c r="B2027" s="143" t="s">
        <v>343</v>
      </c>
      <c r="C2027" s="89" t="s">
        <v>626</v>
      </c>
      <c r="D2027" s="141">
        <v>0.01</v>
      </c>
      <c r="E2027" s="89" t="s">
        <v>448</v>
      </c>
    </row>
    <row r="2028" spans="1:5" x14ac:dyDescent="0.25">
      <c r="A2028" s="46">
        <v>312</v>
      </c>
      <c r="B2028" s="143" t="s">
        <v>343</v>
      </c>
      <c r="C2028" s="89" t="s">
        <v>1014</v>
      </c>
      <c r="D2028" s="141">
        <v>0.05</v>
      </c>
      <c r="E2028" s="89" t="s">
        <v>450</v>
      </c>
    </row>
    <row r="2029" spans="1:5" x14ac:dyDescent="0.25">
      <c r="A2029" s="46">
        <v>312</v>
      </c>
      <c r="B2029" s="143" t="s">
        <v>343</v>
      </c>
      <c r="C2029" s="89" t="s">
        <v>1003</v>
      </c>
      <c r="D2029" s="141">
        <v>0.01</v>
      </c>
      <c r="E2029" s="89" t="s">
        <v>450</v>
      </c>
    </row>
    <row r="2030" spans="1:5" x14ac:dyDescent="0.25">
      <c r="A2030" s="46">
        <v>312</v>
      </c>
      <c r="B2030" s="143" t="s">
        <v>343</v>
      </c>
      <c r="C2030" s="89" t="s">
        <v>630</v>
      </c>
      <c r="D2030" s="141">
        <v>0.03</v>
      </c>
      <c r="E2030" s="89" t="s">
        <v>450</v>
      </c>
    </row>
    <row r="2031" spans="1:5" x14ac:dyDescent="0.25">
      <c r="A2031" s="46">
        <v>312</v>
      </c>
      <c r="B2031" s="143" t="s">
        <v>343</v>
      </c>
      <c r="C2031" s="89" t="s">
        <v>769</v>
      </c>
      <c r="D2031" s="141">
        <v>0.15</v>
      </c>
      <c r="E2031" s="89" t="s">
        <v>450</v>
      </c>
    </row>
    <row r="2032" spans="1:5" x14ac:dyDescent="0.25">
      <c r="A2032" s="46">
        <v>312</v>
      </c>
      <c r="B2032" s="143" t="s">
        <v>343</v>
      </c>
      <c r="C2032" s="89" t="s">
        <v>573</v>
      </c>
      <c r="D2032" s="141">
        <v>1E-3</v>
      </c>
      <c r="E2032" s="89"/>
    </row>
    <row r="2033" spans="1:5" x14ac:dyDescent="0.25">
      <c r="A2033" s="46">
        <v>312</v>
      </c>
      <c r="B2033" s="143" t="s">
        <v>343</v>
      </c>
      <c r="C2033" s="89" t="s">
        <v>488</v>
      </c>
      <c r="D2033" s="141">
        <v>1E-3</v>
      </c>
      <c r="E2033" s="89"/>
    </row>
    <row r="2034" spans="1:5" x14ac:dyDescent="0.25">
      <c r="A2034" s="46">
        <v>312</v>
      </c>
      <c r="B2034" s="143" t="s">
        <v>343</v>
      </c>
      <c r="C2034" s="89" t="s">
        <v>636</v>
      </c>
      <c r="D2034" s="141">
        <v>1E-3</v>
      </c>
      <c r="E2034" s="89"/>
    </row>
    <row r="2035" spans="1:5" x14ac:dyDescent="0.25">
      <c r="A2035" s="46">
        <v>332</v>
      </c>
      <c r="B2035" s="143" t="s">
        <v>358</v>
      </c>
      <c r="C2035" s="89" t="s">
        <v>549</v>
      </c>
      <c r="D2035" s="177">
        <v>0.15</v>
      </c>
      <c r="E2035" s="150" t="s">
        <v>450</v>
      </c>
    </row>
    <row r="2036" spans="1:5" x14ac:dyDescent="0.25">
      <c r="A2036" s="46">
        <v>332</v>
      </c>
      <c r="B2036" s="143" t="s">
        <v>358</v>
      </c>
      <c r="C2036" s="89" t="s">
        <v>1035</v>
      </c>
      <c r="D2036" s="177">
        <v>5.0000000000000001E-3</v>
      </c>
      <c r="E2036" s="150" t="s">
        <v>450</v>
      </c>
    </row>
    <row r="2037" spans="1:5" x14ac:dyDescent="0.25">
      <c r="A2037" s="46">
        <v>332</v>
      </c>
      <c r="B2037" s="143" t="s">
        <v>358</v>
      </c>
      <c r="C2037" s="139" t="s">
        <v>1050</v>
      </c>
      <c r="D2037" s="177">
        <v>0.05</v>
      </c>
      <c r="E2037" s="150" t="s">
        <v>450</v>
      </c>
    </row>
    <row r="2038" spans="1:5" x14ac:dyDescent="0.25">
      <c r="A2038" s="46">
        <v>332</v>
      </c>
      <c r="B2038" s="143" t="s">
        <v>358</v>
      </c>
      <c r="C2038" s="89" t="s">
        <v>470</v>
      </c>
      <c r="D2038" s="48">
        <v>1E-3</v>
      </c>
      <c r="E2038" s="150" t="s">
        <v>450</v>
      </c>
    </row>
    <row r="2039" spans="1:5" x14ac:dyDescent="0.25">
      <c r="A2039" s="46">
        <v>332</v>
      </c>
      <c r="B2039" s="143" t="s">
        <v>358</v>
      </c>
      <c r="C2039" s="89" t="s">
        <v>516</v>
      </c>
      <c r="D2039" s="48">
        <v>1E-3</v>
      </c>
      <c r="E2039" s="150" t="s">
        <v>450</v>
      </c>
    </row>
    <row r="2040" spans="1:5" x14ac:dyDescent="0.25">
      <c r="A2040" s="46">
        <v>332</v>
      </c>
      <c r="B2040" s="143" t="s">
        <v>358</v>
      </c>
      <c r="C2040" s="89" t="s">
        <v>503</v>
      </c>
      <c r="D2040" s="48">
        <v>1E-3</v>
      </c>
      <c r="E2040" s="150" t="s">
        <v>450</v>
      </c>
    </row>
    <row r="2041" spans="1:5" x14ac:dyDescent="0.25">
      <c r="A2041" s="46">
        <v>332</v>
      </c>
      <c r="B2041" s="143" t="s">
        <v>358</v>
      </c>
      <c r="C2041" s="89" t="s">
        <v>1051</v>
      </c>
      <c r="D2041" s="48">
        <v>1E-3</v>
      </c>
      <c r="E2041" s="150" t="s">
        <v>448</v>
      </c>
    </row>
    <row r="2042" spans="1:5" x14ac:dyDescent="0.25">
      <c r="A2042" s="46">
        <v>337</v>
      </c>
      <c r="B2042" s="143" t="s">
        <v>361</v>
      </c>
      <c r="C2042" s="89" t="s">
        <v>549</v>
      </c>
      <c r="D2042" s="48">
        <v>0.15</v>
      </c>
      <c r="E2042" s="98" t="s">
        <v>450</v>
      </c>
    </row>
    <row r="2043" spans="1:5" x14ac:dyDescent="0.25">
      <c r="A2043" s="46">
        <v>337</v>
      </c>
      <c r="B2043" s="143" t="s">
        <v>361</v>
      </c>
      <c r="C2043" s="89" t="s">
        <v>533</v>
      </c>
      <c r="D2043" s="48">
        <v>5.0000000000000001E-4</v>
      </c>
      <c r="E2043" s="98" t="s">
        <v>450</v>
      </c>
    </row>
    <row r="2044" spans="1:5" x14ac:dyDescent="0.25">
      <c r="A2044" s="46">
        <v>337</v>
      </c>
      <c r="B2044" s="143" t="s">
        <v>361</v>
      </c>
      <c r="C2044" s="89" t="s">
        <v>554</v>
      </c>
      <c r="D2044" s="48">
        <v>2.5000000000000001E-2</v>
      </c>
      <c r="E2044" s="98" t="s">
        <v>450</v>
      </c>
    </row>
    <row r="2045" spans="1:5" x14ac:dyDescent="0.25">
      <c r="A2045" s="46">
        <v>337</v>
      </c>
      <c r="B2045" s="143" t="s">
        <v>361</v>
      </c>
      <c r="C2045" s="89" t="s">
        <v>525</v>
      </c>
      <c r="D2045" s="48">
        <v>2.5000000000000001E-2</v>
      </c>
      <c r="E2045" s="98" t="s">
        <v>450</v>
      </c>
    </row>
    <row r="2046" spans="1:5" x14ac:dyDescent="0.25">
      <c r="A2046" s="46">
        <v>337</v>
      </c>
      <c r="B2046" s="143" t="s">
        <v>361</v>
      </c>
      <c r="C2046" s="89" t="s">
        <v>552</v>
      </c>
      <c r="D2046" s="48">
        <v>1E-3</v>
      </c>
      <c r="E2046" s="98" t="s">
        <v>450</v>
      </c>
    </row>
    <row r="2047" spans="1:5" x14ac:dyDescent="0.25">
      <c r="A2047" s="46">
        <v>337</v>
      </c>
      <c r="B2047" s="143" t="s">
        <v>361</v>
      </c>
      <c r="C2047" s="89" t="s">
        <v>449</v>
      </c>
      <c r="D2047" s="48">
        <v>1E-3</v>
      </c>
      <c r="E2047" s="98" t="s">
        <v>450</v>
      </c>
    </row>
    <row r="2048" spans="1:5" x14ac:dyDescent="0.25">
      <c r="A2048" s="46">
        <v>337</v>
      </c>
      <c r="B2048" s="143" t="s">
        <v>361</v>
      </c>
      <c r="C2048" s="89" t="s">
        <v>502</v>
      </c>
      <c r="D2048" s="48">
        <v>1E-3</v>
      </c>
      <c r="E2048" s="98" t="s">
        <v>450</v>
      </c>
    </row>
    <row r="2049" spans="1:5" x14ac:dyDescent="0.25">
      <c r="A2049" s="46">
        <v>337</v>
      </c>
      <c r="B2049" s="143" t="s">
        <v>361</v>
      </c>
      <c r="C2049" s="89" t="s">
        <v>1056</v>
      </c>
      <c r="D2049" s="48">
        <v>0.05</v>
      </c>
      <c r="E2049" s="98" t="s">
        <v>450</v>
      </c>
    </row>
    <row r="2050" spans="1:5" x14ac:dyDescent="0.25">
      <c r="A2050" s="46">
        <v>214</v>
      </c>
      <c r="B2050" s="143" t="s">
        <v>84</v>
      </c>
      <c r="C2050" s="89" t="s">
        <v>907</v>
      </c>
      <c r="D2050" s="141">
        <v>0.17</v>
      </c>
      <c r="E2050" s="145" t="s">
        <v>450</v>
      </c>
    </row>
    <row r="2051" spans="1:5" x14ac:dyDescent="0.25">
      <c r="A2051" s="46">
        <v>214</v>
      </c>
      <c r="B2051" s="143" t="s">
        <v>84</v>
      </c>
      <c r="C2051" s="89" t="s">
        <v>908</v>
      </c>
      <c r="D2051" s="141">
        <v>7.0000000000000007E-2</v>
      </c>
      <c r="E2051" s="145" t="s">
        <v>450</v>
      </c>
    </row>
    <row r="2052" spans="1:5" x14ac:dyDescent="0.25">
      <c r="A2052" s="46">
        <v>214</v>
      </c>
      <c r="B2052" s="143" t="s">
        <v>84</v>
      </c>
      <c r="C2052" s="139" t="s">
        <v>575</v>
      </c>
      <c r="D2052" s="141">
        <v>0.01</v>
      </c>
      <c r="E2052" s="145" t="s">
        <v>450</v>
      </c>
    </row>
    <row r="2053" spans="1:5" x14ac:dyDescent="0.25">
      <c r="A2053" s="46">
        <v>214</v>
      </c>
      <c r="B2053" s="143" t="s">
        <v>84</v>
      </c>
      <c r="C2053" s="89" t="s">
        <v>478</v>
      </c>
      <c r="D2053" s="141">
        <v>3.0000000000000001E-3</v>
      </c>
      <c r="E2053" s="141" t="s">
        <v>448</v>
      </c>
    </row>
    <row r="2054" spans="1:5" x14ac:dyDescent="0.25">
      <c r="A2054" s="46">
        <v>214</v>
      </c>
      <c r="B2054" s="143" t="s">
        <v>84</v>
      </c>
      <c r="C2054" s="89" t="s">
        <v>459</v>
      </c>
      <c r="D2054" s="141">
        <v>0.01</v>
      </c>
      <c r="E2054" s="141" t="s">
        <v>450</v>
      </c>
    </row>
    <row r="2055" spans="1:5" x14ac:dyDescent="0.25">
      <c r="A2055" s="46">
        <v>214</v>
      </c>
      <c r="B2055" s="143" t="s">
        <v>84</v>
      </c>
      <c r="C2055" s="89" t="s">
        <v>470</v>
      </c>
      <c r="D2055" s="141">
        <v>1E-3</v>
      </c>
      <c r="E2055" s="145" t="s">
        <v>450</v>
      </c>
    </row>
    <row r="2056" spans="1:5" x14ac:dyDescent="0.25">
      <c r="A2056" s="46">
        <v>214</v>
      </c>
      <c r="B2056" s="143" t="s">
        <v>84</v>
      </c>
      <c r="C2056" s="89" t="s">
        <v>516</v>
      </c>
      <c r="D2056" s="141">
        <v>1E-3</v>
      </c>
      <c r="E2056" s="145" t="s">
        <v>450</v>
      </c>
    </row>
    <row r="2057" spans="1:5" x14ac:dyDescent="0.25">
      <c r="A2057" s="46">
        <v>214</v>
      </c>
      <c r="B2057" s="143" t="s">
        <v>84</v>
      </c>
      <c r="C2057" s="89" t="s">
        <v>471</v>
      </c>
      <c r="D2057" s="141" t="s">
        <v>723</v>
      </c>
      <c r="E2057" s="145" t="s">
        <v>450</v>
      </c>
    </row>
    <row r="2058" spans="1:5" x14ac:dyDescent="0.25">
      <c r="A2058" s="46">
        <v>333</v>
      </c>
      <c r="B2058" s="143" t="s">
        <v>359</v>
      </c>
      <c r="C2058" s="89" t="s">
        <v>549</v>
      </c>
      <c r="D2058" s="211">
        <v>0.15</v>
      </c>
      <c r="E2058" s="150" t="s">
        <v>450</v>
      </c>
    </row>
    <row r="2059" spans="1:5" x14ac:dyDescent="0.25">
      <c r="A2059" s="46">
        <v>333</v>
      </c>
      <c r="B2059" s="143" t="s">
        <v>359</v>
      </c>
      <c r="C2059" s="89" t="s">
        <v>976</v>
      </c>
      <c r="D2059" s="211">
        <v>1.0999999999999999E-2</v>
      </c>
      <c r="E2059" s="150" t="s">
        <v>450</v>
      </c>
    </row>
    <row r="2060" spans="1:5" x14ac:dyDescent="0.25">
      <c r="A2060" s="46">
        <v>333</v>
      </c>
      <c r="B2060" s="143" t="s">
        <v>359</v>
      </c>
      <c r="C2060" s="89" t="s">
        <v>504</v>
      </c>
      <c r="D2060" s="48">
        <v>5.0000000000000001E-3</v>
      </c>
      <c r="E2060" s="150" t="s">
        <v>450</v>
      </c>
    </row>
    <row r="2061" spans="1:5" x14ac:dyDescent="0.25">
      <c r="A2061" s="46">
        <v>333</v>
      </c>
      <c r="B2061" s="143" t="s">
        <v>359</v>
      </c>
      <c r="C2061" s="89" t="s">
        <v>605</v>
      </c>
      <c r="D2061" s="48">
        <v>0.01</v>
      </c>
      <c r="E2061" s="150" t="s">
        <v>450</v>
      </c>
    </row>
    <row r="2062" spans="1:5" x14ac:dyDescent="0.25">
      <c r="A2062" s="46">
        <v>333</v>
      </c>
      <c r="B2062" s="143" t="s">
        <v>359</v>
      </c>
      <c r="C2062" s="89" t="s">
        <v>1049</v>
      </c>
      <c r="D2062" s="48">
        <v>2E-3</v>
      </c>
      <c r="E2062" s="150" t="s">
        <v>450</v>
      </c>
    </row>
    <row r="2063" spans="1:5" x14ac:dyDescent="0.25">
      <c r="A2063" s="46">
        <v>333</v>
      </c>
      <c r="B2063" s="143" t="s">
        <v>359</v>
      </c>
      <c r="C2063" s="89" t="s">
        <v>449</v>
      </c>
      <c r="D2063" s="48">
        <v>1E-3</v>
      </c>
      <c r="E2063" s="150" t="s">
        <v>450</v>
      </c>
    </row>
    <row r="2064" spans="1:5" x14ac:dyDescent="0.25">
      <c r="A2064" s="46">
        <v>333</v>
      </c>
      <c r="B2064" s="143" t="s">
        <v>359</v>
      </c>
      <c r="C2064" s="89" t="s">
        <v>478</v>
      </c>
      <c r="D2064" s="48">
        <v>0.01</v>
      </c>
      <c r="E2064" s="150" t="s">
        <v>448</v>
      </c>
    </row>
    <row r="2065" spans="1:5" x14ac:dyDescent="0.25">
      <c r="A2065" s="46">
        <v>333</v>
      </c>
      <c r="B2065" s="143" t="s">
        <v>359</v>
      </c>
      <c r="C2065" s="89" t="s">
        <v>605</v>
      </c>
      <c r="D2065" s="48">
        <v>0.02</v>
      </c>
      <c r="E2065" s="150" t="s">
        <v>450</v>
      </c>
    </row>
    <row r="2066" spans="1:5" x14ac:dyDescent="0.25">
      <c r="A2066" s="46">
        <v>333</v>
      </c>
      <c r="B2066" s="143" t="s">
        <v>359</v>
      </c>
      <c r="C2066" s="89" t="s">
        <v>516</v>
      </c>
      <c r="D2066" s="48">
        <v>1E-3</v>
      </c>
      <c r="E2066" s="150" t="s">
        <v>450</v>
      </c>
    </row>
    <row r="2067" spans="1:5" x14ac:dyDescent="0.25">
      <c r="A2067" s="46">
        <v>333</v>
      </c>
      <c r="B2067" s="143" t="s">
        <v>359</v>
      </c>
      <c r="C2067" s="89" t="s">
        <v>470</v>
      </c>
      <c r="D2067" s="48">
        <v>1E-3</v>
      </c>
      <c r="E2067" s="150" t="s">
        <v>450</v>
      </c>
    </row>
    <row r="2068" spans="1:5" x14ac:dyDescent="0.25">
      <c r="A2068" s="46">
        <v>246</v>
      </c>
      <c r="B2068" s="143" t="s">
        <v>81</v>
      </c>
      <c r="C2068" s="146" t="s">
        <v>457</v>
      </c>
      <c r="D2068" s="148">
        <v>1.6500000000000001E-2</v>
      </c>
      <c r="E2068" s="145" t="s">
        <v>458</v>
      </c>
    </row>
    <row r="2069" spans="1:5" x14ac:dyDescent="0.25">
      <c r="A2069" s="46">
        <v>246</v>
      </c>
      <c r="B2069" s="143" t="s">
        <v>81</v>
      </c>
      <c r="C2069" s="146" t="s">
        <v>489</v>
      </c>
      <c r="D2069" s="148">
        <v>1.4999999999999999E-2</v>
      </c>
      <c r="E2069" s="145" t="s">
        <v>458</v>
      </c>
    </row>
    <row r="2070" spans="1:5" x14ac:dyDescent="0.25">
      <c r="A2070" s="46">
        <v>246</v>
      </c>
      <c r="B2070" s="143" t="s">
        <v>81</v>
      </c>
      <c r="C2070" s="146" t="s">
        <v>451</v>
      </c>
      <c r="D2070" s="148">
        <v>0.02</v>
      </c>
      <c r="E2070" s="145" t="s">
        <v>458</v>
      </c>
    </row>
    <row r="2071" spans="1:5" x14ac:dyDescent="0.25">
      <c r="A2071" s="46">
        <v>246</v>
      </c>
      <c r="B2071" s="143" t="s">
        <v>81</v>
      </c>
      <c r="C2071" s="156" t="s">
        <v>544</v>
      </c>
      <c r="D2071" s="148">
        <v>1.4999999999999999E-2</v>
      </c>
      <c r="E2071" s="145" t="s">
        <v>458</v>
      </c>
    </row>
    <row r="2072" spans="1:5" x14ac:dyDescent="0.25">
      <c r="A2072" s="46">
        <v>246</v>
      </c>
      <c r="B2072" s="143" t="s">
        <v>81</v>
      </c>
      <c r="C2072" s="146" t="s">
        <v>96</v>
      </c>
      <c r="D2072" s="148">
        <v>8.0000000000000002E-3</v>
      </c>
      <c r="E2072" s="145" t="s">
        <v>458</v>
      </c>
    </row>
    <row r="2073" spans="1:5" x14ac:dyDescent="0.25">
      <c r="A2073" s="46">
        <v>246</v>
      </c>
      <c r="B2073" s="143" t="s">
        <v>81</v>
      </c>
      <c r="C2073" s="146" t="s">
        <v>402</v>
      </c>
      <c r="D2073" s="148">
        <v>3.5000000000000003E-2</v>
      </c>
      <c r="E2073" s="145" t="s">
        <v>458</v>
      </c>
    </row>
    <row r="2074" spans="1:5" x14ac:dyDescent="0.25">
      <c r="A2074" s="46">
        <v>246</v>
      </c>
      <c r="B2074" s="143" t="s">
        <v>81</v>
      </c>
      <c r="C2074" s="146" t="s">
        <v>488</v>
      </c>
      <c r="D2074" s="148">
        <v>3.0000000000000001E-3</v>
      </c>
      <c r="E2074" s="145" t="s">
        <v>458</v>
      </c>
    </row>
    <row r="2075" spans="1:5" x14ac:dyDescent="0.25">
      <c r="A2075" s="46">
        <v>246</v>
      </c>
      <c r="B2075" s="143" t="s">
        <v>81</v>
      </c>
      <c r="C2075" s="146" t="s">
        <v>467</v>
      </c>
      <c r="D2075" s="148">
        <v>1E-3</v>
      </c>
      <c r="E2075" s="145" t="s">
        <v>448</v>
      </c>
    </row>
    <row r="2076" spans="1:5" x14ac:dyDescent="0.25">
      <c r="A2076" s="46">
        <v>313</v>
      </c>
      <c r="B2076" s="143" t="s">
        <v>344</v>
      </c>
      <c r="C2076" s="156" t="s">
        <v>1015</v>
      </c>
      <c r="D2076" s="141">
        <v>0.02</v>
      </c>
      <c r="E2076" s="89" t="s">
        <v>450</v>
      </c>
    </row>
    <row r="2077" spans="1:5" x14ac:dyDescent="0.25">
      <c r="A2077" s="46">
        <v>313</v>
      </c>
      <c r="B2077" s="143" t="s">
        <v>344</v>
      </c>
      <c r="C2077" s="89" t="s">
        <v>584</v>
      </c>
      <c r="D2077" s="141">
        <v>4.0000000000000001E-3</v>
      </c>
      <c r="E2077" s="89" t="s">
        <v>450</v>
      </c>
    </row>
    <row r="2078" spans="1:5" x14ac:dyDescent="0.25">
      <c r="A2078" s="46">
        <v>313</v>
      </c>
      <c r="B2078" s="143" t="s">
        <v>344</v>
      </c>
      <c r="C2078" s="89" t="s">
        <v>816</v>
      </c>
      <c r="D2078" s="141">
        <v>2E-3</v>
      </c>
      <c r="E2078" s="89" t="s">
        <v>450</v>
      </c>
    </row>
    <row r="2079" spans="1:5" x14ac:dyDescent="0.25">
      <c r="A2079" s="46">
        <v>313</v>
      </c>
      <c r="B2079" s="143" t="s">
        <v>344</v>
      </c>
      <c r="C2079" s="139" t="s">
        <v>1003</v>
      </c>
      <c r="D2079" s="141">
        <v>5.0000000000000001E-3</v>
      </c>
      <c r="E2079" s="89" t="s">
        <v>450</v>
      </c>
    </row>
    <row r="2080" spans="1:5" x14ac:dyDescent="0.25">
      <c r="A2080" s="46">
        <v>313</v>
      </c>
      <c r="B2080" s="143" t="s">
        <v>344</v>
      </c>
      <c r="C2080" s="89" t="s">
        <v>467</v>
      </c>
      <c r="D2080" s="141">
        <v>5.0000000000000001E-3</v>
      </c>
      <c r="E2080" s="89" t="s">
        <v>448</v>
      </c>
    </row>
    <row r="2081" spans="1:5" x14ac:dyDescent="0.25">
      <c r="A2081" s="46">
        <v>313</v>
      </c>
      <c r="B2081" s="143" t="s">
        <v>344</v>
      </c>
      <c r="C2081" s="89" t="s">
        <v>614</v>
      </c>
      <c r="D2081" s="141">
        <v>1E-3</v>
      </c>
      <c r="E2081" s="89"/>
    </row>
    <row r="2082" spans="1:5" x14ac:dyDescent="0.25">
      <c r="A2082" s="46">
        <v>313</v>
      </c>
      <c r="B2082" s="143" t="s">
        <v>344</v>
      </c>
      <c r="C2082" s="89" t="s">
        <v>769</v>
      </c>
      <c r="D2082" s="141">
        <v>0.15</v>
      </c>
      <c r="E2082" s="89" t="s">
        <v>450</v>
      </c>
    </row>
    <row r="2083" spans="1:5" x14ac:dyDescent="0.25">
      <c r="A2083" s="46">
        <v>334</v>
      </c>
      <c r="B2083" s="143" t="s">
        <v>360</v>
      </c>
      <c r="C2083" s="89" t="s">
        <v>549</v>
      </c>
      <c r="D2083" s="48">
        <v>0.15</v>
      </c>
      <c r="E2083" s="150" t="s">
        <v>450</v>
      </c>
    </row>
    <row r="2084" spans="1:5" x14ac:dyDescent="0.25">
      <c r="A2084" s="46">
        <v>334</v>
      </c>
      <c r="B2084" s="143" t="s">
        <v>360</v>
      </c>
      <c r="C2084" s="89" t="s">
        <v>1049</v>
      </c>
      <c r="D2084" s="48">
        <v>0.01</v>
      </c>
      <c r="E2084" s="150" t="s">
        <v>450</v>
      </c>
    </row>
    <row r="2085" spans="1:5" x14ac:dyDescent="0.25">
      <c r="A2085" s="46">
        <v>334</v>
      </c>
      <c r="B2085" s="143" t="s">
        <v>360</v>
      </c>
      <c r="C2085" s="89" t="s">
        <v>1012</v>
      </c>
      <c r="D2085" s="48">
        <v>0.01</v>
      </c>
      <c r="E2085" s="150" t="s">
        <v>450</v>
      </c>
    </row>
    <row r="2086" spans="1:5" x14ac:dyDescent="0.25">
      <c r="A2086" s="46">
        <v>334</v>
      </c>
      <c r="B2086" s="143" t="s">
        <v>360</v>
      </c>
      <c r="C2086" s="89" t="s">
        <v>525</v>
      </c>
      <c r="D2086" s="48">
        <v>5.0000000000000001E-3</v>
      </c>
      <c r="E2086" s="150" t="s">
        <v>450</v>
      </c>
    </row>
    <row r="2087" spans="1:5" x14ac:dyDescent="0.25">
      <c r="A2087" s="46">
        <v>334</v>
      </c>
      <c r="B2087" s="143" t="s">
        <v>360</v>
      </c>
      <c r="C2087" s="89" t="s">
        <v>942</v>
      </c>
      <c r="D2087" s="48">
        <v>0.04</v>
      </c>
      <c r="E2087" s="98" t="s">
        <v>450</v>
      </c>
    </row>
    <row r="2088" spans="1:5" x14ac:dyDescent="0.25">
      <c r="A2088" s="46">
        <v>334</v>
      </c>
      <c r="B2088" s="143" t="s">
        <v>360</v>
      </c>
      <c r="C2088" s="212" t="s">
        <v>758</v>
      </c>
      <c r="D2088" s="48">
        <v>1E-3</v>
      </c>
      <c r="E2088" s="150" t="s">
        <v>450</v>
      </c>
    </row>
    <row r="2089" spans="1:5" x14ac:dyDescent="0.25">
      <c r="A2089" s="46">
        <v>334</v>
      </c>
      <c r="B2089" s="143" t="s">
        <v>360</v>
      </c>
      <c r="C2089" s="156" t="s">
        <v>502</v>
      </c>
      <c r="D2089" s="48">
        <v>1E-3</v>
      </c>
      <c r="E2089" s="150" t="s">
        <v>450</v>
      </c>
    </row>
    <row r="2090" spans="1:5" x14ac:dyDescent="0.25">
      <c r="A2090" s="46">
        <v>334</v>
      </c>
      <c r="B2090" s="143" t="s">
        <v>360</v>
      </c>
      <c r="C2090" s="89" t="s">
        <v>588</v>
      </c>
      <c r="D2090" s="48">
        <v>1E-3</v>
      </c>
      <c r="E2090" s="150" t="s">
        <v>450</v>
      </c>
    </row>
    <row r="2091" spans="1:5" x14ac:dyDescent="0.25">
      <c r="A2091" s="46">
        <v>334</v>
      </c>
      <c r="B2091" s="143" t="s">
        <v>360</v>
      </c>
      <c r="C2091" s="89" t="s">
        <v>1052</v>
      </c>
      <c r="D2091" s="48">
        <v>1E-3</v>
      </c>
      <c r="E2091" s="150" t="s">
        <v>450</v>
      </c>
    </row>
    <row r="2092" spans="1:5" x14ac:dyDescent="0.25">
      <c r="A2092" s="46">
        <v>26</v>
      </c>
      <c r="B2092" s="143" t="s">
        <v>87</v>
      </c>
      <c r="C2092" s="146" t="s">
        <v>598</v>
      </c>
      <c r="D2092" s="148">
        <v>0.16500000000000001</v>
      </c>
      <c r="E2092" s="145" t="s">
        <v>450</v>
      </c>
    </row>
    <row r="2093" spans="1:5" x14ac:dyDescent="0.25">
      <c r="A2093" s="46">
        <v>26</v>
      </c>
      <c r="B2093" s="143" t="s">
        <v>87</v>
      </c>
      <c r="C2093" s="146" t="s">
        <v>476</v>
      </c>
      <c r="D2093" s="148">
        <v>1.4E-2</v>
      </c>
      <c r="E2093" s="145" t="s">
        <v>450</v>
      </c>
    </row>
    <row r="2094" spans="1:5" x14ac:dyDescent="0.25">
      <c r="A2094" s="46">
        <v>26</v>
      </c>
      <c r="B2094" s="143" t="s">
        <v>87</v>
      </c>
      <c r="C2094" s="146" t="s">
        <v>587</v>
      </c>
      <c r="D2094" s="148">
        <v>1.2E-2</v>
      </c>
      <c r="E2094" s="145" t="s">
        <v>450</v>
      </c>
    </row>
    <row r="2095" spans="1:5" x14ac:dyDescent="0.25">
      <c r="A2095" s="46">
        <v>26</v>
      </c>
      <c r="B2095" s="143" t="s">
        <v>87</v>
      </c>
      <c r="C2095" s="146" t="s">
        <v>599</v>
      </c>
      <c r="D2095" s="148">
        <v>0.03</v>
      </c>
      <c r="E2095" s="145" t="s">
        <v>458</v>
      </c>
    </row>
    <row r="2096" spans="1:5" x14ac:dyDescent="0.25">
      <c r="A2096" s="46">
        <v>26</v>
      </c>
      <c r="B2096" s="143" t="s">
        <v>87</v>
      </c>
      <c r="C2096" s="146" t="s">
        <v>488</v>
      </c>
      <c r="D2096" s="148">
        <v>3.0000000000000001E-3</v>
      </c>
      <c r="E2096" s="145" t="s">
        <v>450</v>
      </c>
    </row>
    <row r="2097" spans="1:5" x14ac:dyDescent="0.25">
      <c r="A2097" s="46">
        <v>26</v>
      </c>
      <c r="B2097" s="143" t="s">
        <v>87</v>
      </c>
      <c r="C2097" s="143" t="s">
        <v>487</v>
      </c>
      <c r="D2097" s="148">
        <v>1E-3</v>
      </c>
      <c r="E2097" s="145" t="s">
        <v>458</v>
      </c>
    </row>
    <row r="2098" spans="1:5" x14ac:dyDescent="0.25">
      <c r="A2098" s="46">
        <v>26</v>
      </c>
      <c r="B2098" s="143" t="s">
        <v>87</v>
      </c>
      <c r="C2098" s="146" t="s">
        <v>557</v>
      </c>
      <c r="D2098" s="157">
        <v>0.03</v>
      </c>
      <c r="E2098" s="145" t="s">
        <v>458</v>
      </c>
    </row>
    <row r="2099" spans="1:5" x14ac:dyDescent="0.25">
      <c r="A2099" s="46">
        <v>26</v>
      </c>
      <c r="B2099" s="143" t="s">
        <v>87</v>
      </c>
      <c r="C2099" s="146" t="s">
        <v>600</v>
      </c>
      <c r="D2099" s="157">
        <v>6.0000000000000001E-3</v>
      </c>
      <c r="E2099" s="145" t="s">
        <v>458</v>
      </c>
    </row>
    <row r="2100" spans="1:5" x14ac:dyDescent="0.25">
      <c r="A2100" s="46">
        <v>29</v>
      </c>
      <c r="B2100" s="98" t="s">
        <v>1495</v>
      </c>
      <c r="C2100" s="146" t="s">
        <v>769</v>
      </c>
      <c r="D2100" s="148">
        <v>0.16</v>
      </c>
      <c r="E2100" s="145" t="s">
        <v>458</v>
      </c>
    </row>
    <row r="2101" spans="1:5" x14ac:dyDescent="0.25">
      <c r="A2101" s="46">
        <v>29</v>
      </c>
      <c r="B2101" s="98" t="s">
        <v>1495</v>
      </c>
      <c r="C2101" s="146" t="s">
        <v>459</v>
      </c>
      <c r="D2101" s="148">
        <v>0.03</v>
      </c>
      <c r="E2101" s="145" t="s">
        <v>458</v>
      </c>
    </row>
    <row r="2102" spans="1:5" x14ac:dyDescent="0.25">
      <c r="A2102" s="46">
        <v>29</v>
      </c>
      <c r="B2102" s="98" t="s">
        <v>1495</v>
      </c>
      <c r="C2102" s="146" t="s">
        <v>460</v>
      </c>
      <c r="D2102" s="148">
        <v>0.01</v>
      </c>
      <c r="E2102" s="145" t="s">
        <v>458</v>
      </c>
    </row>
    <row r="2103" spans="1:5" x14ac:dyDescent="0.25">
      <c r="A2103" s="46">
        <v>29</v>
      </c>
      <c r="B2103" s="98" t="s">
        <v>1495</v>
      </c>
      <c r="C2103" s="146" t="s">
        <v>605</v>
      </c>
      <c r="D2103" s="148">
        <v>2.5000000000000001E-2</v>
      </c>
      <c r="E2103" s="145" t="s">
        <v>458</v>
      </c>
    </row>
    <row r="2104" spans="1:5" x14ac:dyDescent="0.25">
      <c r="A2104" s="46">
        <v>29</v>
      </c>
      <c r="B2104" s="98" t="s">
        <v>1495</v>
      </c>
      <c r="C2104" s="146" t="s">
        <v>488</v>
      </c>
      <c r="D2104" s="148">
        <v>3.0000000000000001E-3</v>
      </c>
      <c r="E2104" s="145" t="s">
        <v>458</v>
      </c>
    </row>
    <row r="2105" spans="1:5" x14ac:dyDescent="0.25">
      <c r="A2105" s="46">
        <v>29</v>
      </c>
      <c r="B2105" s="98" t="s">
        <v>1495</v>
      </c>
      <c r="C2105" s="143" t="s">
        <v>487</v>
      </c>
      <c r="D2105" s="148">
        <v>1E-3</v>
      </c>
      <c r="E2105" s="145" t="s">
        <v>458</v>
      </c>
    </row>
    <row r="2106" spans="1:5" x14ac:dyDescent="0.25">
      <c r="A2106" s="46">
        <v>29</v>
      </c>
      <c r="B2106" s="98" t="s">
        <v>1495</v>
      </c>
      <c r="C2106" s="143" t="s">
        <v>467</v>
      </c>
      <c r="D2106" s="157">
        <v>5.0000000000000001E-3</v>
      </c>
      <c r="E2106" s="145" t="s">
        <v>448</v>
      </c>
    </row>
    <row r="2107" spans="1:5" x14ac:dyDescent="0.25">
      <c r="A2107" s="46">
        <v>248</v>
      </c>
      <c r="B2107" s="143" t="s">
        <v>1494</v>
      </c>
      <c r="C2107" s="146" t="s">
        <v>769</v>
      </c>
      <c r="D2107" s="148">
        <v>0.15</v>
      </c>
      <c r="E2107" s="145" t="s">
        <v>458</v>
      </c>
    </row>
    <row r="2108" spans="1:5" x14ac:dyDescent="0.25">
      <c r="A2108" s="46">
        <v>248</v>
      </c>
      <c r="B2108" s="143" t="s">
        <v>1494</v>
      </c>
      <c r="C2108" s="146" t="s">
        <v>459</v>
      </c>
      <c r="D2108" s="148">
        <v>0.03</v>
      </c>
      <c r="E2108" s="145" t="s">
        <v>458</v>
      </c>
    </row>
    <row r="2109" spans="1:5" x14ac:dyDescent="0.25">
      <c r="A2109" s="46">
        <v>248</v>
      </c>
      <c r="B2109" s="143" t="s">
        <v>1494</v>
      </c>
      <c r="C2109" s="213" t="s">
        <v>460</v>
      </c>
      <c r="D2109" s="148">
        <v>0.01</v>
      </c>
      <c r="E2109" s="145" t="s">
        <v>458</v>
      </c>
    </row>
    <row r="2110" spans="1:5" x14ac:dyDescent="0.25">
      <c r="A2110" s="46">
        <v>248</v>
      </c>
      <c r="B2110" s="143" t="s">
        <v>1494</v>
      </c>
      <c r="C2110" s="143" t="s">
        <v>461</v>
      </c>
      <c r="D2110" s="148">
        <v>0.05</v>
      </c>
      <c r="E2110" s="145" t="s">
        <v>458</v>
      </c>
    </row>
    <row r="2111" spans="1:5" x14ac:dyDescent="0.25">
      <c r="A2111" s="46">
        <v>248</v>
      </c>
      <c r="B2111" s="143" t="s">
        <v>1494</v>
      </c>
      <c r="C2111" s="146" t="s">
        <v>96</v>
      </c>
      <c r="D2111" s="148">
        <v>8.0000000000000002E-3</v>
      </c>
      <c r="E2111" s="145" t="s">
        <v>458</v>
      </c>
    </row>
    <row r="2112" spans="1:5" x14ac:dyDescent="0.25">
      <c r="A2112" s="46">
        <v>37</v>
      </c>
      <c r="B2112" s="143" t="s">
        <v>173</v>
      </c>
      <c r="C2112" s="146" t="s">
        <v>457</v>
      </c>
      <c r="D2112" s="148">
        <v>0.17</v>
      </c>
      <c r="E2112" s="145" t="s">
        <v>458</v>
      </c>
    </row>
    <row r="2113" spans="1:5" x14ac:dyDescent="0.25">
      <c r="A2113" s="46">
        <v>37</v>
      </c>
      <c r="B2113" s="143" t="s">
        <v>173</v>
      </c>
      <c r="C2113" s="146" t="s">
        <v>459</v>
      </c>
      <c r="D2113" s="148">
        <v>5.0000000000000001E-3</v>
      </c>
      <c r="E2113" s="145" t="s">
        <v>458</v>
      </c>
    </row>
    <row r="2114" spans="1:5" x14ac:dyDescent="0.25">
      <c r="A2114" s="46">
        <v>37</v>
      </c>
      <c r="B2114" s="143" t="s">
        <v>173</v>
      </c>
      <c r="C2114" s="146" t="s">
        <v>850</v>
      </c>
      <c r="D2114" s="148">
        <v>4.4999999999999998E-2</v>
      </c>
      <c r="E2114" s="145" t="s">
        <v>458</v>
      </c>
    </row>
    <row r="2115" spans="1:5" x14ac:dyDescent="0.25">
      <c r="A2115" s="46">
        <v>37</v>
      </c>
      <c r="B2115" s="143" t="s">
        <v>173</v>
      </c>
      <c r="C2115" s="146" t="s">
        <v>636</v>
      </c>
      <c r="D2115" s="148">
        <v>1E-3</v>
      </c>
      <c r="E2115" s="145" t="s">
        <v>458</v>
      </c>
    </row>
    <row r="2116" spans="1:5" x14ac:dyDescent="0.25">
      <c r="A2116" s="46">
        <v>37</v>
      </c>
      <c r="B2116" s="143" t="s">
        <v>173</v>
      </c>
      <c r="C2116" s="146" t="s">
        <v>488</v>
      </c>
      <c r="D2116" s="148">
        <v>2E-3</v>
      </c>
      <c r="E2116" s="145" t="s">
        <v>458</v>
      </c>
    </row>
    <row r="2117" spans="1:5" x14ac:dyDescent="0.25">
      <c r="A2117" s="46">
        <v>37</v>
      </c>
      <c r="B2117" s="143" t="s">
        <v>173</v>
      </c>
      <c r="C2117" s="146" t="s">
        <v>467</v>
      </c>
      <c r="D2117" s="148">
        <v>3.0000000000000001E-3</v>
      </c>
      <c r="E2117" s="145" t="s">
        <v>448</v>
      </c>
    </row>
    <row r="2118" spans="1:5" x14ac:dyDescent="0.25">
      <c r="A2118" s="46">
        <v>306</v>
      </c>
      <c r="B2118" s="143" t="s">
        <v>337</v>
      </c>
      <c r="C2118" s="89" t="s">
        <v>682</v>
      </c>
      <c r="D2118" s="141">
        <v>0.02</v>
      </c>
      <c r="E2118" s="89" t="s">
        <v>450</v>
      </c>
    </row>
    <row r="2119" spans="1:5" x14ac:dyDescent="0.25">
      <c r="A2119" s="46">
        <v>306</v>
      </c>
      <c r="B2119" s="143" t="s">
        <v>337</v>
      </c>
      <c r="C2119" s="89" t="s">
        <v>573</v>
      </c>
      <c r="D2119" s="141">
        <v>6.6666666666666664E-4</v>
      </c>
      <c r="E2119" s="89" t="s">
        <v>450</v>
      </c>
    </row>
    <row r="2120" spans="1:5" x14ac:dyDescent="0.25">
      <c r="A2120" s="46">
        <v>306</v>
      </c>
      <c r="B2120" s="143" t="s">
        <v>337</v>
      </c>
      <c r="C2120" s="89" t="s">
        <v>503</v>
      </c>
      <c r="D2120" s="141">
        <v>6.6666666666666664E-4</v>
      </c>
      <c r="E2120" s="89" t="s">
        <v>450</v>
      </c>
    </row>
    <row r="2121" spans="1:5" x14ac:dyDescent="0.25">
      <c r="A2121" s="46">
        <v>306</v>
      </c>
      <c r="B2121" s="143" t="s">
        <v>337</v>
      </c>
      <c r="C2121" s="89" t="s">
        <v>614</v>
      </c>
      <c r="D2121" s="141">
        <v>6.6666666666666664E-4</v>
      </c>
      <c r="E2121" s="89" t="s">
        <v>450</v>
      </c>
    </row>
    <row r="2122" spans="1:5" x14ac:dyDescent="0.25">
      <c r="A2122" s="46">
        <v>306</v>
      </c>
      <c r="B2122" s="143" t="s">
        <v>337</v>
      </c>
      <c r="C2122" s="89" t="s">
        <v>449</v>
      </c>
      <c r="D2122" s="141">
        <v>6.6666666666666664E-4</v>
      </c>
      <c r="E2122" s="89" t="s">
        <v>450</v>
      </c>
    </row>
    <row r="2123" spans="1:5" x14ac:dyDescent="0.25">
      <c r="A2123" s="46">
        <v>306</v>
      </c>
      <c r="B2123" s="143" t="s">
        <v>337</v>
      </c>
      <c r="C2123" s="89" t="s">
        <v>694</v>
      </c>
      <c r="D2123" s="141">
        <v>6.6666666666666664E-4</v>
      </c>
      <c r="E2123" s="89" t="s">
        <v>450</v>
      </c>
    </row>
    <row r="2124" spans="1:5" x14ac:dyDescent="0.25">
      <c r="A2124" s="46">
        <v>306</v>
      </c>
      <c r="B2124" s="143" t="s">
        <v>337</v>
      </c>
      <c r="C2124" s="139" t="s">
        <v>1002</v>
      </c>
      <c r="D2124" s="141">
        <v>1E-3</v>
      </c>
      <c r="E2124" s="89"/>
    </row>
    <row r="2125" spans="1:5" x14ac:dyDescent="0.25">
      <c r="A2125" s="46">
        <v>306</v>
      </c>
      <c r="B2125" s="143" t="s">
        <v>337</v>
      </c>
      <c r="C2125" s="89" t="s">
        <v>466</v>
      </c>
      <c r="D2125" s="141">
        <v>5.0000000000000001E-3</v>
      </c>
      <c r="E2125" s="89" t="s">
        <v>450</v>
      </c>
    </row>
    <row r="2126" spans="1:5" x14ac:dyDescent="0.25">
      <c r="A2126" s="46">
        <v>306</v>
      </c>
      <c r="B2126" s="143" t="s">
        <v>337</v>
      </c>
      <c r="C2126" s="89" t="s">
        <v>769</v>
      </c>
      <c r="D2126" s="141">
        <v>0.18</v>
      </c>
      <c r="E2126" s="89" t="s">
        <v>450</v>
      </c>
    </row>
    <row r="2127" spans="1:5" x14ac:dyDescent="0.25">
      <c r="A2127" s="46">
        <v>308</v>
      </c>
      <c r="B2127" s="143" t="s">
        <v>339</v>
      </c>
      <c r="C2127" s="143" t="s">
        <v>769</v>
      </c>
      <c r="D2127" s="144">
        <v>0.18</v>
      </c>
      <c r="E2127" s="142" t="s">
        <v>450</v>
      </c>
    </row>
    <row r="2128" spans="1:5" x14ac:dyDescent="0.25">
      <c r="A2128" s="46">
        <v>308</v>
      </c>
      <c r="B2128" s="143" t="s">
        <v>339</v>
      </c>
      <c r="C2128" s="89" t="s">
        <v>459</v>
      </c>
      <c r="D2128" s="141">
        <v>0.02</v>
      </c>
      <c r="E2128" s="89" t="s">
        <v>450</v>
      </c>
    </row>
    <row r="2129" spans="1:5" x14ac:dyDescent="0.25">
      <c r="A2129" s="46">
        <v>308</v>
      </c>
      <c r="B2129" s="143" t="s">
        <v>339</v>
      </c>
      <c r="C2129" s="139" t="s">
        <v>1003</v>
      </c>
      <c r="D2129" s="141">
        <v>1.4999999999999999E-2</v>
      </c>
      <c r="E2129" s="89" t="s">
        <v>450</v>
      </c>
    </row>
    <row r="2130" spans="1:5" x14ac:dyDescent="0.25">
      <c r="A2130" s="46">
        <v>308</v>
      </c>
      <c r="B2130" s="143" t="s">
        <v>339</v>
      </c>
      <c r="C2130" s="139" t="s">
        <v>1002</v>
      </c>
      <c r="D2130" s="141">
        <v>1E-3</v>
      </c>
      <c r="E2130" s="89"/>
    </row>
    <row r="2131" spans="1:5" x14ac:dyDescent="0.25">
      <c r="A2131" s="46">
        <v>308</v>
      </c>
      <c r="B2131" s="143" t="s">
        <v>339</v>
      </c>
      <c r="C2131" s="161" t="s">
        <v>745</v>
      </c>
      <c r="D2131" s="141">
        <v>2E-3</v>
      </c>
      <c r="E2131" s="89" t="s">
        <v>450</v>
      </c>
    </row>
    <row r="2132" spans="1:5" x14ac:dyDescent="0.25">
      <c r="A2132" s="46">
        <v>308</v>
      </c>
      <c r="B2132" s="143" t="s">
        <v>339</v>
      </c>
      <c r="C2132" s="156" t="s">
        <v>449</v>
      </c>
      <c r="D2132" s="141">
        <v>2E-3</v>
      </c>
      <c r="E2132" s="89" t="s">
        <v>1004</v>
      </c>
    </row>
    <row r="2133" spans="1:5" x14ac:dyDescent="0.25">
      <c r="A2133" s="46">
        <v>308</v>
      </c>
      <c r="B2133" s="143" t="s">
        <v>339</v>
      </c>
      <c r="C2133" s="89" t="s">
        <v>573</v>
      </c>
      <c r="D2133" s="141">
        <v>2E-3</v>
      </c>
      <c r="E2133" s="89" t="s">
        <v>450</v>
      </c>
    </row>
    <row r="2134" spans="1:5" x14ac:dyDescent="0.25">
      <c r="A2134" s="46">
        <v>308</v>
      </c>
      <c r="B2134" s="143" t="s">
        <v>339</v>
      </c>
      <c r="C2134" s="89" t="s">
        <v>614</v>
      </c>
      <c r="D2134" s="141">
        <v>2E-3</v>
      </c>
      <c r="E2134" s="89" t="s">
        <v>450</v>
      </c>
    </row>
    <row r="2135" spans="1:5" x14ac:dyDescent="0.25">
      <c r="A2135" s="46">
        <v>308</v>
      </c>
      <c r="B2135" s="143" t="s">
        <v>339</v>
      </c>
      <c r="C2135" s="89" t="s">
        <v>694</v>
      </c>
      <c r="D2135" s="141">
        <v>2E-3</v>
      </c>
      <c r="E2135" s="89" t="s">
        <v>450</v>
      </c>
    </row>
    <row r="2136" spans="1:5" x14ac:dyDescent="0.25">
      <c r="A2136" s="46">
        <v>308</v>
      </c>
      <c r="B2136" s="143" t="s">
        <v>339</v>
      </c>
      <c r="C2136" s="89" t="s">
        <v>996</v>
      </c>
      <c r="D2136" s="141">
        <v>1E-3</v>
      </c>
      <c r="E2136" s="89" t="s">
        <v>450</v>
      </c>
    </row>
    <row r="2137" spans="1:5" x14ac:dyDescent="0.25">
      <c r="A2137" s="46">
        <v>305</v>
      </c>
      <c r="B2137" s="143" t="s">
        <v>336</v>
      </c>
      <c r="C2137" s="89" t="s">
        <v>769</v>
      </c>
      <c r="D2137" s="141">
        <v>0.15</v>
      </c>
      <c r="E2137" s="89" t="s">
        <v>450</v>
      </c>
    </row>
    <row r="2138" spans="1:5" x14ac:dyDescent="0.25">
      <c r="A2138" s="46">
        <v>305</v>
      </c>
      <c r="B2138" s="143" t="s">
        <v>336</v>
      </c>
      <c r="C2138" s="89" t="s">
        <v>862</v>
      </c>
      <c r="D2138" s="141">
        <v>0.01</v>
      </c>
      <c r="E2138" s="89" t="s">
        <v>450</v>
      </c>
    </row>
    <row r="2139" spans="1:5" x14ac:dyDescent="0.25">
      <c r="A2139" s="46">
        <v>305</v>
      </c>
      <c r="B2139" s="143" t="s">
        <v>336</v>
      </c>
      <c r="C2139" s="214" t="s">
        <v>1000</v>
      </c>
      <c r="D2139" s="141">
        <v>1.4999999999999999E-2</v>
      </c>
      <c r="E2139" s="89" t="s">
        <v>450</v>
      </c>
    </row>
    <row r="2140" spans="1:5" x14ac:dyDescent="0.25">
      <c r="A2140" s="46">
        <v>305</v>
      </c>
      <c r="B2140" s="143" t="s">
        <v>336</v>
      </c>
      <c r="C2140" s="89" t="s">
        <v>639</v>
      </c>
      <c r="D2140" s="141">
        <v>1E-3</v>
      </c>
      <c r="E2140" s="89"/>
    </row>
    <row r="2141" spans="1:5" x14ac:dyDescent="0.25">
      <c r="A2141" s="46">
        <v>305</v>
      </c>
      <c r="B2141" s="143" t="s">
        <v>336</v>
      </c>
      <c r="C2141" s="89" t="s">
        <v>988</v>
      </c>
      <c r="D2141" s="141">
        <v>1.4999999999999999E-2</v>
      </c>
      <c r="E2141" s="89" t="s">
        <v>450</v>
      </c>
    </row>
    <row r="2142" spans="1:5" x14ac:dyDescent="0.25">
      <c r="A2142" s="46">
        <v>305</v>
      </c>
      <c r="B2142" s="143" t="s">
        <v>336</v>
      </c>
      <c r="C2142" s="89" t="s">
        <v>1001</v>
      </c>
      <c r="D2142" s="141">
        <v>3.0000000000000001E-3</v>
      </c>
      <c r="E2142" s="89" t="s">
        <v>450</v>
      </c>
    </row>
    <row r="2143" spans="1:5" x14ac:dyDescent="0.25">
      <c r="A2143" s="46">
        <v>305</v>
      </c>
      <c r="B2143" s="143" t="s">
        <v>336</v>
      </c>
      <c r="C2143" s="89" t="s">
        <v>488</v>
      </c>
      <c r="D2143" s="141">
        <v>1E-3</v>
      </c>
      <c r="E2143" s="89"/>
    </row>
    <row r="2144" spans="1:5" x14ac:dyDescent="0.25">
      <c r="A2144" s="46">
        <v>305</v>
      </c>
      <c r="B2144" s="143" t="s">
        <v>336</v>
      </c>
      <c r="C2144" s="89" t="s">
        <v>487</v>
      </c>
      <c r="D2144" s="141">
        <v>1E-3</v>
      </c>
      <c r="E2144" s="89"/>
    </row>
    <row r="2145" spans="1:5" x14ac:dyDescent="0.25">
      <c r="A2145" s="46">
        <v>357</v>
      </c>
      <c r="B2145" s="143" t="s">
        <v>375</v>
      </c>
      <c r="C2145" s="143" t="s">
        <v>535</v>
      </c>
      <c r="D2145" s="141">
        <v>0.02</v>
      </c>
      <c r="E2145" s="215" t="s">
        <v>448</v>
      </c>
    </row>
    <row r="2146" spans="1:5" x14ac:dyDescent="0.25">
      <c r="A2146" s="46">
        <v>357</v>
      </c>
      <c r="B2146" s="143" t="s">
        <v>375</v>
      </c>
      <c r="C2146" s="143" t="s">
        <v>898</v>
      </c>
      <c r="D2146" s="141">
        <v>1E-3</v>
      </c>
      <c r="E2146" s="215" t="s">
        <v>448</v>
      </c>
    </row>
    <row r="2147" spans="1:5" x14ac:dyDescent="0.25">
      <c r="A2147" s="46">
        <v>357</v>
      </c>
      <c r="B2147" s="143" t="s">
        <v>375</v>
      </c>
      <c r="C2147" s="89" t="s">
        <v>533</v>
      </c>
      <c r="D2147" s="141">
        <v>2E-3</v>
      </c>
      <c r="E2147" s="215" t="s">
        <v>450</v>
      </c>
    </row>
    <row r="2148" spans="1:5" x14ac:dyDescent="0.25">
      <c r="A2148" s="46">
        <v>357</v>
      </c>
      <c r="B2148" s="143" t="s">
        <v>375</v>
      </c>
      <c r="C2148" s="89" t="s">
        <v>502</v>
      </c>
      <c r="D2148" s="141">
        <v>0.01</v>
      </c>
      <c r="E2148" s="215" t="s">
        <v>450</v>
      </c>
    </row>
    <row r="2149" spans="1:5" x14ac:dyDescent="0.25">
      <c r="A2149" s="46">
        <v>357</v>
      </c>
      <c r="B2149" s="143" t="s">
        <v>375</v>
      </c>
      <c r="C2149" s="143" t="s">
        <v>590</v>
      </c>
      <c r="D2149" s="141">
        <v>0.02</v>
      </c>
      <c r="E2149" s="215" t="s">
        <v>450</v>
      </c>
    </row>
    <row r="2150" spans="1:5" x14ac:dyDescent="0.25">
      <c r="A2150" s="46">
        <v>357</v>
      </c>
      <c r="B2150" s="143" t="s">
        <v>375</v>
      </c>
      <c r="C2150" s="89" t="s">
        <v>554</v>
      </c>
      <c r="D2150" s="141">
        <v>0.01</v>
      </c>
      <c r="E2150" s="215" t="s">
        <v>450</v>
      </c>
    </row>
    <row r="2151" spans="1:5" x14ac:dyDescent="0.25">
      <c r="A2151" s="46">
        <v>357</v>
      </c>
      <c r="B2151" s="143" t="s">
        <v>375</v>
      </c>
      <c r="C2151" s="89" t="s">
        <v>480</v>
      </c>
      <c r="D2151" s="141">
        <v>0.01</v>
      </c>
      <c r="E2151" s="215" t="s">
        <v>450</v>
      </c>
    </row>
    <row r="2152" spans="1:5" x14ac:dyDescent="0.25">
      <c r="A2152" s="46">
        <v>357</v>
      </c>
      <c r="B2152" s="143" t="s">
        <v>375</v>
      </c>
      <c r="C2152" s="89" t="s">
        <v>525</v>
      </c>
      <c r="D2152" s="141">
        <v>0.02</v>
      </c>
      <c r="E2152" s="215" t="s">
        <v>450</v>
      </c>
    </row>
    <row r="2153" spans="1:5" x14ac:dyDescent="0.25">
      <c r="A2153" s="46">
        <v>357</v>
      </c>
      <c r="B2153" s="143" t="s">
        <v>375</v>
      </c>
      <c r="C2153" s="89" t="s">
        <v>470</v>
      </c>
      <c r="D2153" s="141">
        <v>2E-3</v>
      </c>
      <c r="E2153" s="215" t="s">
        <v>450</v>
      </c>
    </row>
    <row r="2154" spans="1:5" x14ac:dyDescent="0.25">
      <c r="A2154" s="46">
        <v>357</v>
      </c>
      <c r="B2154" s="143" t="s">
        <v>375</v>
      </c>
      <c r="C2154" s="89" t="s">
        <v>516</v>
      </c>
      <c r="D2154" s="141">
        <v>1E-3</v>
      </c>
      <c r="E2154" s="215" t="s">
        <v>450</v>
      </c>
    </row>
    <row r="2155" spans="1:5" x14ac:dyDescent="0.25">
      <c r="A2155" s="46">
        <v>357</v>
      </c>
      <c r="B2155" s="143" t="s">
        <v>375</v>
      </c>
      <c r="C2155" s="89" t="s">
        <v>529</v>
      </c>
      <c r="D2155" s="141">
        <v>3.0000000000000001E-3</v>
      </c>
      <c r="E2155" s="215" t="s">
        <v>450</v>
      </c>
    </row>
    <row r="2156" spans="1:5" x14ac:dyDescent="0.25">
      <c r="A2156" s="46">
        <v>357</v>
      </c>
      <c r="B2156" s="143" t="s">
        <v>375</v>
      </c>
      <c r="C2156" s="89" t="s">
        <v>1064</v>
      </c>
      <c r="D2156" s="141" t="s">
        <v>1110</v>
      </c>
      <c r="E2156" s="216" t="s">
        <v>450</v>
      </c>
    </row>
    <row r="2157" spans="1:5" x14ac:dyDescent="0.25">
      <c r="A2157" s="46">
        <v>357</v>
      </c>
      <c r="B2157" s="143" t="s">
        <v>375</v>
      </c>
      <c r="C2157" s="89" t="s">
        <v>549</v>
      </c>
      <c r="D2157" s="141">
        <v>0.15</v>
      </c>
      <c r="E2157" s="216" t="s">
        <v>450</v>
      </c>
    </row>
    <row r="2158" spans="1:5" x14ac:dyDescent="0.25">
      <c r="A2158" s="46">
        <v>314</v>
      </c>
      <c r="B2158" s="143" t="s">
        <v>345</v>
      </c>
      <c r="C2158" s="89" t="s">
        <v>467</v>
      </c>
      <c r="D2158" s="141">
        <v>5.0000000000000001E-3</v>
      </c>
      <c r="E2158" s="89" t="s">
        <v>448</v>
      </c>
    </row>
    <row r="2159" spans="1:5" x14ac:dyDescent="0.25">
      <c r="A2159" s="46">
        <v>314</v>
      </c>
      <c r="B2159" s="143" t="s">
        <v>345</v>
      </c>
      <c r="C2159" s="89" t="s">
        <v>1016</v>
      </c>
      <c r="D2159" s="141">
        <v>0.08</v>
      </c>
      <c r="E2159" s="89" t="s">
        <v>450</v>
      </c>
    </row>
    <row r="2160" spans="1:5" x14ac:dyDescent="0.25">
      <c r="A2160" s="46">
        <v>314</v>
      </c>
      <c r="B2160" s="143" t="s">
        <v>345</v>
      </c>
      <c r="C2160" s="89" t="s">
        <v>462</v>
      </c>
      <c r="D2160" s="141">
        <v>7.4999999999999997E-2</v>
      </c>
      <c r="E2160" s="89" t="s">
        <v>450</v>
      </c>
    </row>
    <row r="2161" spans="1:5" x14ac:dyDescent="0.25">
      <c r="A2161" s="46">
        <v>314</v>
      </c>
      <c r="B2161" s="143" t="s">
        <v>345</v>
      </c>
      <c r="C2161" s="89" t="s">
        <v>466</v>
      </c>
      <c r="D2161" s="141">
        <v>3.0000000000000001E-3</v>
      </c>
      <c r="E2161" s="89" t="s">
        <v>450</v>
      </c>
    </row>
    <row r="2162" spans="1:5" x14ac:dyDescent="0.25">
      <c r="A2162" s="46">
        <v>314</v>
      </c>
      <c r="B2162" s="143" t="s">
        <v>345</v>
      </c>
      <c r="C2162" s="89" t="s">
        <v>629</v>
      </c>
      <c r="D2162" s="141">
        <v>2E-3</v>
      </c>
      <c r="E2162" s="89" t="s">
        <v>450</v>
      </c>
    </row>
    <row r="2163" spans="1:5" x14ac:dyDescent="0.25">
      <c r="A2163" s="46">
        <v>314</v>
      </c>
      <c r="B2163" s="143" t="s">
        <v>345</v>
      </c>
      <c r="C2163" s="89" t="s">
        <v>823</v>
      </c>
      <c r="D2163" s="141">
        <v>1E-3</v>
      </c>
      <c r="E2163" s="89"/>
    </row>
    <row r="2164" spans="1:5" x14ac:dyDescent="0.25">
      <c r="A2164" s="46">
        <v>314</v>
      </c>
      <c r="B2164" s="143" t="s">
        <v>345</v>
      </c>
      <c r="C2164" s="89" t="s">
        <v>745</v>
      </c>
      <c r="D2164" s="141">
        <v>1E-3</v>
      </c>
      <c r="E2164" s="89"/>
    </row>
    <row r="2165" spans="1:5" x14ac:dyDescent="0.25">
      <c r="A2165" s="46">
        <v>314</v>
      </c>
      <c r="B2165" s="143" t="s">
        <v>345</v>
      </c>
      <c r="C2165" s="89" t="s">
        <v>488</v>
      </c>
      <c r="D2165" s="141">
        <v>1E-3</v>
      </c>
      <c r="E2165" s="89"/>
    </row>
    <row r="2166" spans="1:5" x14ac:dyDescent="0.25">
      <c r="A2166" s="46">
        <v>314</v>
      </c>
      <c r="B2166" s="143" t="s">
        <v>345</v>
      </c>
      <c r="C2166" s="89" t="s">
        <v>498</v>
      </c>
      <c r="D2166" s="141">
        <v>0.02</v>
      </c>
      <c r="E2166" s="89" t="s">
        <v>450</v>
      </c>
    </row>
    <row r="2167" spans="1:5" x14ac:dyDescent="0.25">
      <c r="A2167" s="47">
        <v>269</v>
      </c>
      <c r="B2167" s="143" t="s">
        <v>299</v>
      </c>
      <c r="C2167" s="167" t="s">
        <v>462</v>
      </c>
      <c r="D2167" s="141">
        <v>7.4999999999999997E-2</v>
      </c>
      <c r="E2167" s="145" t="s">
        <v>450</v>
      </c>
    </row>
    <row r="2168" spans="1:5" x14ac:dyDescent="0.25">
      <c r="A2168" s="47">
        <v>269</v>
      </c>
      <c r="B2168" s="143" t="s">
        <v>299</v>
      </c>
      <c r="C2168" s="167" t="s">
        <v>504</v>
      </c>
      <c r="D2168" s="141">
        <v>5.0000000000000001E-3</v>
      </c>
      <c r="E2168" s="145" t="s">
        <v>450</v>
      </c>
    </row>
    <row r="2169" spans="1:5" x14ac:dyDescent="0.25">
      <c r="A2169" s="47">
        <v>269</v>
      </c>
      <c r="B2169" s="143" t="s">
        <v>299</v>
      </c>
      <c r="C2169" s="167" t="s">
        <v>557</v>
      </c>
      <c r="D2169" s="141">
        <v>1E-3</v>
      </c>
      <c r="E2169" s="145" t="s">
        <v>450</v>
      </c>
    </row>
    <row r="2170" spans="1:5" x14ac:dyDescent="0.25">
      <c r="A2170" s="47">
        <v>269</v>
      </c>
      <c r="B2170" s="143" t="s">
        <v>299</v>
      </c>
      <c r="C2170" s="167" t="s">
        <v>558</v>
      </c>
      <c r="D2170" s="141">
        <v>1E-3</v>
      </c>
      <c r="E2170" s="145" t="s">
        <v>450</v>
      </c>
    </row>
    <row r="2171" spans="1:5" x14ac:dyDescent="0.25">
      <c r="A2171" s="47">
        <v>269</v>
      </c>
      <c r="B2171" s="143" t="s">
        <v>299</v>
      </c>
      <c r="C2171" s="167" t="s">
        <v>559</v>
      </c>
      <c r="D2171" s="141">
        <v>1</v>
      </c>
      <c r="E2171" s="145" t="s">
        <v>749</v>
      </c>
    </row>
    <row r="2172" spans="1:5" x14ac:dyDescent="0.25">
      <c r="A2172" s="47">
        <v>269</v>
      </c>
      <c r="B2172" s="143" t="s">
        <v>299</v>
      </c>
      <c r="C2172" s="167" t="s">
        <v>403</v>
      </c>
      <c r="D2172" s="141">
        <v>0.05</v>
      </c>
      <c r="E2172" s="145" t="s">
        <v>450</v>
      </c>
    </row>
    <row r="2173" spans="1:5" x14ac:dyDescent="0.25">
      <c r="A2173" s="47">
        <v>269</v>
      </c>
      <c r="B2173" s="143" t="s">
        <v>299</v>
      </c>
      <c r="C2173" s="167" t="s">
        <v>470</v>
      </c>
      <c r="D2173" s="141">
        <v>2E-3</v>
      </c>
      <c r="E2173" s="145" t="s">
        <v>450</v>
      </c>
    </row>
    <row r="2174" spans="1:5" x14ac:dyDescent="0.25">
      <c r="A2174" s="47">
        <v>269</v>
      </c>
      <c r="B2174" s="143" t="s">
        <v>299</v>
      </c>
      <c r="C2174" s="167" t="s">
        <v>516</v>
      </c>
      <c r="D2174" s="141">
        <v>1E-3</v>
      </c>
      <c r="E2174" s="145" t="s">
        <v>450</v>
      </c>
    </row>
    <row r="2175" spans="1:5" x14ac:dyDescent="0.25">
      <c r="A2175" s="46">
        <v>303</v>
      </c>
      <c r="B2175" s="143" t="s">
        <v>335</v>
      </c>
      <c r="C2175" s="89" t="s">
        <v>462</v>
      </c>
      <c r="D2175" s="141">
        <v>7.4999999999999997E-2</v>
      </c>
      <c r="E2175" s="160" t="s">
        <v>450</v>
      </c>
    </row>
    <row r="2176" spans="1:5" x14ac:dyDescent="0.25">
      <c r="A2176" s="46">
        <v>303</v>
      </c>
      <c r="B2176" s="143" t="s">
        <v>335</v>
      </c>
      <c r="C2176" s="89" t="s">
        <v>569</v>
      </c>
      <c r="D2176" s="141">
        <v>2.5000000000000001E-3</v>
      </c>
      <c r="E2176" s="160" t="s">
        <v>450</v>
      </c>
    </row>
    <row r="2177" spans="1:5" x14ac:dyDescent="0.25">
      <c r="A2177" s="46">
        <v>303</v>
      </c>
      <c r="B2177" s="143" t="s">
        <v>335</v>
      </c>
      <c r="C2177" s="89" t="s">
        <v>656</v>
      </c>
      <c r="D2177" s="141">
        <v>0.01</v>
      </c>
      <c r="E2177" s="160" t="s">
        <v>450</v>
      </c>
    </row>
    <row r="2178" spans="1:5" x14ac:dyDescent="0.25">
      <c r="A2178" s="46">
        <v>303</v>
      </c>
      <c r="B2178" s="143" t="s">
        <v>335</v>
      </c>
      <c r="C2178" s="89" t="s">
        <v>657</v>
      </c>
      <c r="D2178" s="141">
        <v>1.4999999999999999E-2</v>
      </c>
      <c r="E2178" s="160" t="s">
        <v>450</v>
      </c>
    </row>
    <row r="2179" spans="1:5" x14ac:dyDescent="0.25">
      <c r="A2179" s="46">
        <v>303</v>
      </c>
      <c r="B2179" s="143" t="s">
        <v>335</v>
      </c>
      <c r="C2179" s="89" t="s">
        <v>466</v>
      </c>
      <c r="D2179" s="141">
        <v>2.5000000000000001E-3</v>
      </c>
      <c r="E2179" s="160" t="s">
        <v>450</v>
      </c>
    </row>
    <row r="2180" spans="1:5" x14ac:dyDescent="0.25">
      <c r="A2180" s="46">
        <v>303</v>
      </c>
      <c r="B2180" s="143" t="s">
        <v>335</v>
      </c>
      <c r="C2180" s="89" t="s">
        <v>823</v>
      </c>
      <c r="D2180" s="141">
        <v>1E-3</v>
      </c>
      <c r="E2180" s="89"/>
    </row>
    <row r="2181" spans="1:5" x14ac:dyDescent="0.25">
      <c r="A2181" s="46">
        <v>303</v>
      </c>
      <c r="B2181" s="143" t="s">
        <v>335</v>
      </c>
      <c r="C2181" s="89" t="s">
        <v>464</v>
      </c>
      <c r="D2181" s="141">
        <v>1E-3</v>
      </c>
      <c r="E2181" s="89"/>
    </row>
    <row r="2182" spans="1:5" x14ac:dyDescent="0.25">
      <c r="A2182" s="46">
        <v>303</v>
      </c>
      <c r="B2182" s="143" t="s">
        <v>335</v>
      </c>
      <c r="C2182" s="89" t="s">
        <v>459</v>
      </c>
      <c r="D2182" s="141">
        <v>2E-3</v>
      </c>
      <c r="E2182" s="160" t="s">
        <v>450</v>
      </c>
    </row>
    <row r="2183" spans="1:5" x14ac:dyDescent="0.25">
      <c r="A2183" s="46">
        <v>303</v>
      </c>
      <c r="B2183" s="143" t="s">
        <v>335</v>
      </c>
      <c r="C2183" s="89" t="s">
        <v>466</v>
      </c>
      <c r="D2183" s="141">
        <v>5.0000000000000001E-4</v>
      </c>
      <c r="E2183" s="160" t="s">
        <v>450</v>
      </c>
    </row>
    <row r="2184" spans="1:5" x14ac:dyDescent="0.25">
      <c r="A2184" s="46">
        <v>303</v>
      </c>
      <c r="B2184" s="143" t="s">
        <v>335</v>
      </c>
      <c r="C2184" s="89" t="s">
        <v>487</v>
      </c>
      <c r="D2184" s="141">
        <v>1E-3</v>
      </c>
      <c r="E2184" s="89"/>
    </row>
    <row r="2185" spans="1:5" x14ac:dyDescent="0.25">
      <c r="A2185" s="46">
        <v>303</v>
      </c>
      <c r="B2185" s="143" t="s">
        <v>335</v>
      </c>
      <c r="C2185" s="89" t="s">
        <v>993</v>
      </c>
      <c r="D2185" s="141">
        <v>2.5000000000000001E-3</v>
      </c>
      <c r="E2185" s="160" t="s">
        <v>450</v>
      </c>
    </row>
    <row r="2186" spans="1:5" x14ac:dyDescent="0.25">
      <c r="A2186" s="46">
        <v>310</v>
      </c>
      <c r="B2186" s="143" t="s">
        <v>341</v>
      </c>
      <c r="C2186" s="89" t="s">
        <v>462</v>
      </c>
      <c r="D2186" s="141">
        <v>0.75</v>
      </c>
      <c r="E2186" s="141" t="s">
        <v>450</v>
      </c>
    </row>
    <row r="2187" spans="1:5" x14ac:dyDescent="0.25">
      <c r="A2187" s="46">
        <v>310</v>
      </c>
      <c r="B2187" s="143" t="s">
        <v>341</v>
      </c>
      <c r="C2187" s="89" t="s">
        <v>810</v>
      </c>
      <c r="D2187" s="141" t="e">
        <f>#REF!*0.25</f>
        <v>#REF!</v>
      </c>
      <c r="E2187" s="141" t="s">
        <v>450</v>
      </c>
    </row>
    <row r="2188" spans="1:5" x14ac:dyDescent="0.25">
      <c r="A2188" s="46">
        <v>310</v>
      </c>
      <c r="B2188" s="143" t="s">
        <v>341</v>
      </c>
      <c r="C2188" s="89" t="s">
        <v>647</v>
      </c>
      <c r="D2188" s="141" t="e">
        <f>#REF!*0.25</f>
        <v>#REF!</v>
      </c>
      <c r="E2188" s="141" t="s">
        <v>450</v>
      </c>
    </row>
    <row r="2189" spans="1:5" x14ac:dyDescent="0.25">
      <c r="A2189" s="46">
        <v>310</v>
      </c>
      <c r="B2189" s="143" t="s">
        <v>341</v>
      </c>
      <c r="C2189" s="146" t="s">
        <v>643</v>
      </c>
      <c r="D2189" s="141" t="e">
        <f>#REF!*0.25</f>
        <v>#REF!</v>
      </c>
      <c r="E2189" s="141" t="s">
        <v>450</v>
      </c>
    </row>
    <row r="2190" spans="1:5" x14ac:dyDescent="0.25">
      <c r="A2190" s="46">
        <v>310</v>
      </c>
      <c r="B2190" s="143" t="s">
        <v>341</v>
      </c>
      <c r="C2190" s="89" t="s">
        <v>687</v>
      </c>
      <c r="D2190" s="141" t="e">
        <f>#REF!*0.25</f>
        <v>#REF!</v>
      </c>
      <c r="E2190" s="141" t="s">
        <v>450</v>
      </c>
    </row>
    <row r="2191" spans="1:5" x14ac:dyDescent="0.25">
      <c r="A2191" s="46">
        <v>310</v>
      </c>
      <c r="B2191" s="143" t="s">
        <v>341</v>
      </c>
      <c r="C2191" s="89" t="s">
        <v>552</v>
      </c>
      <c r="D2191" s="141" t="e">
        <f>#REF!*0.25</f>
        <v>#REF!</v>
      </c>
      <c r="E2191" s="141" t="s">
        <v>450</v>
      </c>
    </row>
    <row r="2192" spans="1:5" x14ac:dyDescent="0.25">
      <c r="A2192" s="46">
        <v>310</v>
      </c>
      <c r="B2192" s="143" t="s">
        <v>341</v>
      </c>
      <c r="C2192" s="143" t="s">
        <v>449</v>
      </c>
      <c r="D2192" s="141" t="e">
        <f>#REF!*0.25</f>
        <v>#REF!</v>
      </c>
      <c r="E2192" s="141" t="s">
        <v>450</v>
      </c>
    </row>
    <row r="2193" spans="1:5" x14ac:dyDescent="0.25">
      <c r="A2193" s="46">
        <v>310</v>
      </c>
      <c r="B2193" s="143" t="s">
        <v>341</v>
      </c>
      <c r="C2193" s="89" t="s">
        <v>478</v>
      </c>
      <c r="D2193" s="141">
        <v>3.0000000000000001E-3</v>
      </c>
      <c r="E2193" s="141" t="s">
        <v>448</v>
      </c>
    </row>
    <row r="2194" spans="1:5" x14ac:dyDescent="0.25">
      <c r="A2194" s="46">
        <v>310</v>
      </c>
      <c r="B2194" s="143" t="s">
        <v>341</v>
      </c>
      <c r="C2194" s="89" t="s">
        <v>470</v>
      </c>
      <c r="D2194" s="141">
        <v>2E-3</v>
      </c>
      <c r="E2194" s="145" t="s">
        <v>450</v>
      </c>
    </row>
    <row r="2195" spans="1:5" x14ac:dyDescent="0.25">
      <c r="A2195" s="46">
        <v>310</v>
      </c>
      <c r="B2195" s="143" t="s">
        <v>341</v>
      </c>
      <c r="C2195" s="89" t="s">
        <v>516</v>
      </c>
      <c r="D2195" s="141">
        <v>1E-3</v>
      </c>
      <c r="E2195" s="145" t="s">
        <v>450</v>
      </c>
    </row>
    <row r="2196" spans="1:5" x14ac:dyDescent="0.25">
      <c r="A2196" s="46">
        <v>310</v>
      </c>
      <c r="B2196" s="143" t="s">
        <v>341</v>
      </c>
      <c r="C2196" s="89" t="s">
        <v>1007</v>
      </c>
      <c r="D2196" s="141">
        <v>0.01</v>
      </c>
      <c r="E2196" s="89" t="s">
        <v>448</v>
      </c>
    </row>
    <row r="2197" spans="1:5" x14ac:dyDescent="0.25">
      <c r="A2197" s="46">
        <v>310</v>
      </c>
      <c r="B2197" s="143" t="s">
        <v>341</v>
      </c>
      <c r="C2197" s="89" t="s">
        <v>1008</v>
      </c>
      <c r="D2197" s="141">
        <v>0.25</v>
      </c>
      <c r="E2197" s="145" t="s">
        <v>749</v>
      </c>
    </row>
    <row r="2198" spans="1:5" x14ac:dyDescent="0.25">
      <c r="A2198" s="46">
        <v>310</v>
      </c>
      <c r="B2198" s="143" t="s">
        <v>341</v>
      </c>
      <c r="C2198" s="89" t="s">
        <v>791</v>
      </c>
      <c r="D2198" s="141">
        <v>2E-3</v>
      </c>
      <c r="E2198" s="89" t="s">
        <v>450</v>
      </c>
    </row>
    <row r="2199" spans="1:5" x14ac:dyDescent="0.25">
      <c r="A2199" s="46">
        <v>310</v>
      </c>
      <c r="B2199" s="143" t="s">
        <v>341</v>
      </c>
      <c r="C2199" s="89" t="s">
        <v>1009</v>
      </c>
      <c r="D2199" s="141">
        <v>2E-3</v>
      </c>
      <c r="E2199" s="89" t="s">
        <v>1010</v>
      </c>
    </row>
    <row r="2200" spans="1:5" x14ac:dyDescent="0.25">
      <c r="A2200" s="46">
        <v>310</v>
      </c>
      <c r="B2200" s="143" t="s">
        <v>341</v>
      </c>
      <c r="C2200" s="156" t="s">
        <v>1002</v>
      </c>
      <c r="D2200" s="141">
        <v>1E-3</v>
      </c>
      <c r="E2200" s="89"/>
    </row>
    <row r="2201" spans="1:5" x14ac:dyDescent="0.25">
      <c r="A2201" s="46">
        <v>310</v>
      </c>
      <c r="B2201" s="143" t="s">
        <v>341</v>
      </c>
      <c r="C2201" s="89" t="s">
        <v>1011</v>
      </c>
      <c r="D2201" s="141">
        <v>1E-3</v>
      </c>
      <c r="E2201" s="89"/>
    </row>
    <row r="2202" spans="1:5" x14ac:dyDescent="0.25">
      <c r="A2202" s="46">
        <v>310</v>
      </c>
      <c r="B2202" s="143" t="s">
        <v>341</v>
      </c>
      <c r="C2202" s="89" t="s">
        <v>573</v>
      </c>
      <c r="D2202" s="141">
        <v>1E-3</v>
      </c>
      <c r="E2202" s="89"/>
    </row>
    <row r="2203" spans="1:5" x14ac:dyDescent="0.25">
      <c r="A2203" s="46">
        <v>310</v>
      </c>
      <c r="B2203" s="143" t="s">
        <v>341</v>
      </c>
      <c r="C2203" s="89" t="s">
        <v>1012</v>
      </c>
      <c r="D2203" s="141">
        <v>1.5E-3</v>
      </c>
      <c r="E2203" s="89" t="s">
        <v>450</v>
      </c>
    </row>
    <row r="2204" spans="1:5" x14ac:dyDescent="0.25">
      <c r="A2204" s="49">
        <v>339</v>
      </c>
      <c r="B2204" s="143" t="s">
        <v>44</v>
      </c>
      <c r="C2204" s="89" t="s">
        <v>810</v>
      </c>
      <c r="D2204" s="141">
        <v>3.5000000000000003E-2</v>
      </c>
      <c r="E2204" s="141" t="s">
        <v>450</v>
      </c>
    </row>
    <row r="2205" spans="1:5" x14ac:dyDescent="0.25">
      <c r="A2205" s="49">
        <v>339</v>
      </c>
      <c r="B2205" s="143" t="s">
        <v>44</v>
      </c>
      <c r="C2205" s="89" t="s">
        <v>647</v>
      </c>
      <c r="D2205" s="141">
        <f>0.02/4</f>
        <v>5.0000000000000001E-3</v>
      </c>
      <c r="E2205" s="141" t="s">
        <v>450</v>
      </c>
    </row>
    <row r="2206" spans="1:5" x14ac:dyDescent="0.25">
      <c r="A2206" s="49">
        <v>339</v>
      </c>
      <c r="B2206" s="143" t="s">
        <v>44</v>
      </c>
      <c r="C2206" s="146" t="s">
        <v>643</v>
      </c>
      <c r="D2206" s="141">
        <f>0.07/4</f>
        <v>1.7500000000000002E-2</v>
      </c>
      <c r="E2206" s="141" t="s">
        <v>450</v>
      </c>
    </row>
    <row r="2207" spans="1:5" x14ac:dyDescent="0.25">
      <c r="A2207" s="49">
        <v>339</v>
      </c>
      <c r="B2207" s="143" t="s">
        <v>44</v>
      </c>
      <c r="C2207" s="89" t="s">
        <v>687</v>
      </c>
      <c r="D2207" s="141">
        <v>3.0000000000000001E-3</v>
      </c>
      <c r="E2207" s="141" t="s">
        <v>450</v>
      </c>
    </row>
    <row r="2208" spans="1:5" x14ac:dyDescent="0.25">
      <c r="A2208" s="49">
        <v>339</v>
      </c>
      <c r="B2208" s="143" t="s">
        <v>44</v>
      </c>
      <c r="C2208" s="89" t="s">
        <v>785</v>
      </c>
      <c r="D2208" s="141">
        <v>0.01</v>
      </c>
      <c r="E2208" s="141" t="s">
        <v>450</v>
      </c>
    </row>
    <row r="2209" spans="1:5" x14ac:dyDescent="0.25">
      <c r="A2209" s="49">
        <v>339</v>
      </c>
      <c r="B2209" s="143" t="s">
        <v>44</v>
      </c>
      <c r="C2209" s="89" t="s">
        <v>552</v>
      </c>
      <c r="D2209" s="141">
        <v>3.0000000000000001E-3</v>
      </c>
      <c r="E2209" s="141" t="s">
        <v>450</v>
      </c>
    </row>
    <row r="2210" spans="1:5" x14ac:dyDescent="0.25">
      <c r="A2210" s="49">
        <v>339</v>
      </c>
      <c r="B2210" s="143" t="s">
        <v>44</v>
      </c>
      <c r="C2210" s="143" t="s">
        <v>449</v>
      </c>
      <c r="D2210" s="141">
        <v>3.0000000000000001E-3</v>
      </c>
      <c r="E2210" s="141" t="s">
        <v>448</v>
      </c>
    </row>
    <row r="2211" spans="1:5" x14ac:dyDescent="0.25">
      <c r="A2211" s="49">
        <v>339</v>
      </c>
      <c r="B2211" s="143" t="s">
        <v>44</v>
      </c>
      <c r="C2211" s="89" t="s">
        <v>478</v>
      </c>
      <c r="D2211" s="141">
        <v>3.0000000000000001E-3</v>
      </c>
      <c r="E2211" s="145" t="s">
        <v>450</v>
      </c>
    </row>
    <row r="2212" spans="1:5" x14ac:dyDescent="0.25">
      <c r="A2212" s="49">
        <v>339</v>
      </c>
      <c r="B2212" s="143" t="s">
        <v>44</v>
      </c>
      <c r="C2212" s="89" t="s">
        <v>470</v>
      </c>
      <c r="D2212" s="141">
        <v>2E-3</v>
      </c>
      <c r="E2212" s="145" t="s">
        <v>450</v>
      </c>
    </row>
    <row r="2213" spans="1:5" x14ac:dyDescent="0.25">
      <c r="A2213" s="49">
        <v>339</v>
      </c>
      <c r="B2213" s="143" t="s">
        <v>44</v>
      </c>
      <c r="C2213" s="89" t="s">
        <v>516</v>
      </c>
      <c r="D2213" s="141">
        <v>1E-3</v>
      </c>
      <c r="E2213" s="145" t="s">
        <v>450</v>
      </c>
    </row>
    <row r="2214" spans="1:5" x14ac:dyDescent="0.25">
      <c r="A2214" s="49">
        <v>339</v>
      </c>
      <c r="B2214" s="143" t="s">
        <v>44</v>
      </c>
      <c r="C2214" s="89" t="s">
        <v>573</v>
      </c>
      <c r="D2214" s="141">
        <v>1E-3</v>
      </c>
      <c r="E2214" s="145" t="s">
        <v>450</v>
      </c>
    </row>
    <row r="2215" spans="1:5" x14ac:dyDescent="0.25">
      <c r="A2215" s="49">
        <v>339</v>
      </c>
      <c r="B2215" s="143" t="s">
        <v>44</v>
      </c>
      <c r="C2215" s="89" t="s">
        <v>1058</v>
      </c>
      <c r="D2215" s="141">
        <v>2E-3</v>
      </c>
      <c r="E2215" s="145" t="s">
        <v>450</v>
      </c>
    </row>
    <row r="2216" spans="1:5" x14ac:dyDescent="0.25">
      <c r="A2216" s="49">
        <v>339</v>
      </c>
      <c r="B2216" s="143" t="s">
        <v>44</v>
      </c>
      <c r="C2216" s="89" t="s">
        <v>1059</v>
      </c>
      <c r="D2216" s="141">
        <v>0.75</v>
      </c>
      <c r="E2216" s="145" t="s">
        <v>450</v>
      </c>
    </row>
    <row r="2217" spans="1:5" x14ac:dyDescent="0.25">
      <c r="A2217" s="49">
        <v>339</v>
      </c>
      <c r="B2217" s="143" t="s">
        <v>44</v>
      </c>
      <c r="C2217" s="89" t="s">
        <v>942</v>
      </c>
      <c r="D2217" s="141">
        <v>1.4999999999999999E-2</v>
      </c>
      <c r="E2217" s="145" t="s">
        <v>450</v>
      </c>
    </row>
    <row r="2218" spans="1:5" x14ac:dyDescent="0.25">
      <c r="A2218" s="49">
        <v>339</v>
      </c>
      <c r="B2218" s="143" t="s">
        <v>44</v>
      </c>
      <c r="C2218" s="89" t="s">
        <v>1060</v>
      </c>
      <c r="D2218" s="141">
        <v>1E-3</v>
      </c>
      <c r="E2218" s="145" t="s">
        <v>450</v>
      </c>
    </row>
    <row r="2219" spans="1:5" x14ac:dyDescent="0.25">
      <c r="A2219" s="49">
        <v>339</v>
      </c>
      <c r="B2219" s="143" t="s">
        <v>44</v>
      </c>
      <c r="C2219" s="89" t="s">
        <v>1061</v>
      </c>
      <c r="D2219" s="141">
        <v>1E-3</v>
      </c>
      <c r="E2219" s="145" t="s">
        <v>450</v>
      </c>
    </row>
    <row r="2220" spans="1:5" x14ac:dyDescent="0.25">
      <c r="A2220" s="46">
        <v>250</v>
      </c>
      <c r="B2220" s="143" t="s">
        <v>283</v>
      </c>
      <c r="C2220" s="146" t="s">
        <v>462</v>
      </c>
      <c r="D2220" s="148">
        <v>0.9</v>
      </c>
      <c r="E2220" s="145" t="s">
        <v>450</v>
      </c>
    </row>
    <row r="2221" spans="1:5" x14ac:dyDescent="0.25">
      <c r="A2221" s="46">
        <v>250</v>
      </c>
      <c r="B2221" s="143" t="s">
        <v>283</v>
      </c>
      <c r="C2221" s="146" t="s">
        <v>463</v>
      </c>
      <c r="D2221" s="148">
        <v>3.0000000000000001E-3</v>
      </c>
      <c r="E2221" s="145" t="s">
        <v>450</v>
      </c>
    </row>
    <row r="2222" spans="1:5" x14ac:dyDescent="0.25">
      <c r="A2222" s="46">
        <v>250</v>
      </c>
      <c r="B2222" s="143" t="s">
        <v>283</v>
      </c>
      <c r="C2222" s="89" t="s">
        <v>464</v>
      </c>
      <c r="D2222" s="148">
        <v>1E-3</v>
      </c>
      <c r="E2222" s="145" t="s">
        <v>450</v>
      </c>
    </row>
    <row r="2223" spans="1:5" x14ac:dyDescent="0.25">
      <c r="A2223" s="46">
        <v>250</v>
      </c>
      <c r="B2223" s="143" t="s">
        <v>283</v>
      </c>
      <c r="C2223" s="146" t="s">
        <v>465</v>
      </c>
      <c r="D2223" s="148">
        <v>8.9999999999999993E-3</v>
      </c>
      <c r="E2223" s="145" t="s">
        <v>450</v>
      </c>
    </row>
    <row r="2224" spans="1:5" x14ac:dyDescent="0.25">
      <c r="A2224" s="46">
        <v>250</v>
      </c>
      <c r="B2224" s="143" t="s">
        <v>283</v>
      </c>
      <c r="C2224" s="146" t="s">
        <v>466</v>
      </c>
      <c r="D2224" s="148">
        <v>3.0000000000000001E-3</v>
      </c>
      <c r="E2224" s="145" t="s">
        <v>450</v>
      </c>
    </row>
    <row r="2225" spans="1:5" x14ac:dyDescent="0.25">
      <c r="A2225" s="46">
        <v>250</v>
      </c>
      <c r="B2225" s="143" t="s">
        <v>283</v>
      </c>
      <c r="C2225" s="146" t="s">
        <v>467</v>
      </c>
      <c r="D2225" s="148">
        <v>3.0000000000000001E-3</v>
      </c>
      <c r="E2225" s="145" t="s">
        <v>448</v>
      </c>
    </row>
    <row r="2226" spans="1:5" x14ac:dyDescent="0.25">
      <c r="A2226" s="46">
        <v>250</v>
      </c>
      <c r="B2226" s="143" t="s">
        <v>283</v>
      </c>
      <c r="C2226" s="146" t="s">
        <v>468</v>
      </c>
      <c r="D2226" s="148">
        <v>1E-3</v>
      </c>
      <c r="E2226" s="145" t="s">
        <v>450</v>
      </c>
    </row>
    <row r="2227" spans="1:5" x14ac:dyDescent="0.25">
      <c r="A2227" s="46">
        <v>250</v>
      </c>
      <c r="B2227" s="143" t="s">
        <v>283</v>
      </c>
      <c r="C2227" s="146" t="s">
        <v>469</v>
      </c>
      <c r="D2227" s="148">
        <v>0.01</v>
      </c>
      <c r="E2227" s="145" t="s">
        <v>448</v>
      </c>
    </row>
    <row r="2228" spans="1:5" x14ac:dyDescent="0.25">
      <c r="A2228" s="46">
        <v>250</v>
      </c>
      <c r="B2228" s="143" t="s">
        <v>283</v>
      </c>
      <c r="C2228" s="146" t="s">
        <v>470</v>
      </c>
      <c r="D2228" s="148">
        <v>2E-3</v>
      </c>
      <c r="E2228" s="145" t="s">
        <v>450</v>
      </c>
    </row>
    <row r="2229" spans="1:5" x14ac:dyDescent="0.25">
      <c r="A2229" s="46">
        <v>4</v>
      </c>
      <c r="B2229" s="143" t="s">
        <v>150</v>
      </c>
      <c r="C2229" s="90" t="s">
        <v>675</v>
      </c>
      <c r="D2229" s="154">
        <v>0.12</v>
      </c>
      <c r="E2229" s="155" t="s">
        <v>450</v>
      </c>
    </row>
    <row r="2230" spans="1:5" x14ac:dyDescent="0.25">
      <c r="A2230" s="46">
        <v>4</v>
      </c>
      <c r="B2230" s="143" t="s">
        <v>150</v>
      </c>
      <c r="C2230" s="90" t="s">
        <v>554</v>
      </c>
      <c r="D2230" s="154">
        <v>0.1</v>
      </c>
      <c r="E2230" s="155" t="s">
        <v>450</v>
      </c>
    </row>
    <row r="2231" spans="1:5" x14ac:dyDescent="0.25">
      <c r="A2231" s="46">
        <v>4</v>
      </c>
      <c r="B2231" s="143" t="s">
        <v>150</v>
      </c>
      <c r="C2231" s="90" t="s">
        <v>593</v>
      </c>
      <c r="D2231" s="154">
        <v>3.5000000000000003E-2</v>
      </c>
      <c r="E2231" s="155" t="s">
        <v>458</v>
      </c>
    </row>
    <row r="2232" spans="1:5" x14ac:dyDescent="0.25">
      <c r="A2232" s="46">
        <v>4</v>
      </c>
      <c r="B2232" s="143" t="s">
        <v>150</v>
      </c>
      <c r="C2232" s="90" t="s">
        <v>580</v>
      </c>
      <c r="D2232" s="154">
        <v>0.08</v>
      </c>
      <c r="E2232" s="155" t="s">
        <v>458</v>
      </c>
    </row>
    <row r="2233" spans="1:5" x14ac:dyDescent="0.25">
      <c r="A2233" s="46">
        <v>4</v>
      </c>
      <c r="B2233" s="143" t="s">
        <v>150</v>
      </c>
      <c r="C2233" s="90" t="s">
        <v>488</v>
      </c>
      <c r="D2233" s="154">
        <v>0.01</v>
      </c>
      <c r="E2233" s="155" t="s">
        <v>450</v>
      </c>
    </row>
    <row r="2234" spans="1:5" x14ac:dyDescent="0.25">
      <c r="A2234" s="46">
        <v>4</v>
      </c>
      <c r="B2234" s="143" t="s">
        <v>150</v>
      </c>
      <c r="C2234" s="143" t="s">
        <v>487</v>
      </c>
      <c r="D2234" s="154">
        <v>3.0000000000000001E-3</v>
      </c>
      <c r="E2234" s="155" t="s">
        <v>458</v>
      </c>
    </row>
    <row r="2235" spans="1:5" x14ac:dyDescent="0.25">
      <c r="A2235" s="46">
        <v>4</v>
      </c>
      <c r="B2235" s="143" t="s">
        <v>150</v>
      </c>
      <c r="C2235" s="160" t="s">
        <v>477</v>
      </c>
      <c r="D2235" s="154">
        <v>0.08</v>
      </c>
      <c r="E2235" s="155" t="s">
        <v>450</v>
      </c>
    </row>
    <row r="2236" spans="1:5" x14ac:dyDescent="0.25">
      <c r="A2236" s="46">
        <v>4</v>
      </c>
      <c r="B2236" s="143" t="s">
        <v>150</v>
      </c>
      <c r="C2236" s="143" t="s">
        <v>480</v>
      </c>
      <c r="D2236" s="154">
        <v>1E-3</v>
      </c>
      <c r="E2236" s="155" t="s">
        <v>458</v>
      </c>
    </row>
    <row r="2237" spans="1:5" x14ac:dyDescent="0.25">
      <c r="A2237" s="46">
        <v>4</v>
      </c>
      <c r="B2237" s="143" t="s">
        <v>150</v>
      </c>
      <c r="C2237" s="143" t="s">
        <v>500</v>
      </c>
      <c r="D2237" s="154">
        <v>2E-3</v>
      </c>
      <c r="E2237" s="155" t="s">
        <v>450</v>
      </c>
    </row>
    <row r="2238" spans="1:5" x14ac:dyDescent="0.25">
      <c r="A2238" s="46">
        <v>4</v>
      </c>
      <c r="B2238" s="143" t="s">
        <v>150</v>
      </c>
      <c r="C2238" s="143" t="s">
        <v>467</v>
      </c>
      <c r="D2238" s="154">
        <v>0.05</v>
      </c>
      <c r="E2238" s="155" t="s">
        <v>448</v>
      </c>
    </row>
    <row r="2239" spans="1:5" x14ac:dyDescent="0.25">
      <c r="A2239" s="46">
        <v>4</v>
      </c>
      <c r="B2239" s="143" t="s">
        <v>150</v>
      </c>
      <c r="C2239" s="143" t="s">
        <v>480</v>
      </c>
      <c r="D2239" s="154">
        <v>1E-4</v>
      </c>
      <c r="E2239" s="155" t="s">
        <v>450</v>
      </c>
    </row>
    <row r="2240" spans="1:5" x14ac:dyDescent="0.25">
      <c r="A2240" s="46">
        <v>4</v>
      </c>
      <c r="B2240" s="143" t="s">
        <v>150</v>
      </c>
      <c r="C2240" s="143" t="s">
        <v>479</v>
      </c>
      <c r="D2240" s="154">
        <v>2E-3</v>
      </c>
      <c r="E2240" s="155" t="s">
        <v>458</v>
      </c>
    </row>
    <row r="2241" spans="1:5" x14ac:dyDescent="0.25">
      <c r="A2241" s="46">
        <v>4</v>
      </c>
      <c r="B2241" s="143" t="s">
        <v>150</v>
      </c>
      <c r="C2241" s="143" t="s">
        <v>500</v>
      </c>
      <c r="D2241" s="154">
        <v>3.0000000000000001E-3</v>
      </c>
      <c r="E2241" s="155" t="s">
        <v>458</v>
      </c>
    </row>
    <row r="2242" spans="1:5" x14ac:dyDescent="0.25">
      <c r="A2242" s="46">
        <v>4</v>
      </c>
      <c r="B2242" s="143" t="s">
        <v>150</v>
      </c>
      <c r="C2242" s="143" t="s">
        <v>467</v>
      </c>
      <c r="D2242" s="154">
        <v>7.0000000000000007E-2</v>
      </c>
      <c r="E2242" s="155" t="s">
        <v>448</v>
      </c>
    </row>
    <row r="2243" spans="1:5" x14ac:dyDescent="0.25">
      <c r="A2243" s="46">
        <v>346</v>
      </c>
      <c r="B2243" s="143" t="s">
        <v>367</v>
      </c>
      <c r="C2243" s="175" t="s">
        <v>554</v>
      </c>
      <c r="D2243" s="175">
        <v>0.04</v>
      </c>
      <c r="E2243" s="176"/>
    </row>
    <row r="2244" spans="1:5" x14ac:dyDescent="0.25">
      <c r="A2244" s="46">
        <v>346</v>
      </c>
      <c r="B2244" s="143" t="s">
        <v>367</v>
      </c>
      <c r="C2244" s="89" t="s">
        <v>1059</v>
      </c>
      <c r="D2244" s="217">
        <v>0.75</v>
      </c>
      <c r="E2244" s="145"/>
    </row>
    <row r="2245" spans="1:5" x14ac:dyDescent="0.25">
      <c r="A2245" s="46">
        <v>346</v>
      </c>
      <c r="B2245" s="143" t="s">
        <v>367</v>
      </c>
      <c r="C2245" s="175" t="s">
        <v>697</v>
      </c>
      <c r="D2245" s="175">
        <v>0.02</v>
      </c>
      <c r="E2245" s="176"/>
    </row>
    <row r="2246" spans="1:5" x14ac:dyDescent="0.25">
      <c r="A2246" s="46">
        <v>346</v>
      </c>
      <c r="B2246" s="143" t="s">
        <v>367</v>
      </c>
      <c r="C2246" s="175" t="s">
        <v>1082</v>
      </c>
      <c r="D2246" s="175">
        <v>0.01</v>
      </c>
      <c r="E2246" s="176"/>
    </row>
    <row r="2247" spans="1:5" x14ac:dyDescent="0.25">
      <c r="A2247" s="46">
        <v>346</v>
      </c>
      <c r="B2247" s="143" t="s">
        <v>367</v>
      </c>
      <c r="C2247" s="175" t="s">
        <v>687</v>
      </c>
      <c r="D2247" s="175">
        <v>8.0000000000000002E-3</v>
      </c>
      <c r="E2247" s="176"/>
    </row>
    <row r="2248" spans="1:5" x14ac:dyDescent="0.25">
      <c r="A2248" s="46">
        <v>346</v>
      </c>
      <c r="B2248" s="143" t="s">
        <v>367</v>
      </c>
      <c r="C2248" s="175" t="s">
        <v>871</v>
      </c>
      <c r="D2248" s="175">
        <v>1E-3</v>
      </c>
      <c r="E2248" s="176"/>
    </row>
    <row r="2249" spans="1:5" x14ac:dyDescent="0.25">
      <c r="A2249" s="46">
        <v>346</v>
      </c>
      <c r="B2249" s="143" t="s">
        <v>367</v>
      </c>
      <c r="C2249" s="175" t="s">
        <v>470</v>
      </c>
      <c r="D2249" s="175">
        <v>1E-3</v>
      </c>
      <c r="E2249" s="176"/>
    </row>
    <row r="2250" spans="1:5" x14ac:dyDescent="0.25">
      <c r="A2250" s="46">
        <v>346</v>
      </c>
      <c r="B2250" s="143" t="s">
        <v>367</v>
      </c>
      <c r="C2250" s="175" t="s">
        <v>478</v>
      </c>
      <c r="D2250" s="175">
        <v>1.4999999999999999E-2</v>
      </c>
      <c r="E2250" s="176"/>
    </row>
    <row r="2251" spans="1:5" x14ac:dyDescent="0.25">
      <c r="A2251" s="46">
        <v>346</v>
      </c>
      <c r="B2251" s="143" t="s">
        <v>367</v>
      </c>
      <c r="C2251" s="175" t="s">
        <v>1083</v>
      </c>
      <c r="D2251" s="175">
        <v>0.01</v>
      </c>
      <c r="E2251" s="176"/>
    </row>
    <row r="2252" spans="1:5" x14ac:dyDescent="0.25">
      <c r="A2252" s="46"/>
      <c r="B2252" s="98" t="s">
        <v>390</v>
      </c>
      <c r="C2252" s="89" t="s">
        <v>697</v>
      </c>
      <c r="D2252" s="141">
        <v>1</v>
      </c>
      <c r="E2252" s="150" t="s">
        <v>450</v>
      </c>
    </row>
    <row r="2253" spans="1:5" x14ac:dyDescent="0.25">
      <c r="A2253" s="46">
        <v>319</v>
      </c>
      <c r="B2253" s="143" t="s">
        <v>348</v>
      </c>
      <c r="C2253" s="89" t="s">
        <v>1024</v>
      </c>
      <c r="D2253" s="141">
        <v>0.16</v>
      </c>
      <c r="E2253" s="89" t="s">
        <v>450</v>
      </c>
    </row>
    <row r="2254" spans="1:5" x14ac:dyDescent="0.25">
      <c r="A2254" s="46">
        <v>319</v>
      </c>
      <c r="B2254" s="143" t="s">
        <v>348</v>
      </c>
      <c r="C2254" s="89" t="s">
        <v>570</v>
      </c>
      <c r="D2254" s="141">
        <v>1.4999999999999999E-2</v>
      </c>
      <c r="E2254" s="89" t="s">
        <v>450</v>
      </c>
    </row>
    <row r="2255" spans="1:5" x14ac:dyDescent="0.25">
      <c r="A2255" s="46">
        <v>319</v>
      </c>
      <c r="B2255" s="143" t="s">
        <v>348</v>
      </c>
      <c r="C2255" s="89" t="s">
        <v>1014</v>
      </c>
      <c r="D2255" s="141">
        <v>3.5000000000000003E-2</v>
      </c>
      <c r="E2255" s="89" t="s">
        <v>448</v>
      </c>
    </row>
    <row r="2256" spans="1:5" x14ac:dyDescent="0.25">
      <c r="A2256" s="46">
        <v>319</v>
      </c>
      <c r="B2256" s="143" t="s">
        <v>348</v>
      </c>
      <c r="C2256" s="89" t="s">
        <v>644</v>
      </c>
      <c r="D2256" s="141">
        <v>0.01</v>
      </c>
      <c r="E2256" s="89" t="s">
        <v>1010</v>
      </c>
    </row>
    <row r="2257" spans="1:5" x14ac:dyDescent="0.25">
      <c r="A2257" s="46">
        <v>319</v>
      </c>
      <c r="B2257" s="143" t="s">
        <v>348</v>
      </c>
      <c r="C2257" s="89" t="s">
        <v>777</v>
      </c>
      <c r="D2257" s="141">
        <v>3.0000000000000001E-3</v>
      </c>
      <c r="E2257" s="218" t="s">
        <v>450</v>
      </c>
    </row>
    <row r="2258" spans="1:5" x14ac:dyDescent="0.25">
      <c r="A2258" s="46">
        <v>319</v>
      </c>
      <c r="B2258" s="143" t="s">
        <v>348</v>
      </c>
      <c r="C2258" s="89" t="s">
        <v>459</v>
      </c>
      <c r="D2258" s="141">
        <v>8.0000000000000002E-3</v>
      </c>
      <c r="E2258" s="218" t="s">
        <v>450</v>
      </c>
    </row>
    <row r="2259" spans="1:5" x14ac:dyDescent="0.25">
      <c r="A2259" s="46">
        <v>319</v>
      </c>
      <c r="B2259" s="143" t="s">
        <v>348</v>
      </c>
      <c r="C2259" s="89" t="s">
        <v>694</v>
      </c>
      <c r="D2259" s="141">
        <v>5.0000000000000001E-3</v>
      </c>
      <c r="E2259" s="89" t="s">
        <v>450</v>
      </c>
    </row>
    <row r="2260" spans="1:5" x14ac:dyDescent="0.25">
      <c r="A2260" s="46">
        <v>350</v>
      </c>
      <c r="B2260" s="143" t="s">
        <v>371</v>
      </c>
      <c r="C2260" s="89" t="s">
        <v>783</v>
      </c>
      <c r="D2260" s="148">
        <v>0.15</v>
      </c>
      <c r="E2260" s="145" t="s">
        <v>450</v>
      </c>
    </row>
    <row r="2261" spans="1:5" x14ac:dyDescent="0.25">
      <c r="A2261" s="46">
        <v>350</v>
      </c>
      <c r="B2261" s="143" t="s">
        <v>371</v>
      </c>
      <c r="C2261" s="146" t="s">
        <v>625</v>
      </c>
      <c r="D2261" s="151">
        <v>1</v>
      </c>
      <c r="E2261" s="145" t="s">
        <v>749</v>
      </c>
    </row>
    <row r="2262" spans="1:5" x14ac:dyDescent="0.25">
      <c r="A2262" s="46">
        <v>350</v>
      </c>
      <c r="B2262" s="143" t="s">
        <v>371</v>
      </c>
      <c r="C2262" s="146" t="s">
        <v>488</v>
      </c>
      <c r="D2262" s="148">
        <v>2E-3</v>
      </c>
      <c r="E2262" s="145" t="s">
        <v>450</v>
      </c>
    </row>
    <row r="2263" spans="1:5" x14ac:dyDescent="0.25">
      <c r="A2263" s="46">
        <v>350</v>
      </c>
      <c r="B2263" s="143" t="s">
        <v>371</v>
      </c>
      <c r="C2263" s="146" t="s">
        <v>636</v>
      </c>
      <c r="D2263" s="149">
        <v>5.0000000000000001E-4</v>
      </c>
      <c r="E2263" s="145" t="s">
        <v>450</v>
      </c>
    </row>
    <row r="2264" spans="1:5" x14ac:dyDescent="0.25">
      <c r="A2264" s="46">
        <v>350</v>
      </c>
      <c r="B2264" s="143" t="s">
        <v>371</v>
      </c>
      <c r="C2264" s="146" t="s">
        <v>784</v>
      </c>
      <c r="D2264" s="148">
        <v>0.01</v>
      </c>
      <c r="E2264" s="145" t="s">
        <v>458</v>
      </c>
    </row>
    <row r="2265" spans="1:5" x14ac:dyDescent="0.25">
      <c r="A2265" s="46">
        <v>350</v>
      </c>
      <c r="B2265" s="143" t="s">
        <v>371</v>
      </c>
      <c r="C2265" s="146" t="s">
        <v>509</v>
      </c>
      <c r="D2265" s="149">
        <v>5.0000000000000001E-3</v>
      </c>
      <c r="E2265" s="145" t="s">
        <v>458</v>
      </c>
    </row>
    <row r="2266" spans="1:5" x14ac:dyDescent="0.25">
      <c r="A2266" s="46">
        <v>350</v>
      </c>
      <c r="B2266" s="143" t="s">
        <v>371</v>
      </c>
      <c r="C2266" s="146" t="s">
        <v>527</v>
      </c>
      <c r="D2266" s="149">
        <v>5.0000000000000001E-3</v>
      </c>
      <c r="E2266" s="145" t="s">
        <v>458</v>
      </c>
    </row>
    <row r="2267" spans="1:5" x14ac:dyDescent="0.25">
      <c r="A2267" s="46">
        <v>350</v>
      </c>
      <c r="B2267" s="143" t="s">
        <v>371</v>
      </c>
      <c r="C2267" s="146" t="s">
        <v>785</v>
      </c>
      <c r="D2267" s="149">
        <v>8.0000000000000002E-3</v>
      </c>
      <c r="E2267" s="145" t="s">
        <v>458</v>
      </c>
    </row>
    <row r="2268" spans="1:5" x14ac:dyDescent="0.25">
      <c r="A2268" s="46">
        <v>350</v>
      </c>
      <c r="B2268" s="143" t="s">
        <v>371</v>
      </c>
      <c r="C2268" s="89" t="s">
        <v>545</v>
      </c>
      <c r="D2268" s="149">
        <v>5.0000000000000001E-3</v>
      </c>
      <c r="E2268" s="145" t="s">
        <v>458</v>
      </c>
    </row>
    <row r="2269" spans="1:5" x14ac:dyDescent="0.25">
      <c r="A2269" s="46">
        <v>350</v>
      </c>
      <c r="B2269" s="143" t="s">
        <v>371</v>
      </c>
      <c r="C2269" s="152" t="s">
        <v>502</v>
      </c>
      <c r="D2269" s="148">
        <v>1.4999999999999999E-2</v>
      </c>
      <c r="E2269" s="145" t="s">
        <v>450</v>
      </c>
    </row>
    <row r="2270" spans="1:5" x14ac:dyDescent="0.25">
      <c r="A2270" s="46">
        <v>350</v>
      </c>
      <c r="B2270" s="143" t="s">
        <v>371</v>
      </c>
      <c r="C2270" s="146" t="s">
        <v>687</v>
      </c>
      <c r="D2270" s="181">
        <v>0.03</v>
      </c>
      <c r="E2270" s="145" t="s">
        <v>458</v>
      </c>
    </row>
    <row r="2271" spans="1:5" x14ac:dyDescent="0.25">
      <c r="A2271" s="46">
        <v>350</v>
      </c>
      <c r="B2271" s="143" t="s">
        <v>371</v>
      </c>
      <c r="C2271" s="146" t="s">
        <v>659</v>
      </c>
      <c r="D2271" s="148">
        <v>1E-4</v>
      </c>
      <c r="E2271" s="145" t="s">
        <v>458</v>
      </c>
    </row>
    <row r="2272" spans="1:5" x14ac:dyDescent="0.25">
      <c r="A2272" s="46">
        <v>133</v>
      </c>
      <c r="B2272" s="143" t="s">
        <v>219</v>
      </c>
      <c r="C2272" s="89" t="s">
        <v>1526</v>
      </c>
      <c r="D2272" s="148">
        <v>0.15</v>
      </c>
      <c r="E2272" s="145" t="s">
        <v>450</v>
      </c>
    </row>
    <row r="2273" spans="1:5" x14ac:dyDescent="0.25">
      <c r="A2273" s="46">
        <v>133</v>
      </c>
      <c r="B2273" s="143" t="s">
        <v>219</v>
      </c>
      <c r="C2273" s="146" t="s">
        <v>488</v>
      </c>
      <c r="D2273" s="148">
        <v>2E-3</v>
      </c>
      <c r="E2273" s="145" t="s">
        <v>450</v>
      </c>
    </row>
    <row r="2274" spans="1:5" x14ac:dyDescent="0.25">
      <c r="A2274" s="46">
        <v>133</v>
      </c>
      <c r="B2274" s="143" t="s">
        <v>219</v>
      </c>
      <c r="C2274" s="146" t="s">
        <v>636</v>
      </c>
      <c r="D2274" s="149">
        <v>5.0000000000000001E-4</v>
      </c>
      <c r="E2274" s="145" t="s">
        <v>450</v>
      </c>
    </row>
    <row r="2275" spans="1:5" x14ac:dyDescent="0.25">
      <c r="A2275" s="46">
        <v>133</v>
      </c>
      <c r="B2275" s="143" t="s">
        <v>219</v>
      </c>
      <c r="C2275" s="146" t="s">
        <v>509</v>
      </c>
      <c r="D2275" s="149">
        <v>5.0000000000000001E-3</v>
      </c>
      <c r="E2275" s="145" t="s">
        <v>458</v>
      </c>
    </row>
    <row r="2276" spans="1:5" x14ac:dyDescent="0.25">
      <c r="A2276" s="46">
        <v>133</v>
      </c>
      <c r="B2276" s="143" t="s">
        <v>219</v>
      </c>
      <c r="C2276" s="146" t="s">
        <v>527</v>
      </c>
      <c r="D2276" s="149">
        <v>5.0000000000000001E-3</v>
      </c>
      <c r="E2276" s="145" t="s">
        <v>458</v>
      </c>
    </row>
    <row r="2277" spans="1:5" x14ac:dyDescent="0.25">
      <c r="A2277" s="46">
        <v>133</v>
      </c>
      <c r="B2277" s="143" t="s">
        <v>219</v>
      </c>
      <c r="C2277" s="146" t="s">
        <v>785</v>
      </c>
      <c r="D2277" s="149">
        <v>8.0000000000000002E-3</v>
      </c>
      <c r="E2277" s="145" t="s">
        <v>458</v>
      </c>
    </row>
    <row r="2278" spans="1:5" x14ac:dyDescent="0.25">
      <c r="A2278" s="46">
        <v>133</v>
      </c>
      <c r="B2278" s="143" t="s">
        <v>219</v>
      </c>
      <c r="C2278" s="146" t="s">
        <v>545</v>
      </c>
      <c r="D2278" s="149">
        <v>5.0000000000000001E-3</v>
      </c>
      <c r="E2278" s="145" t="s">
        <v>458</v>
      </c>
    </row>
    <row r="2279" spans="1:5" x14ac:dyDescent="0.25">
      <c r="A2279" s="46">
        <v>133</v>
      </c>
      <c r="B2279" s="143" t="s">
        <v>219</v>
      </c>
      <c r="C2279" s="152" t="s">
        <v>502</v>
      </c>
      <c r="D2279" s="148">
        <v>1.4999999999999999E-2</v>
      </c>
      <c r="E2279" s="145" t="s">
        <v>458</v>
      </c>
    </row>
    <row r="2280" spans="1:5" x14ac:dyDescent="0.25">
      <c r="A2280" s="46">
        <v>133</v>
      </c>
      <c r="B2280" s="143" t="s">
        <v>219</v>
      </c>
      <c r="C2280" s="146" t="s">
        <v>687</v>
      </c>
      <c r="D2280" s="181">
        <v>0.03</v>
      </c>
      <c r="E2280" s="145" t="s">
        <v>458</v>
      </c>
    </row>
    <row r="2281" spans="1:5" x14ac:dyDescent="0.25">
      <c r="A2281" s="46">
        <v>133</v>
      </c>
      <c r="B2281" s="143" t="s">
        <v>219</v>
      </c>
      <c r="C2281" s="146" t="s">
        <v>659</v>
      </c>
      <c r="D2281" s="148">
        <v>1E-4</v>
      </c>
      <c r="E2281" s="145" t="s">
        <v>458</v>
      </c>
    </row>
    <row r="2282" spans="1:5" x14ac:dyDescent="0.25">
      <c r="A2282" s="46">
        <v>223</v>
      </c>
      <c r="B2282" s="143" t="s">
        <v>55</v>
      </c>
      <c r="C2282" s="89" t="s">
        <v>918</v>
      </c>
      <c r="D2282" s="141">
        <v>0.1</v>
      </c>
      <c r="E2282" s="145" t="s">
        <v>448</v>
      </c>
    </row>
    <row r="2283" spans="1:5" x14ac:dyDescent="0.25">
      <c r="A2283" s="46">
        <v>223</v>
      </c>
      <c r="B2283" s="143" t="s">
        <v>55</v>
      </c>
      <c r="C2283" s="89" t="s">
        <v>549</v>
      </c>
      <c r="D2283" s="141">
        <v>0.05</v>
      </c>
      <c r="E2283" s="145" t="s">
        <v>450</v>
      </c>
    </row>
    <row r="2284" spans="1:5" x14ac:dyDescent="0.25">
      <c r="A2284" s="46">
        <v>223</v>
      </c>
      <c r="B2284" s="143" t="s">
        <v>55</v>
      </c>
      <c r="C2284" s="89" t="s">
        <v>552</v>
      </c>
      <c r="D2284" s="141">
        <v>4.0000000000000001E-3</v>
      </c>
      <c r="E2284" s="145" t="s">
        <v>450</v>
      </c>
    </row>
    <row r="2285" spans="1:5" x14ac:dyDescent="0.25">
      <c r="A2285" s="46">
        <v>223</v>
      </c>
      <c r="B2285" s="143" t="s">
        <v>55</v>
      </c>
      <c r="C2285" s="89" t="s">
        <v>480</v>
      </c>
      <c r="D2285" s="141">
        <v>1E-3</v>
      </c>
      <c r="E2285" s="145" t="s">
        <v>450</v>
      </c>
    </row>
    <row r="2286" spans="1:5" x14ac:dyDescent="0.25">
      <c r="A2286" s="46">
        <v>223</v>
      </c>
      <c r="B2286" s="143" t="s">
        <v>55</v>
      </c>
      <c r="C2286" s="89" t="s">
        <v>509</v>
      </c>
      <c r="D2286" s="141">
        <v>2E-3</v>
      </c>
      <c r="E2286" s="145" t="s">
        <v>450</v>
      </c>
    </row>
    <row r="2287" spans="1:5" x14ac:dyDescent="0.25">
      <c r="A2287" s="46">
        <v>223</v>
      </c>
      <c r="B2287" s="143" t="s">
        <v>55</v>
      </c>
      <c r="C2287" s="89" t="s">
        <v>524</v>
      </c>
      <c r="D2287" s="141">
        <v>0.01</v>
      </c>
      <c r="E2287" s="145" t="s">
        <v>450</v>
      </c>
    </row>
    <row r="2288" spans="1:5" x14ac:dyDescent="0.25">
      <c r="A2288" s="46">
        <v>223</v>
      </c>
      <c r="B2288" s="143" t="s">
        <v>55</v>
      </c>
      <c r="C2288" s="89" t="s">
        <v>919</v>
      </c>
      <c r="D2288" s="141">
        <v>2E-3</v>
      </c>
      <c r="E2288" s="141" t="s">
        <v>448</v>
      </c>
    </row>
    <row r="2289" spans="1:5" x14ac:dyDescent="0.25">
      <c r="A2289" s="46">
        <v>223</v>
      </c>
      <c r="B2289" s="143" t="s">
        <v>55</v>
      </c>
      <c r="C2289" s="143" t="s">
        <v>461</v>
      </c>
      <c r="D2289" s="141">
        <v>0.02</v>
      </c>
      <c r="E2289" s="145" t="s">
        <v>450</v>
      </c>
    </row>
    <row r="2290" spans="1:5" x14ac:dyDescent="0.25">
      <c r="A2290" s="46">
        <v>223</v>
      </c>
      <c r="B2290" s="143" t="s">
        <v>55</v>
      </c>
      <c r="C2290" s="89" t="s">
        <v>502</v>
      </c>
      <c r="D2290" s="141">
        <v>0.01</v>
      </c>
      <c r="E2290" s="145" t="s">
        <v>450</v>
      </c>
    </row>
    <row r="2291" spans="1:5" x14ac:dyDescent="0.25">
      <c r="A2291" s="46">
        <v>223</v>
      </c>
      <c r="B2291" s="143" t="s">
        <v>55</v>
      </c>
      <c r="C2291" s="89" t="s">
        <v>776</v>
      </c>
      <c r="D2291" s="141">
        <v>1E-3</v>
      </c>
      <c r="E2291" s="145" t="s">
        <v>450</v>
      </c>
    </row>
    <row r="2292" spans="1:5" x14ac:dyDescent="0.25">
      <c r="A2292" s="46">
        <v>223</v>
      </c>
      <c r="B2292" s="143" t="s">
        <v>55</v>
      </c>
      <c r="C2292" s="89" t="s">
        <v>470</v>
      </c>
      <c r="D2292" s="141">
        <v>2E-3</v>
      </c>
      <c r="E2292" s="145" t="s">
        <v>450</v>
      </c>
    </row>
    <row r="2293" spans="1:5" x14ac:dyDescent="0.25">
      <c r="A2293" s="46">
        <v>223</v>
      </c>
      <c r="B2293" s="143" t="s">
        <v>55</v>
      </c>
      <c r="C2293" s="89" t="s">
        <v>516</v>
      </c>
      <c r="D2293" s="141">
        <v>1E-3</v>
      </c>
      <c r="E2293" s="145" t="s">
        <v>450</v>
      </c>
    </row>
    <row r="2294" spans="1:5" x14ac:dyDescent="0.25">
      <c r="A2294" s="46">
        <v>223</v>
      </c>
      <c r="B2294" s="143" t="s">
        <v>55</v>
      </c>
      <c r="C2294" s="89" t="s">
        <v>502</v>
      </c>
      <c r="D2294" s="141">
        <v>0.01</v>
      </c>
      <c r="E2294" s="145" t="s">
        <v>450</v>
      </c>
    </row>
    <row r="2295" spans="1:5" x14ac:dyDescent="0.25">
      <c r="A2295" s="46">
        <v>292</v>
      </c>
      <c r="B2295" s="143" t="s">
        <v>324</v>
      </c>
      <c r="C2295" s="89" t="s">
        <v>644</v>
      </c>
      <c r="D2295" s="141">
        <v>0.2</v>
      </c>
      <c r="E2295" s="89" t="s">
        <v>448</v>
      </c>
    </row>
    <row r="2296" spans="1:5" x14ac:dyDescent="0.25">
      <c r="A2296" s="46">
        <v>292</v>
      </c>
      <c r="B2296" s="143" t="s">
        <v>324</v>
      </c>
      <c r="C2296" s="143" t="s">
        <v>566</v>
      </c>
      <c r="D2296" s="141">
        <v>0.4</v>
      </c>
      <c r="E2296" s="89" t="s">
        <v>448</v>
      </c>
    </row>
    <row r="2297" spans="1:5" x14ac:dyDescent="0.25">
      <c r="A2297" s="46">
        <v>292</v>
      </c>
      <c r="B2297" s="143" t="s">
        <v>324</v>
      </c>
      <c r="C2297" s="152" t="s">
        <v>508</v>
      </c>
      <c r="D2297" s="141">
        <v>1.4999999999999999E-2</v>
      </c>
      <c r="E2297" s="89" t="s">
        <v>450</v>
      </c>
    </row>
    <row r="2298" spans="1:5" x14ac:dyDescent="0.25">
      <c r="A2298" s="46">
        <v>292</v>
      </c>
      <c r="B2298" s="143" t="s">
        <v>324</v>
      </c>
      <c r="C2298" s="143" t="s">
        <v>500</v>
      </c>
      <c r="D2298" s="141">
        <v>0.03</v>
      </c>
      <c r="E2298" s="89" t="s">
        <v>450</v>
      </c>
    </row>
    <row r="2299" spans="1:5" x14ac:dyDescent="0.25">
      <c r="A2299" s="46">
        <v>292</v>
      </c>
      <c r="B2299" s="143" t="s">
        <v>324</v>
      </c>
      <c r="C2299" s="89" t="s">
        <v>488</v>
      </c>
      <c r="D2299" s="141">
        <v>1E-3</v>
      </c>
      <c r="E2299" s="89" t="s">
        <v>450</v>
      </c>
    </row>
    <row r="2300" spans="1:5" x14ac:dyDescent="0.25">
      <c r="A2300" s="46">
        <v>212</v>
      </c>
      <c r="B2300" s="143" t="s">
        <v>268</v>
      </c>
      <c r="C2300" s="89" t="s">
        <v>902</v>
      </c>
      <c r="D2300" s="141">
        <v>0.09</v>
      </c>
      <c r="E2300" s="145" t="s">
        <v>450</v>
      </c>
    </row>
    <row r="2301" spans="1:5" x14ac:dyDescent="0.25">
      <c r="A2301" s="46">
        <v>212</v>
      </c>
      <c r="B2301" s="143" t="s">
        <v>268</v>
      </c>
      <c r="C2301" s="89" t="s">
        <v>480</v>
      </c>
      <c r="D2301" s="141">
        <v>1E-3</v>
      </c>
      <c r="E2301" s="145" t="s">
        <v>450</v>
      </c>
    </row>
    <row r="2302" spans="1:5" x14ac:dyDescent="0.25">
      <c r="A2302" s="46">
        <v>212</v>
      </c>
      <c r="B2302" s="143" t="s">
        <v>268</v>
      </c>
      <c r="C2302" s="89" t="s">
        <v>509</v>
      </c>
      <c r="D2302" s="141">
        <v>2E-3</v>
      </c>
      <c r="E2302" s="145" t="s">
        <v>450</v>
      </c>
    </row>
    <row r="2303" spans="1:5" x14ac:dyDescent="0.25">
      <c r="A2303" s="46">
        <v>212</v>
      </c>
      <c r="B2303" s="143" t="s">
        <v>268</v>
      </c>
      <c r="C2303" s="89" t="s">
        <v>687</v>
      </c>
      <c r="D2303" s="141">
        <v>3.0000000000000001E-3</v>
      </c>
      <c r="E2303" s="145" t="s">
        <v>450</v>
      </c>
    </row>
    <row r="2304" spans="1:5" x14ac:dyDescent="0.25">
      <c r="A2304" s="46">
        <v>212</v>
      </c>
      <c r="B2304" s="143" t="s">
        <v>268</v>
      </c>
      <c r="C2304" s="143" t="s">
        <v>500</v>
      </c>
      <c r="D2304" s="141">
        <v>4.0000000000000001E-3</v>
      </c>
      <c r="E2304" s="145" t="s">
        <v>450</v>
      </c>
    </row>
    <row r="2305" spans="1:5" x14ac:dyDescent="0.25">
      <c r="A2305" s="46">
        <v>212</v>
      </c>
      <c r="B2305" s="143" t="s">
        <v>268</v>
      </c>
      <c r="C2305" s="89" t="s">
        <v>903</v>
      </c>
      <c r="D2305" s="141">
        <v>2E-3</v>
      </c>
      <c r="E2305" s="145" t="s">
        <v>450</v>
      </c>
    </row>
    <row r="2306" spans="1:5" x14ac:dyDescent="0.25">
      <c r="A2306" s="46">
        <v>212</v>
      </c>
      <c r="B2306" s="143" t="s">
        <v>268</v>
      </c>
      <c r="C2306" s="89" t="s">
        <v>545</v>
      </c>
      <c r="D2306" s="141">
        <v>0.05</v>
      </c>
      <c r="E2306" s="145" t="s">
        <v>450</v>
      </c>
    </row>
    <row r="2307" spans="1:5" x14ac:dyDescent="0.25">
      <c r="A2307" s="46">
        <v>212</v>
      </c>
      <c r="B2307" s="143" t="s">
        <v>268</v>
      </c>
      <c r="C2307" s="89" t="s">
        <v>852</v>
      </c>
      <c r="D2307" s="141" t="s">
        <v>723</v>
      </c>
      <c r="E2307" s="145" t="s">
        <v>450</v>
      </c>
    </row>
    <row r="2308" spans="1:5" x14ac:dyDescent="0.25">
      <c r="A2308" s="46">
        <v>212</v>
      </c>
      <c r="B2308" s="143" t="s">
        <v>268</v>
      </c>
      <c r="C2308" s="89" t="s">
        <v>470</v>
      </c>
      <c r="D2308" s="141">
        <v>2E-3</v>
      </c>
      <c r="E2308" s="145" t="s">
        <v>450</v>
      </c>
    </row>
    <row r="2309" spans="1:5" x14ac:dyDescent="0.25">
      <c r="A2309" s="46">
        <v>212</v>
      </c>
      <c r="B2309" s="143" t="s">
        <v>268</v>
      </c>
      <c r="C2309" s="89" t="s">
        <v>516</v>
      </c>
      <c r="D2309" s="141">
        <v>1E-3</v>
      </c>
      <c r="E2309" s="145" t="s">
        <v>450</v>
      </c>
    </row>
    <row r="2310" spans="1:5" x14ac:dyDescent="0.25">
      <c r="A2310" s="46">
        <v>187</v>
      </c>
      <c r="B2310" s="143" t="s">
        <v>105</v>
      </c>
      <c r="C2310" s="146" t="s">
        <v>644</v>
      </c>
      <c r="D2310" s="148">
        <v>7.9000000000000001E-2</v>
      </c>
      <c r="E2310" s="145" t="s">
        <v>448</v>
      </c>
    </row>
    <row r="2311" spans="1:5" x14ac:dyDescent="0.25">
      <c r="A2311" s="46">
        <v>187</v>
      </c>
      <c r="B2311" s="143" t="s">
        <v>105</v>
      </c>
      <c r="C2311" s="146" t="s">
        <v>853</v>
      </c>
      <c r="D2311" s="148">
        <v>7.9000000000000001E-2</v>
      </c>
      <c r="E2311" s="145" t="s">
        <v>450</v>
      </c>
    </row>
    <row r="2312" spans="1:5" x14ac:dyDescent="0.25">
      <c r="A2312" s="46">
        <v>187</v>
      </c>
      <c r="B2312" s="143" t="s">
        <v>105</v>
      </c>
      <c r="C2312" s="146" t="s">
        <v>625</v>
      </c>
      <c r="D2312" s="148">
        <v>2</v>
      </c>
      <c r="E2312" s="145" t="s">
        <v>749</v>
      </c>
    </row>
    <row r="2313" spans="1:5" x14ac:dyDescent="0.25">
      <c r="A2313" s="46">
        <v>39</v>
      </c>
      <c r="B2313" s="143" t="s">
        <v>175</v>
      </c>
      <c r="C2313" s="146" t="s">
        <v>491</v>
      </c>
      <c r="D2313" s="148">
        <v>0.25</v>
      </c>
      <c r="E2313" s="145" t="s">
        <v>450</v>
      </c>
    </row>
    <row r="2314" spans="1:5" x14ac:dyDescent="0.25">
      <c r="A2314" s="46">
        <v>39</v>
      </c>
      <c r="B2314" s="143" t="s">
        <v>175</v>
      </c>
      <c r="C2314" s="146" t="s">
        <v>612</v>
      </c>
      <c r="D2314" s="148">
        <v>0.02</v>
      </c>
      <c r="E2314" s="145" t="s">
        <v>448</v>
      </c>
    </row>
    <row r="2315" spans="1:5" x14ac:dyDescent="0.25">
      <c r="A2315" s="46">
        <v>39</v>
      </c>
      <c r="B2315" s="143" t="s">
        <v>175</v>
      </c>
      <c r="C2315" s="146" t="s">
        <v>638</v>
      </c>
      <c r="D2315" s="148">
        <v>1.4999999999999999E-2</v>
      </c>
      <c r="E2315" s="145" t="s">
        <v>448</v>
      </c>
    </row>
    <row r="2316" spans="1:5" x14ac:dyDescent="0.25">
      <c r="A2316" s="46">
        <v>39</v>
      </c>
      <c r="B2316" s="143" t="s">
        <v>175</v>
      </c>
      <c r="C2316" s="146" t="s">
        <v>488</v>
      </c>
      <c r="D2316" s="148">
        <v>3.0000000000000001E-3</v>
      </c>
      <c r="E2316" s="145" t="s">
        <v>450</v>
      </c>
    </row>
    <row r="2317" spans="1:5" x14ac:dyDescent="0.25">
      <c r="A2317" s="46">
        <v>39</v>
      </c>
      <c r="B2317" s="143" t="s">
        <v>175</v>
      </c>
      <c r="C2317" s="143" t="s">
        <v>487</v>
      </c>
      <c r="D2317" s="149">
        <v>5.0000000000000001E-4</v>
      </c>
      <c r="E2317" s="145" t="s">
        <v>450</v>
      </c>
    </row>
    <row r="2318" spans="1:5" x14ac:dyDescent="0.25">
      <c r="A2318" s="46">
        <v>39</v>
      </c>
      <c r="B2318" s="143" t="s">
        <v>175</v>
      </c>
      <c r="C2318" s="146" t="s">
        <v>613</v>
      </c>
      <c r="D2318" s="159">
        <v>1</v>
      </c>
      <c r="E2318" s="145" t="s">
        <v>579</v>
      </c>
    </row>
    <row r="2319" spans="1:5" x14ac:dyDescent="0.25">
      <c r="A2319" s="46">
        <v>39</v>
      </c>
      <c r="B2319" s="143" t="s">
        <v>175</v>
      </c>
      <c r="C2319" s="146" t="s">
        <v>466</v>
      </c>
      <c r="D2319" s="153">
        <v>5.0000000000000001E-4</v>
      </c>
      <c r="E2319" s="145" t="s">
        <v>450</v>
      </c>
    </row>
    <row r="2320" spans="1:5" x14ac:dyDescent="0.25">
      <c r="A2320" s="46">
        <v>39</v>
      </c>
      <c r="B2320" s="143" t="s">
        <v>175</v>
      </c>
      <c r="C2320" s="146" t="s">
        <v>639</v>
      </c>
      <c r="D2320" s="157">
        <v>1E-3</v>
      </c>
      <c r="E2320" s="145" t="s">
        <v>450</v>
      </c>
    </row>
    <row r="2321" spans="1:5" x14ac:dyDescent="0.25">
      <c r="A2321" s="46">
        <v>130</v>
      </c>
      <c r="B2321" s="143" t="s">
        <v>65</v>
      </c>
      <c r="C2321" s="90" t="s">
        <v>702</v>
      </c>
      <c r="D2321" s="148">
        <v>0.18</v>
      </c>
      <c r="E2321" s="145" t="s">
        <v>450</v>
      </c>
    </row>
    <row r="2322" spans="1:5" x14ac:dyDescent="0.25">
      <c r="A2322" s="46">
        <v>130</v>
      </c>
      <c r="B2322" s="143" t="s">
        <v>65</v>
      </c>
      <c r="C2322" s="146" t="s">
        <v>778</v>
      </c>
      <c r="D2322" s="148">
        <v>0.04</v>
      </c>
      <c r="E2322" s="145" t="s">
        <v>448</v>
      </c>
    </row>
    <row r="2323" spans="1:5" x14ac:dyDescent="0.25">
      <c r="A2323" s="46">
        <v>130</v>
      </c>
      <c r="B2323" s="143" t="s">
        <v>65</v>
      </c>
      <c r="C2323" s="146" t="s">
        <v>507</v>
      </c>
      <c r="D2323" s="148">
        <v>1.4999999999999999E-2</v>
      </c>
      <c r="E2323" s="145" t="s">
        <v>458</v>
      </c>
    </row>
    <row r="2324" spans="1:5" x14ac:dyDescent="0.25">
      <c r="A2324" s="46">
        <v>130</v>
      </c>
      <c r="B2324" s="143" t="s">
        <v>65</v>
      </c>
      <c r="C2324" s="146" t="s">
        <v>459</v>
      </c>
      <c r="D2324" s="148">
        <v>2.5000000000000001E-2</v>
      </c>
      <c r="E2324" s="145" t="s">
        <v>450</v>
      </c>
    </row>
    <row r="2325" spans="1:5" x14ac:dyDescent="0.25">
      <c r="A2325" s="46">
        <v>130</v>
      </c>
      <c r="B2325" s="143" t="s">
        <v>65</v>
      </c>
      <c r="C2325" s="146" t="s">
        <v>488</v>
      </c>
      <c r="D2325" s="148">
        <v>1E-3</v>
      </c>
      <c r="E2325" s="145" t="s">
        <v>450</v>
      </c>
    </row>
    <row r="2326" spans="1:5" x14ac:dyDescent="0.25">
      <c r="A2326" s="46">
        <v>130</v>
      </c>
      <c r="B2326" s="143" t="s">
        <v>65</v>
      </c>
      <c r="C2326" s="146" t="s">
        <v>636</v>
      </c>
      <c r="D2326" s="148">
        <v>1E-3</v>
      </c>
      <c r="E2326" s="145" t="s">
        <v>450</v>
      </c>
    </row>
    <row r="2327" spans="1:5" x14ac:dyDescent="0.25">
      <c r="A2327" s="46">
        <v>130</v>
      </c>
      <c r="B2327" s="143" t="s">
        <v>65</v>
      </c>
      <c r="C2327" s="146" t="s">
        <v>502</v>
      </c>
      <c r="D2327" s="157">
        <v>5.0000000000000001E-3</v>
      </c>
      <c r="E2327" s="145" t="s">
        <v>450</v>
      </c>
    </row>
    <row r="2328" spans="1:5" x14ac:dyDescent="0.25">
      <c r="A2328" s="47">
        <v>259</v>
      </c>
      <c r="B2328" s="143" t="s">
        <v>290</v>
      </c>
      <c r="C2328" s="152" t="s">
        <v>505</v>
      </c>
      <c r="D2328" s="148">
        <v>0.4</v>
      </c>
      <c r="E2328" s="145" t="s">
        <v>450</v>
      </c>
    </row>
    <row r="2329" spans="1:5" x14ac:dyDescent="0.25">
      <c r="A2329" s="47">
        <v>259</v>
      </c>
      <c r="B2329" s="143" t="s">
        <v>290</v>
      </c>
      <c r="C2329" s="152" t="s">
        <v>504</v>
      </c>
      <c r="D2329" s="148">
        <v>0.03</v>
      </c>
      <c r="E2329" s="145" t="s">
        <v>450</v>
      </c>
    </row>
    <row r="2330" spans="1:5" x14ac:dyDescent="0.25">
      <c r="A2330" s="47">
        <v>259</v>
      </c>
      <c r="B2330" s="143" t="s">
        <v>290</v>
      </c>
      <c r="C2330" s="152" t="s">
        <v>506</v>
      </c>
      <c r="D2330" s="141">
        <v>0.03</v>
      </c>
      <c r="E2330" s="89" t="s">
        <v>448</v>
      </c>
    </row>
    <row r="2331" spans="1:5" x14ac:dyDescent="0.25">
      <c r="A2331" s="47">
        <v>259</v>
      </c>
      <c r="B2331" s="143" t="s">
        <v>290</v>
      </c>
      <c r="C2331" s="152" t="s">
        <v>507</v>
      </c>
      <c r="D2331" s="141">
        <v>1.4999999999999999E-2</v>
      </c>
      <c r="E2331" s="89" t="s">
        <v>448</v>
      </c>
    </row>
    <row r="2332" spans="1:5" x14ac:dyDescent="0.25">
      <c r="A2332" s="47">
        <v>259</v>
      </c>
      <c r="B2332" s="143" t="s">
        <v>290</v>
      </c>
      <c r="C2332" s="152" t="s">
        <v>508</v>
      </c>
      <c r="D2332" s="141">
        <v>5.0000000000000001E-3</v>
      </c>
      <c r="E2332" s="145" t="s">
        <v>450</v>
      </c>
    </row>
    <row r="2333" spans="1:5" x14ac:dyDescent="0.25">
      <c r="A2333" s="47">
        <v>259</v>
      </c>
      <c r="B2333" s="143" t="s">
        <v>290</v>
      </c>
      <c r="C2333" s="152" t="s">
        <v>470</v>
      </c>
      <c r="D2333" s="141">
        <v>1E-3</v>
      </c>
      <c r="E2333" s="145" t="s">
        <v>450</v>
      </c>
    </row>
    <row r="2334" spans="1:5" x14ac:dyDescent="0.25">
      <c r="A2334" s="47">
        <v>259</v>
      </c>
      <c r="B2334" s="143" t="s">
        <v>290</v>
      </c>
      <c r="C2334" s="152" t="s">
        <v>495</v>
      </c>
      <c r="D2334" s="141">
        <v>1E-3</v>
      </c>
      <c r="E2334" s="145" t="s">
        <v>450</v>
      </c>
    </row>
    <row r="2335" spans="1:5" x14ac:dyDescent="0.25">
      <c r="A2335" s="47">
        <v>259</v>
      </c>
      <c r="B2335" s="143" t="s">
        <v>290</v>
      </c>
      <c r="C2335" s="152" t="s">
        <v>480</v>
      </c>
      <c r="D2335" s="141">
        <v>1E-3</v>
      </c>
      <c r="E2335" s="145" t="s">
        <v>450</v>
      </c>
    </row>
    <row r="2336" spans="1:5" x14ac:dyDescent="0.25">
      <c r="A2336" s="47">
        <v>259</v>
      </c>
      <c r="B2336" s="143" t="s">
        <v>290</v>
      </c>
      <c r="C2336" s="152" t="s">
        <v>509</v>
      </c>
      <c r="D2336" s="141">
        <v>2E-3</v>
      </c>
      <c r="E2336" s="145" t="s">
        <v>450</v>
      </c>
    </row>
    <row r="2337" spans="1:5" x14ac:dyDescent="0.25">
      <c r="A2337" s="46">
        <v>199</v>
      </c>
      <c r="B2337" s="143" t="s">
        <v>69</v>
      </c>
      <c r="C2337" s="152" t="s">
        <v>492</v>
      </c>
      <c r="D2337" s="148">
        <v>0.25</v>
      </c>
      <c r="E2337" s="145" t="s">
        <v>450</v>
      </c>
    </row>
    <row r="2338" spans="1:5" x14ac:dyDescent="0.25">
      <c r="A2338" s="46">
        <v>199</v>
      </c>
      <c r="B2338" s="143" t="s">
        <v>69</v>
      </c>
      <c r="C2338" s="146" t="s">
        <v>612</v>
      </c>
      <c r="D2338" s="148">
        <v>0.03</v>
      </c>
      <c r="E2338" s="145" t="s">
        <v>450</v>
      </c>
    </row>
    <row r="2339" spans="1:5" x14ac:dyDescent="0.25">
      <c r="A2339" s="46">
        <v>199</v>
      </c>
      <c r="B2339" s="143" t="s">
        <v>69</v>
      </c>
      <c r="C2339" s="143" t="s">
        <v>478</v>
      </c>
      <c r="D2339" s="148">
        <v>1E-3</v>
      </c>
      <c r="E2339" s="145" t="s">
        <v>448</v>
      </c>
    </row>
    <row r="2340" spans="1:5" x14ac:dyDescent="0.25">
      <c r="A2340" s="46">
        <v>199</v>
      </c>
      <c r="B2340" s="143" t="s">
        <v>69</v>
      </c>
      <c r="C2340" s="143" t="s">
        <v>470</v>
      </c>
      <c r="D2340" s="148">
        <v>1E-3</v>
      </c>
      <c r="E2340" s="145" t="s">
        <v>450</v>
      </c>
    </row>
    <row r="2341" spans="1:5" x14ac:dyDescent="0.25">
      <c r="A2341" s="46">
        <v>199</v>
      </c>
      <c r="B2341" s="143" t="s">
        <v>69</v>
      </c>
      <c r="C2341" s="143" t="s">
        <v>516</v>
      </c>
      <c r="D2341" s="148">
        <v>1E-3</v>
      </c>
      <c r="E2341" s="145" t="s">
        <v>450</v>
      </c>
    </row>
    <row r="2342" spans="1:5" x14ac:dyDescent="0.25">
      <c r="A2342" s="46">
        <v>199</v>
      </c>
      <c r="B2342" s="143" t="s">
        <v>69</v>
      </c>
      <c r="C2342" s="143" t="s">
        <v>459</v>
      </c>
      <c r="D2342" s="148">
        <v>1.5E-3</v>
      </c>
      <c r="E2342" s="145" t="s">
        <v>450</v>
      </c>
    </row>
    <row r="2343" spans="1:5" x14ac:dyDescent="0.25">
      <c r="A2343" s="46"/>
      <c r="B2343" s="98" t="s">
        <v>412</v>
      </c>
      <c r="C2343" s="89" t="s">
        <v>684</v>
      </c>
      <c r="D2343" s="141">
        <v>1</v>
      </c>
      <c r="E2343" s="150" t="s">
        <v>450</v>
      </c>
    </row>
    <row r="2344" spans="1:5" x14ac:dyDescent="0.25">
      <c r="A2344" s="46"/>
      <c r="B2344" s="98" t="s">
        <v>411</v>
      </c>
      <c r="C2344" s="89" t="s">
        <v>1552</v>
      </c>
      <c r="D2344" s="141">
        <v>1</v>
      </c>
      <c r="E2344" s="150" t="s">
        <v>450</v>
      </c>
    </row>
    <row r="2345" spans="1:5" x14ac:dyDescent="0.25">
      <c r="A2345" s="46">
        <v>122</v>
      </c>
      <c r="B2345" s="143" t="s">
        <v>216</v>
      </c>
      <c r="C2345" s="89" t="s">
        <v>774</v>
      </c>
      <c r="D2345" s="158">
        <v>0.1</v>
      </c>
      <c r="E2345" s="141" t="s">
        <v>458</v>
      </c>
    </row>
    <row r="2346" spans="1:5" x14ac:dyDescent="0.25">
      <c r="A2346" s="46">
        <v>122</v>
      </c>
      <c r="B2346" s="143" t="s">
        <v>216</v>
      </c>
      <c r="C2346" s="89" t="s">
        <v>775</v>
      </c>
      <c r="D2346" s="158">
        <v>1E-3</v>
      </c>
      <c r="E2346" s="141" t="s">
        <v>458</v>
      </c>
    </row>
    <row r="2347" spans="1:5" x14ac:dyDescent="0.25">
      <c r="A2347" s="46">
        <v>122</v>
      </c>
      <c r="B2347" s="143" t="s">
        <v>216</v>
      </c>
      <c r="C2347" s="89" t="s">
        <v>636</v>
      </c>
      <c r="D2347" s="158">
        <v>5.0000000000000001E-4</v>
      </c>
      <c r="E2347" s="141" t="s">
        <v>458</v>
      </c>
    </row>
    <row r="2348" spans="1:5" x14ac:dyDescent="0.25">
      <c r="A2348" s="46">
        <v>122</v>
      </c>
      <c r="B2348" s="143" t="s">
        <v>216</v>
      </c>
      <c r="C2348" s="89" t="s">
        <v>467</v>
      </c>
      <c r="D2348" s="158">
        <v>5.0000000000000001E-4</v>
      </c>
      <c r="E2348" s="141" t="s">
        <v>448</v>
      </c>
    </row>
    <row r="2349" spans="1:5" x14ac:dyDescent="0.25">
      <c r="A2349" s="46"/>
      <c r="B2349" s="98" t="s">
        <v>414</v>
      </c>
      <c r="C2349" s="89" t="s">
        <v>915</v>
      </c>
      <c r="D2349" s="141">
        <v>1</v>
      </c>
      <c r="E2349" s="150" t="s">
        <v>450</v>
      </c>
    </row>
    <row r="2350" spans="1:5" x14ac:dyDescent="0.25">
      <c r="A2350" s="46"/>
      <c r="B2350" s="98" t="s">
        <v>414</v>
      </c>
      <c r="C2350" s="89" t="s">
        <v>1540</v>
      </c>
      <c r="D2350" s="141">
        <v>0.05</v>
      </c>
      <c r="E2350" s="150" t="s">
        <v>450</v>
      </c>
    </row>
    <row r="2351" spans="1:5" x14ac:dyDescent="0.25">
      <c r="A2351" s="46">
        <v>323</v>
      </c>
      <c r="B2351" s="143" t="s">
        <v>351</v>
      </c>
      <c r="C2351" s="89" t="s">
        <v>786</v>
      </c>
      <c r="D2351" s="48">
        <v>0.18</v>
      </c>
      <c r="E2351" s="98" t="s">
        <v>450</v>
      </c>
    </row>
    <row r="2352" spans="1:5" x14ac:dyDescent="0.25">
      <c r="A2352" s="46">
        <v>323</v>
      </c>
      <c r="B2352" s="143" t="s">
        <v>351</v>
      </c>
      <c r="C2352" s="89" t="s">
        <v>462</v>
      </c>
      <c r="D2352" s="48">
        <v>7.4999999999999997E-2</v>
      </c>
      <c r="E2352" s="98" t="s">
        <v>450</v>
      </c>
    </row>
    <row r="2353" spans="1:5" x14ac:dyDescent="0.25">
      <c r="A2353" s="46">
        <v>323</v>
      </c>
      <c r="B2353" s="143" t="s">
        <v>351</v>
      </c>
      <c r="C2353" s="89" t="s">
        <v>1033</v>
      </c>
      <c r="D2353" s="141">
        <v>0.05</v>
      </c>
      <c r="E2353" s="98" t="s">
        <v>450</v>
      </c>
    </row>
    <row r="2354" spans="1:5" x14ac:dyDescent="0.25">
      <c r="A2354" s="46">
        <v>323</v>
      </c>
      <c r="B2354" s="143" t="s">
        <v>351</v>
      </c>
      <c r="C2354" s="89" t="s">
        <v>554</v>
      </c>
      <c r="D2354" s="141">
        <v>2.5000000000000001E-2</v>
      </c>
      <c r="E2354" s="98" t="s">
        <v>450</v>
      </c>
    </row>
    <row r="2355" spans="1:5" x14ac:dyDescent="0.25">
      <c r="A2355" s="46">
        <v>323</v>
      </c>
      <c r="B2355" s="143" t="s">
        <v>351</v>
      </c>
      <c r="C2355" s="89" t="s">
        <v>1034</v>
      </c>
      <c r="D2355" s="141">
        <v>5.0000000000000001E-3</v>
      </c>
      <c r="E2355" s="98" t="s">
        <v>450</v>
      </c>
    </row>
    <row r="2356" spans="1:5" x14ac:dyDescent="0.25">
      <c r="A2356" s="46">
        <v>323</v>
      </c>
      <c r="B2356" s="143" t="s">
        <v>351</v>
      </c>
      <c r="C2356" s="89" t="s">
        <v>1035</v>
      </c>
      <c r="D2356" s="141">
        <v>0.01</v>
      </c>
      <c r="E2356" s="98" t="s">
        <v>450</v>
      </c>
    </row>
    <row r="2357" spans="1:5" x14ac:dyDescent="0.25">
      <c r="A2357" s="46">
        <v>323</v>
      </c>
      <c r="B2357" s="143" t="s">
        <v>351</v>
      </c>
      <c r="C2357" s="89" t="s">
        <v>478</v>
      </c>
      <c r="D2357" s="141">
        <v>3.0000000000000001E-3</v>
      </c>
      <c r="E2357" s="98" t="s">
        <v>448</v>
      </c>
    </row>
    <row r="2358" spans="1:5" x14ac:dyDescent="0.25">
      <c r="A2358" s="46">
        <v>323</v>
      </c>
      <c r="B2358" s="143" t="s">
        <v>351</v>
      </c>
      <c r="C2358" s="89" t="s">
        <v>470</v>
      </c>
      <c r="D2358" s="48">
        <v>1E-3</v>
      </c>
      <c r="E2358" s="98" t="s">
        <v>450</v>
      </c>
    </row>
    <row r="2359" spans="1:5" x14ac:dyDescent="0.25">
      <c r="A2359" s="46">
        <v>323</v>
      </c>
      <c r="B2359" s="143" t="s">
        <v>351</v>
      </c>
      <c r="C2359" s="89" t="s">
        <v>516</v>
      </c>
      <c r="D2359" s="48">
        <v>1E-3</v>
      </c>
      <c r="E2359" s="98" t="s">
        <v>450</v>
      </c>
    </row>
    <row r="2360" spans="1:5" x14ac:dyDescent="0.25">
      <c r="A2360" s="46">
        <v>301</v>
      </c>
      <c r="B2360" s="143" t="s">
        <v>333</v>
      </c>
      <c r="C2360" s="89" t="s">
        <v>995</v>
      </c>
      <c r="D2360" s="141">
        <v>0.1</v>
      </c>
      <c r="E2360" s="160" t="s">
        <v>450</v>
      </c>
    </row>
    <row r="2361" spans="1:5" x14ac:dyDescent="0.25">
      <c r="A2361" s="46">
        <v>301</v>
      </c>
      <c r="B2361" s="143" t="s">
        <v>333</v>
      </c>
      <c r="C2361" s="89" t="s">
        <v>459</v>
      </c>
      <c r="D2361" s="141">
        <v>4.0000000000000001E-3</v>
      </c>
      <c r="E2361" s="160" t="s">
        <v>450</v>
      </c>
    </row>
    <row r="2362" spans="1:5" x14ac:dyDescent="0.25">
      <c r="A2362" s="46">
        <v>301</v>
      </c>
      <c r="B2362" s="143" t="s">
        <v>333</v>
      </c>
      <c r="C2362" s="89" t="s">
        <v>979</v>
      </c>
      <c r="D2362" s="141">
        <v>1E-3</v>
      </c>
      <c r="E2362" s="89"/>
    </row>
    <row r="2363" spans="1:5" x14ac:dyDescent="0.25">
      <c r="A2363" s="46">
        <v>301</v>
      </c>
      <c r="B2363" s="143" t="s">
        <v>333</v>
      </c>
      <c r="C2363" s="89" t="s">
        <v>996</v>
      </c>
      <c r="D2363" s="141">
        <v>1E-3</v>
      </c>
      <c r="E2363" s="89"/>
    </row>
    <row r="2364" spans="1:5" x14ac:dyDescent="0.25">
      <c r="A2364" s="46">
        <v>211</v>
      </c>
      <c r="B2364" s="143" t="s">
        <v>267</v>
      </c>
      <c r="C2364" s="89" t="s">
        <v>901</v>
      </c>
      <c r="D2364" s="141">
        <v>0.1</v>
      </c>
      <c r="E2364" s="145" t="s">
        <v>450</v>
      </c>
    </row>
    <row r="2365" spans="1:5" x14ac:dyDescent="0.25">
      <c r="A2365" s="46">
        <v>211</v>
      </c>
      <c r="B2365" s="143" t="s">
        <v>267</v>
      </c>
      <c r="C2365" s="89" t="s">
        <v>459</v>
      </c>
      <c r="D2365" s="141">
        <v>0.01</v>
      </c>
      <c r="E2365" s="145" t="s">
        <v>450</v>
      </c>
    </row>
    <row r="2366" spans="1:5" x14ac:dyDescent="0.25">
      <c r="A2366" s="46">
        <v>211</v>
      </c>
      <c r="B2366" s="143" t="s">
        <v>267</v>
      </c>
      <c r="C2366" s="89" t="s">
        <v>470</v>
      </c>
      <c r="D2366" s="141">
        <v>2E-3</v>
      </c>
      <c r="E2366" s="145" t="s">
        <v>450</v>
      </c>
    </row>
    <row r="2367" spans="1:5" x14ac:dyDescent="0.25">
      <c r="A2367" s="46">
        <v>211</v>
      </c>
      <c r="B2367" s="143" t="s">
        <v>267</v>
      </c>
      <c r="C2367" s="89" t="s">
        <v>516</v>
      </c>
      <c r="D2367" s="141">
        <v>1E-3</v>
      </c>
      <c r="E2367" s="145" t="s">
        <v>450</v>
      </c>
    </row>
    <row r="2368" spans="1:5" x14ac:dyDescent="0.25">
      <c r="A2368" s="46">
        <v>211</v>
      </c>
      <c r="B2368" s="143" t="s">
        <v>267</v>
      </c>
      <c r="C2368" s="89" t="s">
        <v>899</v>
      </c>
      <c r="D2368" s="141">
        <v>0.02</v>
      </c>
      <c r="E2368" s="145" t="s">
        <v>450</v>
      </c>
    </row>
    <row r="2369" spans="1:5" x14ac:dyDescent="0.25">
      <c r="A2369" s="46">
        <v>211</v>
      </c>
      <c r="B2369" s="143" t="s">
        <v>267</v>
      </c>
      <c r="C2369" s="89" t="s">
        <v>631</v>
      </c>
      <c r="D2369" s="141">
        <v>0.02</v>
      </c>
      <c r="E2369" s="145" t="s">
        <v>458</v>
      </c>
    </row>
    <row r="2370" spans="1:5" x14ac:dyDescent="0.25">
      <c r="A2370" s="46">
        <v>211</v>
      </c>
      <c r="B2370" s="143" t="s">
        <v>267</v>
      </c>
      <c r="C2370" s="146" t="s">
        <v>615</v>
      </c>
      <c r="D2370" s="141">
        <v>0.04</v>
      </c>
      <c r="E2370" s="145" t="s">
        <v>458</v>
      </c>
    </row>
    <row r="2371" spans="1:5" x14ac:dyDescent="0.25">
      <c r="A2371" s="46">
        <v>125</v>
      </c>
      <c r="B2371" s="143" t="s">
        <v>38</v>
      </c>
      <c r="C2371" s="143" t="s">
        <v>467</v>
      </c>
      <c r="D2371" s="148">
        <v>1E-3</v>
      </c>
      <c r="E2371" s="145" t="s">
        <v>448</v>
      </c>
    </row>
    <row r="2372" spans="1:5" x14ac:dyDescent="0.25">
      <c r="A2372" s="46">
        <v>125</v>
      </c>
      <c r="B2372" s="143" t="s">
        <v>38</v>
      </c>
      <c r="C2372" s="146" t="s">
        <v>686</v>
      </c>
      <c r="D2372" s="148">
        <v>7.0000000000000007E-2</v>
      </c>
      <c r="E2372" s="145" t="s">
        <v>450</v>
      </c>
    </row>
    <row r="2373" spans="1:5" x14ac:dyDescent="0.25">
      <c r="A2373" s="46">
        <v>125</v>
      </c>
      <c r="B2373" s="143" t="s">
        <v>38</v>
      </c>
      <c r="C2373" s="146" t="s">
        <v>643</v>
      </c>
      <c r="D2373" s="148">
        <v>0.3</v>
      </c>
      <c r="E2373" s="145" t="s">
        <v>450</v>
      </c>
    </row>
    <row r="2374" spans="1:5" x14ac:dyDescent="0.25">
      <c r="A2374" s="46">
        <v>125</v>
      </c>
      <c r="B2374" s="143" t="s">
        <v>38</v>
      </c>
      <c r="C2374" s="139" t="s">
        <v>575</v>
      </c>
      <c r="D2374" s="148">
        <v>1.4999999999999999E-2</v>
      </c>
      <c r="E2374" s="145" t="s">
        <v>450</v>
      </c>
    </row>
    <row r="2375" spans="1:5" x14ac:dyDescent="0.25">
      <c r="A2375" s="46">
        <v>125</v>
      </c>
      <c r="B2375" s="143" t="s">
        <v>38</v>
      </c>
      <c r="C2375" s="143" t="s">
        <v>658</v>
      </c>
      <c r="D2375" s="148">
        <v>4.0000000000000001E-3</v>
      </c>
      <c r="E2375" s="145" t="s">
        <v>450</v>
      </c>
    </row>
    <row r="2376" spans="1:5" x14ac:dyDescent="0.25">
      <c r="A2376" s="46">
        <v>125</v>
      </c>
      <c r="B2376" s="143" t="s">
        <v>38</v>
      </c>
      <c r="C2376" s="143" t="s">
        <v>480</v>
      </c>
      <c r="D2376" s="148">
        <v>2E-3</v>
      </c>
      <c r="E2376" s="145" t="s">
        <v>450</v>
      </c>
    </row>
    <row r="2377" spans="1:5" x14ac:dyDescent="0.25">
      <c r="A2377" s="46">
        <v>125</v>
      </c>
      <c r="B2377" s="143" t="s">
        <v>38</v>
      </c>
      <c r="C2377" s="143" t="s">
        <v>861</v>
      </c>
      <c r="D2377" s="149">
        <v>5.0000000000000001E-4</v>
      </c>
      <c r="E2377" s="145" t="s">
        <v>450</v>
      </c>
    </row>
    <row r="2378" spans="1:5" x14ac:dyDescent="0.25">
      <c r="A2378" s="46">
        <v>125</v>
      </c>
      <c r="B2378" s="143" t="s">
        <v>38</v>
      </c>
      <c r="C2378" s="143" t="s">
        <v>467</v>
      </c>
      <c r="D2378" s="148">
        <v>5.0000000000000001E-3</v>
      </c>
      <c r="E2378" s="145" t="s">
        <v>448</v>
      </c>
    </row>
    <row r="2379" spans="1:5" x14ac:dyDescent="0.25">
      <c r="A2379" s="46">
        <v>12</v>
      </c>
      <c r="B2379" s="143" t="s">
        <v>158</v>
      </c>
      <c r="C2379" s="90" t="s">
        <v>686</v>
      </c>
      <c r="D2379" s="154">
        <v>0.1</v>
      </c>
      <c r="E2379" s="155" t="s">
        <v>450</v>
      </c>
    </row>
    <row r="2380" spans="1:5" x14ac:dyDescent="0.25">
      <c r="A2380" s="46">
        <v>12</v>
      </c>
      <c r="B2380" s="143" t="s">
        <v>158</v>
      </c>
      <c r="C2380" s="90" t="s">
        <v>119</v>
      </c>
      <c r="D2380" s="154">
        <v>0.05</v>
      </c>
      <c r="E2380" s="155" t="s">
        <v>458</v>
      </c>
    </row>
    <row r="2381" spans="1:5" x14ac:dyDescent="0.25">
      <c r="A2381" s="46">
        <v>12</v>
      </c>
      <c r="B2381" s="143" t="s">
        <v>158</v>
      </c>
      <c r="C2381" s="90" t="s">
        <v>488</v>
      </c>
      <c r="D2381" s="154">
        <v>0.01</v>
      </c>
      <c r="E2381" s="155" t="s">
        <v>450</v>
      </c>
    </row>
    <row r="2382" spans="1:5" x14ac:dyDescent="0.25">
      <c r="A2382" s="46">
        <v>12</v>
      </c>
      <c r="B2382" s="143" t="s">
        <v>158</v>
      </c>
      <c r="C2382" s="143" t="s">
        <v>487</v>
      </c>
      <c r="D2382" s="154">
        <v>3.0000000000000001E-3</v>
      </c>
      <c r="E2382" s="155" t="s">
        <v>458</v>
      </c>
    </row>
    <row r="2383" spans="1:5" x14ac:dyDescent="0.25">
      <c r="A2383" s="46">
        <v>12</v>
      </c>
      <c r="B2383" s="143" t="s">
        <v>158</v>
      </c>
      <c r="C2383" s="143" t="s">
        <v>687</v>
      </c>
      <c r="D2383" s="154">
        <v>1.4999999999999999E-2</v>
      </c>
      <c r="E2383" s="155" t="s">
        <v>458</v>
      </c>
    </row>
    <row r="2384" spans="1:5" x14ac:dyDescent="0.25">
      <c r="A2384" s="46">
        <v>12</v>
      </c>
      <c r="B2384" s="143" t="s">
        <v>158</v>
      </c>
      <c r="C2384" s="89" t="s">
        <v>464</v>
      </c>
      <c r="D2384" s="154">
        <v>1E-3</v>
      </c>
      <c r="E2384" s="155" t="s">
        <v>458</v>
      </c>
    </row>
    <row r="2385" spans="1:5" x14ac:dyDescent="0.25">
      <c r="A2385" s="46">
        <v>12</v>
      </c>
      <c r="B2385" s="143" t="s">
        <v>158</v>
      </c>
      <c r="C2385" s="143" t="s">
        <v>552</v>
      </c>
      <c r="D2385" s="154">
        <v>1E-3</v>
      </c>
      <c r="E2385" s="155" t="s">
        <v>458</v>
      </c>
    </row>
    <row r="2386" spans="1:5" x14ac:dyDescent="0.25">
      <c r="A2386" s="46">
        <v>12</v>
      </c>
      <c r="B2386" s="143" t="s">
        <v>158</v>
      </c>
      <c r="C2386" s="143" t="s">
        <v>449</v>
      </c>
      <c r="D2386" s="154">
        <v>1E-3</v>
      </c>
      <c r="E2386" s="155" t="s">
        <v>458</v>
      </c>
    </row>
    <row r="2387" spans="1:5" x14ac:dyDescent="0.25">
      <c r="A2387" s="46">
        <v>12</v>
      </c>
      <c r="B2387" s="143" t="s">
        <v>158</v>
      </c>
      <c r="C2387" s="143" t="s">
        <v>621</v>
      </c>
      <c r="D2387" s="154">
        <v>1E-4</v>
      </c>
      <c r="E2387" s="155" t="s">
        <v>458</v>
      </c>
    </row>
    <row r="2388" spans="1:5" x14ac:dyDescent="0.25">
      <c r="A2388" s="46">
        <v>12</v>
      </c>
      <c r="B2388" s="143" t="s">
        <v>158</v>
      </c>
      <c r="C2388" s="143" t="s">
        <v>480</v>
      </c>
      <c r="D2388" s="154">
        <v>1E-4</v>
      </c>
      <c r="E2388" s="155" t="s">
        <v>458</v>
      </c>
    </row>
    <row r="2389" spans="1:5" x14ac:dyDescent="0.25">
      <c r="A2389" s="46">
        <v>12</v>
      </c>
      <c r="B2389" s="143" t="s">
        <v>158</v>
      </c>
      <c r="C2389" s="143" t="s">
        <v>688</v>
      </c>
      <c r="D2389" s="154">
        <v>1E-4</v>
      </c>
      <c r="E2389" s="155" t="s">
        <v>458</v>
      </c>
    </row>
    <row r="2390" spans="1:5" x14ac:dyDescent="0.25">
      <c r="A2390" s="46">
        <v>12</v>
      </c>
      <c r="B2390" s="143" t="s">
        <v>158</v>
      </c>
      <c r="C2390" s="143" t="s">
        <v>578</v>
      </c>
      <c r="D2390" s="154">
        <v>1E-4</v>
      </c>
      <c r="E2390" s="155" t="s">
        <v>458</v>
      </c>
    </row>
    <row r="2391" spans="1:5" x14ac:dyDescent="0.25">
      <c r="A2391" s="46">
        <v>12</v>
      </c>
      <c r="B2391" s="143" t="s">
        <v>158</v>
      </c>
      <c r="C2391" s="143" t="s">
        <v>534</v>
      </c>
      <c r="D2391" s="154">
        <v>1E-4</v>
      </c>
      <c r="E2391" s="155" t="s">
        <v>458</v>
      </c>
    </row>
    <row r="2392" spans="1:5" x14ac:dyDescent="0.25">
      <c r="A2392" s="46">
        <v>12</v>
      </c>
      <c r="B2392" s="143" t="s">
        <v>158</v>
      </c>
      <c r="C2392" s="143" t="s">
        <v>467</v>
      </c>
      <c r="D2392" s="154">
        <v>2.5000000000000001E-2</v>
      </c>
      <c r="E2392" s="155" t="s">
        <v>448</v>
      </c>
    </row>
    <row r="2393" spans="1:5" x14ac:dyDescent="0.25">
      <c r="A2393" s="47">
        <v>257</v>
      </c>
      <c r="B2393" s="143" t="s">
        <v>289</v>
      </c>
      <c r="C2393" s="146" t="s">
        <v>496</v>
      </c>
      <c r="D2393" s="148">
        <v>0.1</v>
      </c>
      <c r="E2393" s="145" t="s">
        <v>450</v>
      </c>
    </row>
    <row r="2394" spans="1:5" x14ac:dyDescent="0.25">
      <c r="A2394" s="47">
        <v>257</v>
      </c>
      <c r="B2394" s="143" t="s">
        <v>289</v>
      </c>
      <c r="C2394" s="152" t="s">
        <v>497</v>
      </c>
      <c r="D2394" s="148">
        <v>0.03</v>
      </c>
      <c r="E2394" s="89" t="s">
        <v>448</v>
      </c>
    </row>
    <row r="2395" spans="1:5" x14ac:dyDescent="0.25">
      <c r="A2395" s="47">
        <v>257</v>
      </c>
      <c r="B2395" s="143" t="s">
        <v>289</v>
      </c>
      <c r="C2395" s="143" t="s">
        <v>498</v>
      </c>
      <c r="D2395" s="148">
        <v>0.01</v>
      </c>
      <c r="E2395" s="145" t="s">
        <v>450</v>
      </c>
    </row>
    <row r="2396" spans="1:5" x14ac:dyDescent="0.25">
      <c r="A2396" s="47">
        <v>257</v>
      </c>
      <c r="B2396" s="143" t="s">
        <v>289</v>
      </c>
      <c r="C2396" s="152" t="s">
        <v>480</v>
      </c>
      <c r="D2396" s="148">
        <v>2E-3</v>
      </c>
      <c r="E2396" s="145" t="s">
        <v>450</v>
      </c>
    </row>
    <row r="2397" spans="1:5" x14ac:dyDescent="0.25">
      <c r="A2397" s="47">
        <v>257</v>
      </c>
      <c r="B2397" s="143" t="s">
        <v>289</v>
      </c>
      <c r="C2397" s="152" t="s">
        <v>499</v>
      </c>
      <c r="D2397" s="141">
        <v>0.1</v>
      </c>
      <c r="E2397" s="145" t="s">
        <v>450</v>
      </c>
    </row>
    <row r="2398" spans="1:5" x14ac:dyDescent="0.25">
      <c r="A2398" s="47">
        <v>257</v>
      </c>
      <c r="B2398" s="143" t="s">
        <v>289</v>
      </c>
      <c r="C2398" s="143" t="s">
        <v>500</v>
      </c>
      <c r="D2398" s="148">
        <v>2.5000000000000001E-2</v>
      </c>
      <c r="E2398" s="145" t="s">
        <v>450</v>
      </c>
    </row>
    <row r="2399" spans="1:5" x14ac:dyDescent="0.25">
      <c r="A2399" s="47">
        <v>257</v>
      </c>
      <c r="B2399" s="143" t="s">
        <v>289</v>
      </c>
      <c r="C2399" s="152" t="s">
        <v>501</v>
      </c>
      <c r="D2399" s="148">
        <v>0.01</v>
      </c>
      <c r="E2399" s="145" t="s">
        <v>450</v>
      </c>
    </row>
    <row r="2400" spans="1:5" x14ac:dyDescent="0.25">
      <c r="A2400" s="47">
        <v>257</v>
      </c>
      <c r="B2400" s="143" t="s">
        <v>289</v>
      </c>
      <c r="C2400" s="152" t="s">
        <v>470</v>
      </c>
      <c r="D2400" s="148">
        <v>2E-3</v>
      </c>
      <c r="E2400" s="145" t="s">
        <v>450</v>
      </c>
    </row>
    <row r="2401" spans="1:5" x14ac:dyDescent="0.25">
      <c r="A2401" s="47">
        <v>257</v>
      </c>
      <c r="B2401" s="143" t="s">
        <v>289</v>
      </c>
      <c r="C2401" s="152" t="s">
        <v>502</v>
      </c>
      <c r="D2401" s="148">
        <v>1E-3</v>
      </c>
      <c r="E2401" s="145" t="s">
        <v>450</v>
      </c>
    </row>
    <row r="2402" spans="1:5" x14ac:dyDescent="0.25">
      <c r="A2402" s="47">
        <v>257</v>
      </c>
      <c r="B2402" s="143" t="s">
        <v>289</v>
      </c>
      <c r="C2402" s="152" t="s">
        <v>503</v>
      </c>
      <c r="D2402" s="148">
        <v>1E-3</v>
      </c>
      <c r="E2402" s="145" t="s">
        <v>450</v>
      </c>
    </row>
    <row r="2403" spans="1:5" x14ac:dyDescent="0.25">
      <c r="A2403" s="47">
        <v>257</v>
      </c>
      <c r="B2403" s="143" t="s">
        <v>289</v>
      </c>
      <c r="C2403" s="219" t="s">
        <v>504</v>
      </c>
      <c r="D2403" s="148">
        <v>0.05</v>
      </c>
      <c r="E2403" s="145" t="s">
        <v>450</v>
      </c>
    </row>
    <row r="2404" spans="1:5" x14ac:dyDescent="0.25">
      <c r="A2404" s="46">
        <v>218</v>
      </c>
      <c r="B2404" s="143" t="s">
        <v>271</v>
      </c>
      <c r="C2404" s="146" t="s">
        <v>496</v>
      </c>
      <c r="D2404" s="141">
        <v>0.05</v>
      </c>
      <c r="E2404" s="145" t="s">
        <v>450</v>
      </c>
    </row>
    <row r="2405" spans="1:5" x14ac:dyDescent="0.25">
      <c r="A2405" s="46">
        <v>218</v>
      </c>
      <c r="B2405" s="143" t="s">
        <v>271</v>
      </c>
      <c r="C2405" s="89" t="s">
        <v>875</v>
      </c>
      <c r="D2405" s="141">
        <v>2E-3</v>
      </c>
      <c r="E2405" s="145" t="s">
        <v>450</v>
      </c>
    </row>
    <row r="2406" spans="1:5" x14ac:dyDescent="0.25">
      <c r="A2406" s="46">
        <v>218</v>
      </c>
      <c r="B2406" s="143" t="s">
        <v>271</v>
      </c>
      <c r="C2406" s="218" t="s">
        <v>780</v>
      </c>
      <c r="D2406" s="141">
        <v>1.4999999999999999E-2</v>
      </c>
      <c r="E2406" s="145" t="s">
        <v>448</v>
      </c>
    </row>
    <row r="2407" spans="1:5" x14ac:dyDescent="0.25">
      <c r="A2407" s="46">
        <v>218</v>
      </c>
      <c r="B2407" s="143" t="s">
        <v>271</v>
      </c>
      <c r="C2407" s="152" t="s">
        <v>914</v>
      </c>
      <c r="D2407" s="141">
        <v>0.01</v>
      </c>
      <c r="E2407" s="141" t="s">
        <v>450</v>
      </c>
    </row>
    <row r="2408" spans="1:5" x14ac:dyDescent="0.25">
      <c r="A2408" s="46">
        <v>218</v>
      </c>
      <c r="B2408" s="143" t="s">
        <v>271</v>
      </c>
      <c r="C2408" s="143" t="s">
        <v>449</v>
      </c>
      <c r="D2408" s="141">
        <v>5.0000000000000001E-3</v>
      </c>
      <c r="E2408" s="141" t="s">
        <v>450</v>
      </c>
    </row>
    <row r="2409" spans="1:5" x14ac:dyDescent="0.25">
      <c r="A2409" s="46">
        <v>218</v>
      </c>
      <c r="B2409" s="143" t="s">
        <v>271</v>
      </c>
      <c r="C2409" s="89" t="s">
        <v>470</v>
      </c>
      <c r="D2409" s="141">
        <v>2E-3</v>
      </c>
      <c r="E2409" s="141" t="s">
        <v>450</v>
      </c>
    </row>
    <row r="2410" spans="1:5" x14ac:dyDescent="0.25">
      <c r="A2410" s="46">
        <v>218</v>
      </c>
      <c r="B2410" s="143" t="s">
        <v>271</v>
      </c>
      <c r="C2410" s="89" t="s">
        <v>478</v>
      </c>
      <c r="D2410" s="141">
        <v>3.0000000000000001E-3</v>
      </c>
      <c r="E2410" s="141" t="s">
        <v>448</v>
      </c>
    </row>
    <row r="2411" spans="1:5" x14ac:dyDescent="0.25">
      <c r="A2411" s="46">
        <v>218</v>
      </c>
      <c r="B2411" s="143" t="s">
        <v>271</v>
      </c>
      <c r="C2411" s="89" t="s">
        <v>516</v>
      </c>
      <c r="D2411" s="141">
        <v>1E-3</v>
      </c>
      <c r="E2411" s="141" t="s">
        <v>450</v>
      </c>
    </row>
    <row r="2412" spans="1:5" x14ac:dyDescent="0.25">
      <c r="A2412" s="46">
        <v>218</v>
      </c>
      <c r="B2412" s="143" t="s">
        <v>271</v>
      </c>
      <c r="C2412" s="89" t="s">
        <v>497</v>
      </c>
      <c r="D2412" s="141">
        <v>5.0000000000000001E-3</v>
      </c>
      <c r="E2412" s="141" t="s">
        <v>448</v>
      </c>
    </row>
    <row r="2413" spans="1:5" x14ac:dyDescent="0.25">
      <c r="A2413" s="46">
        <v>218</v>
      </c>
      <c r="B2413" s="143" t="s">
        <v>271</v>
      </c>
      <c r="C2413" s="89" t="s">
        <v>459</v>
      </c>
      <c r="D2413" s="141">
        <v>0.01</v>
      </c>
      <c r="E2413" s="141" t="s">
        <v>450</v>
      </c>
    </row>
    <row r="2414" spans="1:5" x14ac:dyDescent="0.25">
      <c r="A2414" s="46">
        <v>217</v>
      </c>
      <c r="B2414" s="143" t="s">
        <v>270</v>
      </c>
      <c r="C2414" s="146" t="s">
        <v>496</v>
      </c>
      <c r="D2414" s="141">
        <v>7.0000000000000007E-2</v>
      </c>
      <c r="E2414" s="145" t="s">
        <v>450</v>
      </c>
    </row>
    <row r="2415" spans="1:5" x14ac:dyDescent="0.25">
      <c r="A2415" s="46">
        <v>217</v>
      </c>
      <c r="B2415" s="143" t="s">
        <v>270</v>
      </c>
      <c r="C2415" s="89" t="s">
        <v>633</v>
      </c>
      <c r="D2415" s="141">
        <v>0.01</v>
      </c>
      <c r="E2415" s="145" t="s">
        <v>450</v>
      </c>
    </row>
    <row r="2416" spans="1:5" x14ac:dyDescent="0.25">
      <c r="A2416" s="46">
        <v>217</v>
      </c>
      <c r="B2416" s="143" t="s">
        <v>270</v>
      </c>
      <c r="C2416" s="89" t="s">
        <v>634</v>
      </c>
      <c r="D2416" s="141">
        <v>5.0000000000000001E-3</v>
      </c>
      <c r="E2416" s="145" t="s">
        <v>450</v>
      </c>
    </row>
    <row r="2417" spans="1:5" x14ac:dyDescent="0.25">
      <c r="A2417" s="46">
        <v>217</v>
      </c>
      <c r="B2417" s="143" t="s">
        <v>270</v>
      </c>
      <c r="C2417" s="89" t="s">
        <v>470</v>
      </c>
      <c r="D2417" s="141">
        <v>1E-3</v>
      </c>
      <c r="E2417" s="145" t="s">
        <v>450</v>
      </c>
    </row>
    <row r="2418" spans="1:5" x14ac:dyDescent="0.25">
      <c r="A2418" s="46">
        <v>217</v>
      </c>
      <c r="B2418" s="143" t="s">
        <v>270</v>
      </c>
      <c r="C2418" s="89" t="s">
        <v>516</v>
      </c>
      <c r="D2418" s="141">
        <v>1E-3</v>
      </c>
      <c r="E2418" s="145" t="s">
        <v>450</v>
      </c>
    </row>
    <row r="2419" spans="1:5" x14ac:dyDescent="0.25">
      <c r="A2419" s="46">
        <v>217</v>
      </c>
      <c r="B2419" s="143" t="s">
        <v>270</v>
      </c>
      <c r="C2419" s="89" t="s">
        <v>776</v>
      </c>
      <c r="D2419" s="141">
        <v>1E-3</v>
      </c>
      <c r="E2419" s="145" t="s">
        <v>450</v>
      </c>
    </row>
    <row r="2420" spans="1:5" x14ac:dyDescent="0.25">
      <c r="A2420" s="46">
        <v>217</v>
      </c>
      <c r="B2420" s="143" t="s">
        <v>270</v>
      </c>
      <c r="C2420" s="89" t="s">
        <v>687</v>
      </c>
      <c r="D2420" s="141">
        <v>3.0000000000000001E-3</v>
      </c>
      <c r="E2420" s="145" t="s">
        <v>450</v>
      </c>
    </row>
    <row r="2421" spans="1:5" x14ac:dyDescent="0.25">
      <c r="A2421" s="46">
        <v>217</v>
      </c>
      <c r="B2421" s="143" t="s">
        <v>270</v>
      </c>
      <c r="C2421" s="89" t="s">
        <v>502</v>
      </c>
      <c r="D2421" s="141">
        <v>3.0000000000000001E-3</v>
      </c>
      <c r="E2421" s="145" t="s">
        <v>450</v>
      </c>
    </row>
    <row r="2422" spans="1:5" x14ac:dyDescent="0.25">
      <c r="A2422" s="46">
        <v>217</v>
      </c>
      <c r="B2422" s="143" t="s">
        <v>270</v>
      </c>
      <c r="C2422" s="89" t="s">
        <v>459</v>
      </c>
      <c r="D2422" s="141">
        <v>0.01</v>
      </c>
      <c r="E2422" s="145" t="s">
        <v>450</v>
      </c>
    </row>
    <row r="2423" spans="1:5" x14ac:dyDescent="0.25">
      <c r="A2423" s="46">
        <v>220</v>
      </c>
      <c r="B2423" s="143" t="s">
        <v>63</v>
      </c>
      <c r="C2423" s="146" t="s">
        <v>496</v>
      </c>
      <c r="D2423" s="148">
        <v>0.1</v>
      </c>
      <c r="E2423" s="141" t="s">
        <v>450</v>
      </c>
    </row>
    <row r="2424" spans="1:5" x14ac:dyDescent="0.25">
      <c r="A2424" s="46">
        <v>220</v>
      </c>
      <c r="B2424" s="143" t="s">
        <v>63</v>
      </c>
      <c r="C2424" s="152" t="s">
        <v>497</v>
      </c>
      <c r="D2424" s="148">
        <v>0.03</v>
      </c>
      <c r="E2424" s="89" t="s">
        <v>448</v>
      </c>
    </row>
    <row r="2425" spans="1:5" x14ac:dyDescent="0.25">
      <c r="A2425" s="46">
        <v>220</v>
      </c>
      <c r="B2425" s="143" t="s">
        <v>63</v>
      </c>
      <c r="C2425" s="143" t="s">
        <v>498</v>
      </c>
      <c r="D2425" s="148">
        <v>0.01</v>
      </c>
      <c r="E2425" s="145" t="s">
        <v>450</v>
      </c>
    </row>
    <row r="2426" spans="1:5" x14ac:dyDescent="0.25">
      <c r="A2426" s="46">
        <v>220</v>
      </c>
      <c r="B2426" s="143" t="s">
        <v>63</v>
      </c>
      <c r="C2426" s="152" t="s">
        <v>480</v>
      </c>
      <c r="D2426" s="148">
        <v>2E-3</v>
      </c>
      <c r="E2426" s="145" t="s">
        <v>450</v>
      </c>
    </row>
    <row r="2427" spans="1:5" x14ac:dyDescent="0.25">
      <c r="A2427" s="46">
        <v>220</v>
      </c>
      <c r="B2427" s="143" t="s">
        <v>63</v>
      </c>
      <c r="C2427" s="165" t="s">
        <v>633</v>
      </c>
      <c r="D2427" s="148">
        <v>0.02</v>
      </c>
      <c r="E2427" s="145" t="s">
        <v>450</v>
      </c>
    </row>
    <row r="2428" spans="1:5" x14ac:dyDescent="0.25">
      <c r="A2428" s="46">
        <v>220</v>
      </c>
      <c r="B2428" s="143" t="s">
        <v>63</v>
      </c>
      <c r="C2428" s="89" t="s">
        <v>634</v>
      </c>
      <c r="D2428" s="141">
        <v>1.4999999999999999E-2</v>
      </c>
      <c r="E2428" s="141" t="s">
        <v>450</v>
      </c>
    </row>
    <row r="2429" spans="1:5" x14ac:dyDescent="0.25">
      <c r="A2429" s="46">
        <v>220</v>
      </c>
      <c r="B2429" s="143" t="s">
        <v>63</v>
      </c>
      <c r="C2429" s="89" t="s">
        <v>915</v>
      </c>
      <c r="D2429" s="141">
        <v>5.0000000000000001E-3</v>
      </c>
      <c r="E2429" s="141" t="s">
        <v>450</v>
      </c>
    </row>
    <row r="2430" spans="1:5" x14ac:dyDescent="0.25">
      <c r="A2430" s="46">
        <v>220</v>
      </c>
      <c r="B2430" s="143" t="s">
        <v>63</v>
      </c>
      <c r="C2430" s="89" t="s">
        <v>470</v>
      </c>
      <c r="D2430" s="141">
        <v>2E-3</v>
      </c>
      <c r="E2430" s="145" t="s">
        <v>450</v>
      </c>
    </row>
    <row r="2431" spans="1:5" x14ac:dyDescent="0.25">
      <c r="A2431" s="46">
        <v>220</v>
      </c>
      <c r="B2431" s="143" t="s">
        <v>63</v>
      </c>
      <c r="C2431" s="152" t="s">
        <v>504</v>
      </c>
      <c r="D2431" s="148">
        <v>0.05</v>
      </c>
      <c r="E2431" s="145" t="s">
        <v>450</v>
      </c>
    </row>
    <row r="2432" spans="1:5" x14ac:dyDescent="0.25">
      <c r="A2432" s="46">
        <v>220</v>
      </c>
      <c r="B2432" s="143" t="s">
        <v>63</v>
      </c>
      <c r="C2432" s="152" t="s">
        <v>502</v>
      </c>
      <c r="D2432" s="148">
        <v>1E-3</v>
      </c>
      <c r="E2432" s="145" t="s">
        <v>450</v>
      </c>
    </row>
    <row r="2433" spans="1:5" x14ac:dyDescent="0.25">
      <c r="A2433" s="46">
        <v>220</v>
      </c>
      <c r="B2433" s="143" t="s">
        <v>63</v>
      </c>
      <c r="C2433" s="143" t="s">
        <v>500</v>
      </c>
      <c r="D2433" s="148">
        <v>2.5000000000000001E-2</v>
      </c>
      <c r="E2433" s="145" t="s">
        <v>450</v>
      </c>
    </row>
    <row r="2434" spans="1:5" x14ac:dyDescent="0.25">
      <c r="A2434" s="46">
        <v>220</v>
      </c>
      <c r="B2434" s="143" t="s">
        <v>63</v>
      </c>
      <c r="C2434" s="218" t="s">
        <v>726</v>
      </c>
      <c r="D2434" s="141">
        <v>1.4999999999999999E-2</v>
      </c>
      <c r="E2434" s="145" t="s">
        <v>450</v>
      </c>
    </row>
    <row r="2435" spans="1:5" x14ac:dyDescent="0.25">
      <c r="A2435" s="46">
        <v>220</v>
      </c>
      <c r="B2435" s="143" t="s">
        <v>63</v>
      </c>
      <c r="C2435" s="89" t="s">
        <v>516</v>
      </c>
      <c r="D2435" s="141">
        <v>1E-3</v>
      </c>
      <c r="E2435" s="145" t="s">
        <v>450</v>
      </c>
    </row>
    <row r="2436" spans="1:5" x14ac:dyDescent="0.25">
      <c r="A2436" s="46">
        <v>220</v>
      </c>
      <c r="B2436" s="143" t="s">
        <v>63</v>
      </c>
      <c r="C2436" s="218" t="s">
        <v>776</v>
      </c>
      <c r="D2436" s="141">
        <v>1E-3</v>
      </c>
      <c r="E2436" s="145" t="s">
        <v>450</v>
      </c>
    </row>
    <row r="2437" spans="1:5" x14ac:dyDescent="0.25">
      <c r="A2437" s="46">
        <v>118</v>
      </c>
      <c r="B2437" s="143" t="s">
        <v>213</v>
      </c>
      <c r="C2437" s="146" t="s">
        <v>766</v>
      </c>
      <c r="D2437" s="148">
        <v>0.1</v>
      </c>
      <c r="E2437" s="145" t="s">
        <v>450</v>
      </c>
    </row>
    <row r="2438" spans="1:5" x14ac:dyDescent="0.25">
      <c r="A2438" s="46">
        <v>118</v>
      </c>
      <c r="B2438" s="143" t="s">
        <v>213</v>
      </c>
      <c r="C2438" s="146" t="s">
        <v>618</v>
      </c>
      <c r="D2438" s="148">
        <v>0.01</v>
      </c>
      <c r="E2438" s="145" t="s">
        <v>458</v>
      </c>
    </row>
    <row r="2439" spans="1:5" x14ac:dyDescent="0.25">
      <c r="A2439" s="46">
        <v>118</v>
      </c>
      <c r="B2439" s="143" t="s">
        <v>213</v>
      </c>
      <c r="C2439" s="146" t="s">
        <v>619</v>
      </c>
      <c r="D2439" s="148">
        <v>0.01</v>
      </c>
      <c r="E2439" s="145" t="s">
        <v>458</v>
      </c>
    </row>
    <row r="2440" spans="1:5" x14ac:dyDescent="0.25">
      <c r="A2440" s="46">
        <v>118</v>
      </c>
      <c r="B2440" s="143" t="s">
        <v>213</v>
      </c>
      <c r="C2440" s="143" t="s">
        <v>620</v>
      </c>
      <c r="D2440" s="148">
        <v>1.4999999999999999E-2</v>
      </c>
      <c r="E2440" s="145" t="s">
        <v>458</v>
      </c>
    </row>
    <row r="2441" spans="1:5" x14ac:dyDescent="0.25">
      <c r="A2441" s="46">
        <v>118</v>
      </c>
      <c r="B2441" s="143" t="s">
        <v>213</v>
      </c>
      <c r="C2441" s="146" t="s">
        <v>504</v>
      </c>
      <c r="D2441" s="148">
        <v>0.03</v>
      </c>
      <c r="E2441" s="145" t="s">
        <v>458</v>
      </c>
    </row>
    <row r="2442" spans="1:5" x14ac:dyDescent="0.25">
      <c r="A2442" s="46">
        <v>118</v>
      </c>
      <c r="B2442" s="143" t="s">
        <v>213</v>
      </c>
      <c r="C2442" s="143" t="s">
        <v>500</v>
      </c>
      <c r="D2442" s="148">
        <v>0.05</v>
      </c>
      <c r="E2442" s="145" t="s">
        <v>450</v>
      </c>
    </row>
    <row r="2443" spans="1:5" x14ac:dyDescent="0.25">
      <c r="A2443" s="46">
        <v>118</v>
      </c>
      <c r="B2443" s="143" t="s">
        <v>213</v>
      </c>
      <c r="C2443" s="146" t="s">
        <v>626</v>
      </c>
      <c r="D2443" s="148">
        <v>1.4999999999999999E-2</v>
      </c>
      <c r="E2443" s="145" t="s">
        <v>448</v>
      </c>
    </row>
    <row r="2444" spans="1:5" x14ac:dyDescent="0.25">
      <c r="A2444" s="46">
        <v>118</v>
      </c>
      <c r="B2444" s="143" t="s">
        <v>213</v>
      </c>
      <c r="C2444" s="146" t="s">
        <v>488</v>
      </c>
      <c r="D2444" s="148">
        <v>2E-3</v>
      </c>
      <c r="E2444" s="145" t="s">
        <v>450</v>
      </c>
    </row>
    <row r="2445" spans="1:5" x14ac:dyDescent="0.25">
      <c r="A2445" s="46">
        <v>118</v>
      </c>
      <c r="B2445" s="143" t="s">
        <v>213</v>
      </c>
      <c r="C2445" s="146" t="s">
        <v>480</v>
      </c>
      <c r="D2445" s="148">
        <v>1E-3</v>
      </c>
      <c r="E2445" s="145" t="s">
        <v>458</v>
      </c>
    </row>
    <row r="2446" spans="1:5" x14ac:dyDescent="0.25">
      <c r="A2446" s="46">
        <v>118</v>
      </c>
      <c r="B2446" s="143" t="s">
        <v>213</v>
      </c>
      <c r="C2446" s="146" t="s">
        <v>509</v>
      </c>
      <c r="D2446" s="148">
        <v>2E-3</v>
      </c>
      <c r="E2446" s="145" t="s">
        <v>450</v>
      </c>
    </row>
    <row r="2447" spans="1:5" x14ac:dyDescent="0.25">
      <c r="A2447" s="46">
        <v>118</v>
      </c>
      <c r="B2447" s="143" t="s">
        <v>213</v>
      </c>
      <c r="C2447" s="146" t="s">
        <v>636</v>
      </c>
      <c r="D2447" s="153">
        <v>5.0000000000000001E-4</v>
      </c>
      <c r="E2447" s="145" t="s">
        <v>450</v>
      </c>
    </row>
    <row r="2448" spans="1:5" x14ac:dyDescent="0.25">
      <c r="A2448" s="46">
        <v>118</v>
      </c>
      <c r="B2448" s="143" t="s">
        <v>213</v>
      </c>
      <c r="C2448" s="146" t="s">
        <v>613</v>
      </c>
      <c r="D2448" s="159">
        <v>1</v>
      </c>
      <c r="E2448" s="145" t="s">
        <v>579</v>
      </c>
    </row>
    <row r="2449" spans="1:5" x14ac:dyDescent="0.25">
      <c r="A2449" s="46">
        <v>302</v>
      </c>
      <c r="B2449" s="143" t="s">
        <v>334</v>
      </c>
      <c r="C2449" s="89" t="s">
        <v>583</v>
      </c>
      <c r="D2449" s="141">
        <v>6.0000000000000001E-3</v>
      </c>
      <c r="E2449" s="160" t="s">
        <v>450</v>
      </c>
    </row>
    <row r="2450" spans="1:5" x14ac:dyDescent="0.25">
      <c r="A2450" s="46">
        <v>302</v>
      </c>
      <c r="B2450" s="143" t="s">
        <v>334</v>
      </c>
      <c r="C2450" s="89" t="s">
        <v>479</v>
      </c>
      <c r="D2450" s="141">
        <v>6.0000000000000001E-3</v>
      </c>
      <c r="E2450" s="160" t="s">
        <v>450</v>
      </c>
    </row>
    <row r="2451" spans="1:5" x14ac:dyDescent="0.25">
      <c r="A2451" s="46">
        <v>302</v>
      </c>
      <c r="B2451" s="143" t="s">
        <v>334</v>
      </c>
      <c r="C2451" s="89" t="s">
        <v>575</v>
      </c>
      <c r="D2451" s="141">
        <v>6.0000000000000001E-3</v>
      </c>
      <c r="E2451" s="160" t="s">
        <v>450</v>
      </c>
    </row>
    <row r="2452" spans="1:5" x14ac:dyDescent="0.25">
      <c r="A2452" s="46">
        <v>302</v>
      </c>
      <c r="B2452" s="143" t="s">
        <v>334</v>
      </c>
      <c r="C2452" s="89" t="s">
        <v>569</v>
      </c>
      <c r="D2452" s="141">
        <v>6.0000000000000001E-3</v>
      </c>
      <c r="E2452" s="160" t="s">
        <v>450</v>
      </c>
    </row>
    <row r="2453" spans="1:5" x14ac:dyDescent="0.25">
      <c r="A2453" s="46">
        <v>302</v>
      </c>
      <c r="B2453" s="143" t="s">
        <v>334</v>
      </c>
      <c r="C2453" s="89" t="s">
        <v>701</v>
      </c>
      <c r="D2453" s="141">
        <f>0.02/1.6</f>
        <v>1.2499999999999999E-2</v>
      </c>
      <c r="E2453" s="160" t="s">
        <v>450</v>
      </c>
    </row>
    <row r="2454" spans="1:5" x14ac:dyDescent="0.25">
      <c r="A2454" s="46">
        <v>302</v>
      </c>
      <c r="B2454" s="143" t="s">
        <v>334</v>
      </c>
      <c r="C2454" s="89" t="s">
        <v>634</v>
      </c>
      <c r="D2454" s="141">
        <v>0.02</v>
      </c>
      <c r="E2454" s="160" t="s">
        <v>450</v>
      </c>
    </row>
    <row r="2455" spans="1:5" x14ac:dyDescent="0.25">
      <c r="A2455" s="46">
        <v>302</v>
      </c>
      <c r="B2455" s="143" t="s">
        <v>334</v>
      </c>
      <c r="C2455" s="89" t="s">
        <v>997</v>
      </c>
      <c r="D2455" s="141">
        <v>0.02</v>
      </c>
      <c r="E2455" s="160" t="s">
        <v>450</v>
      </c>
    </row>
    <row r="2456" spans="1:5" x14ac:dyDescent="0.25">
      <c r="A2456" s="46">
        <v>302</v>
      </c>
      <c r="B2456" s="143" t="s">
        <v>334</v>
      </c>
      <c r="C2456" s="89" t="s">
        <v>998</v>
      </c>
      <c r="D2456" s="141">
        <v>0.02</v>
      </c>
      <c r="E2456" s="160" t="s">
        <v>450</v>
      </c>
    </row>
    <row r="2457" spans="1:5" x14ac:dyDescent="0.25">
      <c r="A2457" s="46">
        <v>302</v>
      </c>
      <c r="B2457" s="143" t="s">
        <v>334</v>
      </c>
      <c r="C2457" s="207" t="s">
        <v>766</v>
      </c>
      <c r="D2457" s="141">
        <v>0.08</v>
      </c>
      <c r="E2457" s="160" t="s">
        <v>450</v>
      </c>
    </row>
    <row r="2458" spans="1:5" x14ac:dyDescent="0.25">
      <c r="A2458" s="46">
        <v>302</v>
      </c>
      <c r="B2458" s="143" t="s">
        <v>334</v>
      </c>
      <c r="C2458" s="89" t="s">
        <v>466</v>
      </c>
      <c r="D2458" s="141">
        <v>5.0000000000000001E-3</v>
      </c>
      <c r="E2458" s="160" t="s">
        <v>450</v>
      </c>
    </row>
    <row r="2459" spans="1:5" x14ac:dyDescent="0.25">
      <c r="A2459" s="46">
        <v>302</v>
      </c>
      <c r="B2459" s="143" t="s">
        <v>334</v>
      </c>
      <c r="C2459" s="89" t="s">
        <v>694</v>
      </c>
      <c r="D2459" s="141">
        <v>1E-3</v>
      </c>
      <c r="E2459" s="89"/>
    </row>
    <row r="2460" spans="1:5" x14ac:dyDescent="0.25">
      <c r="A2460" s="46">
        <v>302</v>
      </c>
      <c r="B2460" s="143" t="s">
        <v>334</v>
      </c>
      <c r="C2460" s="139" t="s">
        <v>502</v>
      </c>
      <c r="D2460" s="141">
        <v>1E-3</v>
      </c>
      <c r="E2460" s="89"/>
    </row>
    <row r="2461" spans="1:5" x14ac:dyDescent="0.25">
      <c r="A2461" s="46">
        <v>155</v>
      </c>
      <c r="B2461" s="143" t="s">
        <v>236</v>
      </c>
      <c r="C2461" s="143" t="s">
        <v>806</v>
      </c>
      <c r="D2461" s="144">
        <v>3.3000000000000002E-2</v>
      </c>
      <c r="E2461" s="142" t="s">
        <v>450</v>
      </c>
    </row>
    <row r="2462" spans="1:5" x14ac:dyDescent="0.25">
      <c r="A2462" s="46">
        <v>155</v>
      </c>
      <c r="B2462" s="143" t="s">
        <v>236</v>
      </c>
      <c r="C2462" s="172" t="s">
        <v>633</v>
      </c>
      <c r="D2462" s="144">
        <v>0.02</v>
      </c>
      <c r="E2462" s="142" t="s">
        <v>450</v>
      </c>
    </row>
    <row r="2463" spans="1:5" x14ac:dyDescent="0.25">
      <c r="A2463" s="46">
        <v>155</v>
      </c>
      <c r="B2463" s="143" t="s">
        <v>236</v>
      </c>
      <c r="C2463" s="143" t="s">
        <v>685</v>
      </c>
      <c r="D2463" s="144">
        <v>0.01</v>
      </c>
      <c r="E2463" s="142" t="s">
        <v>450</v>
      </c>
    </row>
    <row r="2464" spans="1:5" x14ac:dyDescent="0.25">
      <c r="A2464" s="46">
        <v>155</v>
      </c>
      <c r="B2464" s="143" t="s">
        <v>236</v>
      </c>
      <c r="C2464" s="143" t="s">
        <v>651</v>
      </c>
      <c r="D2464" s="144">
        <v>1E-3</v>
      </c>
      <c r="E2464" s="142" t="s">
        <v>450</v>
      </c>
    </row>
    <row r="2465" spans="1:5" x14ac:dyDescent="0.25">
      <c r="A2465" s="46">
        <v>155</v>
      </c>
      <c r="B2465" s="143" t="s">
        <v>236</v>
      </c>
      <c r="C2465" s="143" t="s">
        <v>488</v>
      </c>
      <c r="D2465" s="144">
        <v>2E-3</v>
      </c>
      <c r="E2465" s="142" t="s">
        <v>450</v>
      </c>
    </row>
    <row r="2466" spans="1:5" x14ac:dyDescent="0.25">
      <c r="A2466" s="46">
        <v>155</v>
      </c>
      <c r="B2466" s="143" t="s">
        <v>236</v>
      </c>
      <c r="C2466" s="143" t="s">
        <v>467</v>
      </c>
      <c r="D2466" s="144">
        <v>2E-3</v>
      </c>
      <c r="E2466" s="142" t="s">
        <v>448</v>
      </c>
    </row>
    <row r="2467" spans="1:5" x14ac:dyDescent="0.25">
      <c r="A2467" s="46">
        <v>155</v>
      </c>
      <c r="B2467" s="143" t="s">
        <v>236</v>
      </c>
      <c r="C2467" s="143" t="s">
        <v>487</v>
      </c>
      <c r="D2467" s="144">
        <v>1E-3</v>
      </c>
      <c r="E2467" s="142" t="s">
        <v>450</v>
      </c>
    </row>
    <row r="2468" spans="1:5" x14ac:dyDescent="0.25">
      <c r="A2468" s="46">
        <v>155</v>
      </c>
      <c r="B2468" s="143" t="s">
        <v>236</v>
      </c>
      <c r="C2468" s="143" t="s">
        <v>585</v>
      </c>
      <c r="D2468" s="144">
        <v>0.01</v>
      </c>
      <c r="E2468" s="142" t="s">
        <v>450</v>
      </c>
    </row>
    <row r="2469" spans="1:5" x14ac:dyDescent="0.25">
      <c r="A2469" s="46">
        <v>155</v>
      </c>
      <c r="B2469" s="143" t="s">
        <v>236</v>
      </c>
      <c r="C2469" s="143" t="s">
        <v>807</v>
      </c>
      <c r="D2469" s="144">
        <v>0.02</v>
      </c>
      <c r="E2469" s="142" t="s">
        <v>450</v>
      </c>
    </row>
    <row r="2470" spans="1:5" x14ac:dyDescent="0.25">
      <c r="A2470" s="46">
        <v>155</v>
      </c>
      <c r="B2470" s="143" t="s">
        <v>236</v>
      </c>
      <c r="C2470" s="143" t="s">
        <v>124</v>
      </c>
      <c r="D2470" s="144">
        <v>0.05</v>
      </c>
      <c r="E2470" s="142" t="s">
        <v>450</v>
      </c>
    </row>
    <row r="2471" spans="1:5" x14ac:dyDescent="0.25">
      <c r="A2471" s="46">
        <v>155</v>
      </c>
      <c r="B2471" s="143" t="s">
        <v>236</v>
      </c>
      <c r="C2471" s="143" t="s">
        <v>461</v>
      </c>
      <c r="D2471" s="144">
        <v>1E-3</v>
      </c>
      <c r="E2471" s="142" t="s">
        <v>448</v>
      </c>
    </row>
    <row r="2472" spans="1:5" x14ac:dyDescent="0.25">
      <c r="A2472" s="46">
        <v>155</v>
      </c>
      <c r="B2472" s="143" t="s">
        <v>236</v>
      </c>
      <c r="C2472" s="152" t="s">
        <v>511</v>
      </c>
      <c r="D2472" s="144">
        <v>1.2E-2</v>
      </c>
      <c r="E2472" s="142" t="s">
        <v>458</v>
      </c>
    </row>
    <row r="2473" spans="1:5" x14ac:dyDescent="0.25">
      <c r="A2473" s="46">
        <v>155</v>
      </c>
      <c r="B2473" s="143" t="s">
        <v>236</v>
      </c>
      <c r="C2473" s="152" t="s">
        <v>512</v>
      </c>
      <c r="D2473" s="144">
        <v>1.4E-2</v>
      </c>
      <c r="E2473" s="142" t="s">
        <v>458</v>
      </c>
    </row>
    <row r="2474" spans="1:5" x14ac:dyDescent="0.25">
      <c r="A2474" s="46">
        <v>155</v>
      </c>
      <c r="B2474" s="143" t="s">
        <v>236</v>
      </c>
      <c r="C2474" s="90" t="s">
        <v>581</v>
      </c>
      <c r="D2474" s="144">
        <v>1.2E-2</v>
      </c>
      <c r="E2474" s="142" t="s">
        <v>458</v>
      </c>
    </row>
    <row r="2475" spans="1:5" x14ac:dyDescent="0.25">
      <c r="A2475" s="46"/>
      <c r="B2475" s="98" t="s">
        <v>380</v>
      </c>
      <c r="C2475" s="89" t="s">
        <v>1532</v>
      </c>
      <c r="D2475" s="141">
        <v>1</v>
      </c>
      <c r="E2475" s="150" t="s">
        <v>450</v>
      </c>
    </row>
    <row r="2476" spans="1:5" x14ac:dyDescent="0.25">
      <c r="A2476" s="46">
        <v>163</v>
      </c>
      <c r="B2476" s="143" t="s">
        <v>239</v>
      </c>
      <c r="C2476" s="89" t="s">
        <v>593</v>
      </c>
      <c r="D2476" s="141">
        <v>0.1</v>
      </c>
      <c r="E2476" s="141" t="s">
        <v>450</v>
      </c>
    </row>
    <row r="2477" spans="1:5" x14ac:dyDescent="0.25">
      <c r="A2477" s="46">
        <v>163</v>
      </c>
      <c r="B2477" s="143" t="s">
        <v>239</v>
      </c>
      <c r="C2477" s="143" t="s">
        <v>500</v>
      </c>
      <c r="D2477" s="141">
        <v>1.4999999999999999E-2</v>
      </c>
      <c r="E2477" s="141" t="s">
        <v>450</v>
      </c>
    </row>
    <row r="2478" spans="1:5" x14ac:dyDescent="0.25">
      <c r="A2478" s="46">
        <v>163</v>
      </c>
      <c r="B2478" s="143" t="s">
        <v>239</v>
      </c>
      <c r="C2478" s="89" t="s">
        <v>572</v>
      </c>
      <c r="D2478" s="141">
        <v>3.0000000000000001E-3</v>
      </c>
      <c r="E2478" s="141" t="s">
        <v>448</v>
      </c>
    </row>
    <row r="2479" spans="1:5" x14ac:dyDescent="0.25">
      <c r="A2479" s="46">
        <v>163</v>
      </c>
      <c r="B2479" s="143" t="s">
        <v>239</v>
      </c>
      <c r="C2479" s="89" t="s">
        <v>461</v>
      </c>
      <c r="D2479" s="141">
        <v>2E-3</v>
      </c>
      <c r="E2479" s="141" t="s">
        <v>448</v>
      </c>
    </row>
    <row r="2480" spans="1:5" x14ac:dyDescent="0.25">
      <c r="A2480" s="46">
        <v>163</v>
      </c>
      <c r="B2480" s="143" t="s">
        <v>239</v>
      </c>
      <c r="C2480" s="89" t="s">
        <v>453</v>
      </c>
      <c r="D2480" s="141">
        <v>1E-3</v>
      </c>
      <c r="E2480" s="141" t="s">
        <v>450</v>
      </c>
    </row>
    <row r="2481" spans="1:5" x14ac:dyDescent="0.25">
      <c r="A2481" s="46">
        <v>163</v>
      </c>
      <c r="B2481" s="143" t="s">
        <v>239</v>
      </c>
      <c r="C2481" s="89" t="s">
        <v>488</v>
      </c>
      <c r="D2481" s="141">
        <v>2E-3</v>
      </c>
      <c r="E2481" s="141" t="s">
        <v>450</v>
      </c>
    </row>
    <row r="2482" spans="1:5" x14ac:dyDescent="0.25">
      <c r="A2482" s="46">
        <v>163</v>
      </c>
      <c r="B2482" s="143" t="s">
        <v>239</v>
      </c>
      <c r="C2482" s="89" t="s">
        <v>467</v>
      </c>
      <c r="D2482" s="141">
        <v>2E-3</v>
      </c>
      <c r="E2482" s="141" t="s">
        <v>448</v>
      </c>
    </row>
    <row r="2483" spans="1:5" x14ac:dyDescent="0.25">
      <c r="A2483" s="46">
        <v>146</v>
      </c>
      <c r="B2483" s="143" t="s">
        <v>227</v>
      </c>
      <c r="C2483" s="218" t="s">
        <v>593</v>
      </c>
      <c r="D2483" s="141">
        <v>0.04</v>
      </c>
      <c r="E2483" s="141" t="s">
        <v>450</v>
      </c>
    </row>
    <row r="2484" spans="1:5" x14ac:dyDescent="0.25">
      <c r="A2484" s="46">
        <v>146</v>
      </c>
      <c r="B2484" s="143" t="s">
        <v>227</v>
      </c>
      <c r="C2484" s="89" t="s">
        <v>755</v>
      </c>
      <c r="D2484" s="141">
        <v>1E-3</v>
      </c>
      <c r="E2484" s="141" t="s">
        <v>450</v>
      </c>
    </row>
    <row r="2485" spans="1:5" x14ac:dyDescent="0.25">
      <c r="A2485" s="46">
        <v>146</v>
      </c>
      <c r="B2485" s="143" t="s">
        <v>227</v>
      </c>
      <c r="C2485" s="89" t="s">
        <v>487</v>
      </c>
      <c r="D2485" s="141">
        <v>2E-3</v>
      </c>
      <c r="E2485" s="141" t="s">
        <v>450</v>
      </c>
    </row>
    <row r="2486" spans="1:5" x14ac:dyDescent="0.25">
      <c r="A2486" s="46">
        <v>146</v>
      </c>
      <c r="B2486" s="143" t="s">
        <v>227</v>
      </c>
      <c r="C2486" s="143" t="s">
        <v>500</v>
      </c>
      <c r="D2486" s="141">
        <v>5.0000000000000001E-3</v>
      </c>
      <c r="E2486" s="141" t="s">
        <v>450</v>
      </c>
    </row>
    <row r="2487" spans="1:5" x14ac:dyDescent="0.25">
      <c r="A2487" s="46">
        <v>146</v>
      </c>
      <c r="B2487" s="143" t="s">
        <v>227</v>
      </c>
      <c r="C2487" s="89" t="s">
        <v>488</v>
      </c>
      <c r="D2487" s="141">
        <v>2E-3</v>
      </c>
      <c r="E2487" s="141" t="s">
        <v>450</v>
      </c>
    </row>
    <row r="2488" spans="1:5" x14ac:dyDescent="0.25">
      <c r="A2488" s="46">
        <v>146</v>
      </c>
      <c r="B2488" s="143" t="s">
        <v>227</v>
      </c>
      <c r="C2488" s="89" t="s">
        <v>467</v>
      </c>
      <c r="D2488" s="141">
        <v>2E-3</v>
      </c>
      <c r="E2488" s="141" t="s">
        <v>448</v>
      </c>
    </row>
    <row r="2489" spans="1:5" x14ac:dyDescent="0.25">
      <c r="A2489" s="46">
        <v>146</v>
      </c>
      <c r="B2489" s="143" t="s">
        <v>227</v>
      </c>
      <c r="C2489" s="89" t="s">
        <v>572</v>
      </c>
      <c r="D2489" s="141">
        <v>2E-3</v>
      </c>
      <c r="E2489" s="141" t="s">
        <v>458</v>
      </c>
    </row>
    <row r="2490" spans="1:5" x14ac:dyDescent="0.25">
      <c r="A2490" s="46">
        <v>146</v>
      </c>
      <c r="B2490" s="143" t="s">
        <v>227</v>
      </c>
      <c r="C2490" s="89" t="s">
        <v>520</v>
      </c>
      <c r="D2490" s="141">
        <v>0.05</v>
      </c>
      <c r="E2490" s="141" t="s">
        <v>450</v>
      </c>
    </row>
    <row r="2491" spans="1:5" x14ac:dyDescent="0.25">
      <c r="A2491" s="46">
        <v>241</v>
      </c>
      <c r="B2491" s="143" t="s">
        <v>280</v>
      </c>
      <c r="C2491" s="218" t="s">
        <v>593</v>
      </c>
      <c r="D2491" s="141">
        <v>3.5000000000000003E-2</v>
      </c>
      <c r="E2491" s="145" t="s">
        <v>450</v>
      </c>
    </row>
    <row r="2492" spans="1:5" x14ac:dyDescent="0.25">
      <c r="A2492" s="46">
        <v>241</v>
      </c>
      <c r="B2492" s="143" t="s">
        <v>280</v>
      </c>
      <c r="C2492" s="89" t="s">
        <v>943</v>
      </c>
      <c r="D2492" s="141">
        <v>8.5000000000000006E-2</v>
      </c>
      <c r="E2492" s="145" t="s">
        <v>450</v>
      </c>
    </row>
    <row r="2493" spans="1:5" x14ac:dyDescent="0.25">
      <c r="A2493" s="46">
        <v>241</v>
      </c>
      <c r="B2493" s="143" t="s">
        <v>280</v>
      </c>
      <c r="C2493" s="89" t="s">
        <v>697</v>
      </c>
      <c r="D2493" s="141">
        <v>0.03</v>
      </c>
      <c r="E2493" s="145" t="s">
        <v>450</v>
      </c>
    </row>
    <row r="2494" spans="1:5" x14ac:dyDescent="0.25">
      <c r="A2494" s="46">
        <v>241</v>
      </c>
      <c r="B2494" s="143" t="s">
        <v>280</v>
      </c>
      <c r="C2494" s="89" t="s">
        <v>554</v>
      </c>
      <c r="D2494" s="141">
        <v>0.04</v>
      </c>
      <c r="E2494" s="145" t="s">
        <v>450</v>
      </c>
    </row>
    <row r="2495" spans="1:5" x14ac:dyDescent="0.25">
      <c r="A2495" s="46">
        <v>241</v>
      </c>
      <c r="B2495" s="143" t="s">
        <v>280</v>
      </c>
      <c r="C2495" s="89" t="s">
        <v>909</v>
      </c>
      <c r="D2495" s="141">
        <v>4.4999999999999998E-2</v>
      </c>
      <c r="E2495" s="145" t="s">
        <v>450</v>
      </c>
    </row>
    <row r="2496" spans="1:5" x14ac:dyDescent="0.25">
      <c r="A2496" s="46">
        <v>241</v>
      </c>
      <c r="B2496" s="143" t="s">
        <v>280</v>
      </c>
      <c r="C2496" s="89" t="s">
        <v>944</v>
      </c>
      <c r="D2496" s="141">
        <v>1E-3</v>
      </c>
      <c r="E2496" s="145" t="s">
        <v>450</v>
      </c>
    </row>
    <row r="2497" spans="1:5" x14ac:dyDescent="0.25">
      <c r="A2497" s="46">
        <v>241</v>
      </c>
      <c r="B2497" s="143" t="s">
        <v>280</v>
      </c>
      <c r="C2497" s="90" t="s">
        <v>581</v>
      </c>
      <c r="D2497" s="141">
        <v>1.2E-2</v>
      </c>
      <c r="E2497" s="145" t="s">
        <v>450</v>
      </c>
    </row>
    <row r="2498" spans="1:5" x14ac:dyDescent="0.25">
      <c r="A2498" s="46">
        <v>241</v>
      </c>
      <c r="B2498" s="143" t="s">
        <v>280</v>
      </c>
      <c r="C2498" s="89" t="s">
        <v>478</v>
      </c>
      <c r="D2498" s="141">
        <v>3.0000000000000001E-3</v>
      </c>
      <c r="E2498" s="141" t="s">
        <v>448</v>
      </c>
    </row>
    <row r="2499" spans="1:5" x14ac:dyDescent="0.25">
      <c r="A2499" s="46">
        <v>241</v>
      </c>
      <c r="B2499" s="143" t="s">
        <v>280</v>
      </c>
      <c r="C2499" s="89" t="s">
        <v>470</v>
      </c>
      <c r="D2499" s="141">
        <v>1E-3</v>
      </c>
      <c r="E2499" s="145" t="s">
        <v>450</v>
      </c>
    </row>
    <row r="2500" spans="1:5" x14ac:dyDescent="0.25">
      <c r="A2500" s="46">
        <v>241</v>
      </c>
      <c r="B2500" s="143" t="s">
        <v>280</v>
      </c>
      <c r="C2500" s="89" t="s">
        <v>516</v>
      </c>
      <c r="D2500" s="141">
        <v>1E-3</v>
      </c>
      <c r="E2500" s="145" t="s">
        <v>450</v>
      </c>
    </row>
    <row r="2501" spans="1:5" x14ac:dyDescent="0.25">
      <c r="A2501" s="46">
        <v>326</v>
      </c>
      <c r="B2501" s="143" t="s">
        <v>34</v>
      </c>
      <c r="C2501" s="89" t="s">
        <v>962</v>
      </c>
      <c r="D2501" s="48">
        <v>1.4999999999999999E-2</v>
      </c>
      <c r="E2501" s="98" t="s">
        <v>450</v>
      </c>
    </row>
    <row r="2502" spans="1:5" x14ac:dyDescent="0.25">
      <c r="A2502" s="46">
        <v>326</v>
      </c>
      <c r="B2502" s="143" t="s">
        <v>34</v>
      </c>
      <c r="C2502" s="89" t="s">
        <v>943</v>
      </c>
      <c r="D2502" s="48">
        <v>0.03</v>
      </c>
      <c r="E2502" s="98" t="s">
        <v>450</v>
      </c>
    </row>
    <row r="2503" spans="1:5" x14ac:dyDescent="0.25">
      <c r="A2503" s="46">
        <v>326</v>
      </c>
      <c r="B2503" s="143" t="s">
        <v>34</v>
      </c>
      <c r="C2503" s="139" t="s">
        <v>476</v>
      </c>
      <c r="D2503" s="48">
        <v>3.0000000000000001E-3</v>
      </c>
      <c r="E2503" s="98" t="s">
        <v>450</v>
      </c>
    </row>
    <row r="2504" spans="1:5" x14ac:dyDescent="0.25">
      <c r="A2504" s="46">
        <v>326</v>
      </c>
      <c r="B2504" s="143" t="s">
        <v>34</v>
      </c>
      <c r="C2504" s="156" t="s">
        <v>491</v>
      </c>
      <c r="D2504" s="48">
        <v>0.03</v>
      </c>
      <c r="E2504" s="98" t="s">
        <v>450</v>
      </c>
    </row>
    <row r="2505" spans="1:5" x14ac:dyDescent="0.25">
      <c r="A2505" s="46">
        <v>326</v>
      </c>
      <c r="B2505" s="143" t="s">
        <v>34</v>
      </c>
      <c r="C2505" s="89" t="s">
        <v>485</v>
      </c>
      <c r="D2505" s="48">
        <v>2E-3</v>
      </c>
      <c r="E2505" s="98" t="s">
        <v>450</v>
      </c>
    </row>
    <row r="2506" spans="1:5" x14ac:dyDescent="0.25">
      <c r="A2506" s="46">
        <v>326</v>
      </c>
      <c r="B2506" s="143" t="s">
        <v>34</v>
      </c>
      <c r="C2506" s="89" t="s">
        <v>1043</v>
      </c>
      <c r="D2506" s="48">
        <v>1E-3</v>
      </c>
      <c r="E2506" s="98" t="s">
        <v>450</v>
      </c>
    </row>
    <row r="2507" spans="1:5" x14ac:dyDescent="0.25">
      <c r="A2507" s="46">
        <v>326</v>
      </c>
      <c r="B2507" s="143" t="s">
        <v>34</v>
      </c>
      <c r="C2507" s="147" t="s">
        <v>500</v>
      </c>
      <c r="D2507" s="48">
        <v>5.0000000000000001E-3</v>
      </c>
      <c r="E2507" s="98" t="s">
        <v>450</v>
      </c>
    </row>
    <row r="2508" spans="1:5" x14ac:dyDescent="0.25">
      <c r="A2508" s="46">
        <v>326</v>
      </c>
      <c r="B2508" s="143" t="s">
        <v>34</v>
      </c>
      <c r="C2508" s="89" t="s">
        <v>1029</v>
      </c>
      <c r="D2508" s="48">
        <v>0.01</v>
      </c>
      <c r="E2508" s="98" t="s">
        <v>450</v>
      </c>
    </row>
    <row r="2509" spans="1:5" x14ac:dyDescent="0.25">
      <c r="A2509" s="46">
        <v>326</v>
      </c>
      <c r="B2509" s="143" t="s">
        <v>34</v>
      </c>
      <c r="C2509" s="89" t="s">
        <v>478</v>
      </c>
      <c r="D2509" s="48">
        <v>3.0000000000000001E-3</v>
      </c>
      <c r="E2509" s="98" t="s">
        <v>448</v>
      </c>
    </row>
    <row r="2510" spans="1:5" x14ac:dyDescent="0.25">
      <c r="A2510" s="46">
        <v>236</v>
      </c>
      <c r="B2510" s="143" t="s">
        <v>276</v>
      </c>
      <c r="C2510" s="89" t="s">
        <v>593</v>
      </c>
      <c r="D2510" s="141">
        <v>0.06</v>
      </c>
      <c r="E2510" s="145" t="s">
        <v>450</v>
      </c>
    </row>
    <row r="2511" spans="1:5" x14ac:dyDescent="0.25">
      <c r="A2511" s="46">
        <v>236</v>
      </c>
      <c r="B2511" s="143" t="s">
        <v>276</v>
      </c>
      <c r="C2511" s="89" t="s">
        <v>938</v>
      </c>
      <c r="D2511" s="141">
        <v>0.02</v>
      </c>
      <c r="E2511" s="145" t="s">
        <v>450</v>
      </c>
    </row>
    <row r="2512" spans="1:5" x14ac:dyDescent="0.25">
      <c r="A2512" s="46">
        <v>236</v>
      </c>
      <c r="B2512" s="143" t="s">
        <v>276</v>
      </c>
      <c r="C2512" s="89" t="s">
        <v>533</v>
      </c>
      <c r="D2512" s="141">
        <v>1E-3</v>
      </c>
      <c r="E2512" s="145" t="s">
        <v>458</v>
      </c>
    </row>
    <row r="2513" spans="1:5" x14ac:dyDescent="0.25">
      <c r="A2513" s="46">
        <v>236</v>
      </c>
      <c r="B2513" s="143" t="s">
        <v>276</v>
      </c>
      <c r="C2513" s="143" t="s">
        <v>500</v>
      </c>
      <c r="D2513" s="141">
        <v>1.4999999999999999E-2</v>
      </c>
      <c r="E2513" s="145" t="s">
        <v>450</v>
      </c>
    </row>
    <row r="2514" spans="1:5" x14ac:dyDescent="0.25">
      <c r="A2514" s="46">
        <v>236</v>
      </c>
      <c r="B2514" s="143" t="s">
        <v>276</v>
      </c>
      <c r="C2514" s="89" t="s">
        <v>478</v>
      </c>
      <c r="D2514" s="141">
        <v>3.0000000000000001E-3</v>
      </c>
      <c r="E2514" s="141" t="s">
        <v>448</v>
      </c>
    </row>
    <row r="2515" spans="1:5" x14ac:dyDescent="0.25">
      <c r="A2515" s="46">
        <v>236</v>
      </c>
      <c r="B2515" s="143" t="s">
        <v>276</v>
      </c>
      <c r="C2515" s="89" t="s">
        <v>470</v>
      </c>
      <c r="D2515" s="141">
        <v>2E-3</v>
      </c>
      <c r="E2515" s="145" t="s">
        <v>450</v>
      </c>
    </row>
    <row r="2516" spans="1:5" x14ac:dyDescent="0.25">
      <c r="A2516" s="46">
        <v>236</v>
      </c>
      <c r="B2516" s="143" t="s">
        <v>276</v>
      </c>
      <c r="C2516" s="89" t="s">
        <v>516</v>
      </c>
      <c r="D2516" s="141">
        <v>1E-3</v>
      </c>
      <c r="E2516" s="145" t="s">
        <v>450</v>
      </c>
    </row>
    <row r="2517" spans="1:5" x14ac:dyDescent="0.25">
      <c r="A2517" s="46">
        <v>149</v>
      </c>
      <c r="B2517" s="143" t="s">
        <v>230</v>
      </c>
      <c r="C2517" s="152" t="s">
        <v>511</v>
      </c>
      <c r="D2517" s="141">
        <v>1.2E-2</v>
      </c>
      <c r="E2517" s="141" t="s">
        <v>450</v>
      </c>
    </row>
    <row r="2518" spans="1:5" x14ac:dyDescent="0.25">
      <c r="A2518" s="46">
        <v>149</v>
      </c>
      <c r="B2518" s="143" t="s">
        <v>230</v>
      </c>
      <c r="C2518" s="89" t="s">
        <v>803</v>
      </c>
      <c r="D2518" s="141">
        <v>4.4999999999999998E-2</v>
      </c>
      <c r="E2518" s="141" t="s">
        <v>450</v>
      </c>
    </row>
    <row r="2519" spans="1:5" x14ac:dyDescent="0.25">
      <c r="A2519" s="46">
        <v>149</v>
      </c>
      <c r="B2519" s="143" t="s">
        <v>230</v>
      </c>
      <c r="C2519" s="89" t="s">
        <v>487</v>
      </c>
      <c r="D2519" s="141">
        <v>2E-3</v>
      </c>
      <c r="E2519" s="141" t="s">
        <v>450</v>
      </c>
    </row>
    <row r="2520" spans="1:5" x14ac:dyDescent="0.25">
      <c r="A2520" s="46">
        <v>149</v>
      </c>
      <c r="B2520" s="143" t="s">
        <v>230</v>
      </c>
      <c r="C2520" s="143" t="s">
        <v>500</v>
      </c>
      <c r="D2520" s="141">
        <v>0.01</v>
      </c>
      <c r="E2520" s="141" t="s">
        <v>450</v>
      </c>
    </row>
    <row r="2521" spans="1:5" x14ac:dyDescent="0.25">
      <c r="A2521" s="46">
        <v>149</v>
      </c>
      <c r="B2521" s="143" t="s">
        <v>230</v>
      </c>
      <c r="C2521" s="89" t="s">
        <v>488</v>
      </c>
      <c r="D2521" s="141">
        <v>2E-3</v>
      </c>
      <c r="E2521" s="141" t="s">
        <v>450</v>
      </c>
    </row>
    <row r="2522" spans="1:5" x14ac:dyDescent="0.25">
      <c r="A2522" s="46">
        <v>149</v>
      </c>
      <c r="B2522" s="143" t="s">
        <v>230</v>
      </c>
      <c r="C2522" s="89" t="s">
        <v>467</v>
      </c>
      <c r="D2522" s="141">
        <v>2E-3</v>
      </c>
      <c r="E2522" s="141" t="s">
        <v>448</v>
      </c>
    </row>
    <row r="2523" spans="1:5" x14ac:dyDescent="0.25">
      <c r="A2523" s="46">
        <v>149</v>
      </c>
      <c r="B2523" s="143" t="s">
        <v>230</v>
      </c>
      <c r="C2523" s="89" t="s">
        <v>468</v>
      </c>
      <c r="D2523" s="141">
        <v>2E-3</v>
      </c>
      <c r="E2523" s="141" t="s">
        <v>450</v>
      </c>
    </row>
    <row r="2524" spans="1:5" x14ac:dyDescent="0.25">
      <c r="A2524" s="46">
        <v>149</v>
      </c>
      <c r="B2524" s="143" t="s">
        <v>230</v>
      </c>
      <c r="C2524" s="89" t="s">
        <v>569</v>
      </c>
      <c r="D2524" s="141">
        <v>5.0000000000000001E-3</v>
      </c>
      <c r="E2524" s="141" t="s">
        <v>450</v>
      </c>
    </row>
    <row r="2525" spans="1:5" x14ac:dyDescent="0.25">
      <c r="A2525" s="46">
        <v>149</v>
      </c>
      <c r="B2525" s="143" t="s">
        <v>230</v>
      </c>
      <c r="C2525" s="218" t="s">
        <v>327</v>
      </c>
      <c r="D2525" s="141">
        <v>0.04</v>
      </c>
      <c r="E2525" s="141" t="s">
        <v>450</v>
      </c>
    </row>
    <row r="2526" spans="1:5" x14ac:dyDescent="0.25">
      <c r="A2526" s="46">
        <v>188</v>
      </c>
      <c r="B2526" s="143" t="s">
        <v>253</v>
      </c>
      <c r="C2526" s="146" t="s">
        <v>854</v>
      </c>
      <c r="D2526" s="148">
        <v>0.1</v>
      </c>
      <c r="E2526" s="145" t="s">
        <v>450</v>
      </c>
    </row>
    <row r="2527" spans="1:5" x14ac:dyDescent="0.25">
      <c r="A2527" s="46">
        <v>188</v>
      </c>
      <c r="B2527" s="143" t="s">
        <v>253</v>
      </c>
      <c r="C2527" s="146" t="s">
        <v>855</v>
      </c>
      <c r="D2527" s="148">
        <v>0.1</v>
      </c>
      <c r="E2527" s="145" t="s">
        <v>450</v>
      </c>
    </row>
    <row r="2528" spans="1:5" x14ac:dyDescent="0.25">
      <c r="A2528" s="46">
        <v>188</v>
      </c>
      <c r="B2528" s="143" t="s">
        <v>253</v>
      </c>
      <c r="C2528" s="146" t="s">
        <v>856</v>
      </c>
      <c r="D2528" s="148">
        <v>0.1</v>
      </c>
      <c r="E2528" s="145" t="s">
        <v>458</v>
      </c>
    </row>
    <row r="2529" spans="1:5" x14ac:dyDescent="0.25">
      <c r="A2529" s="46">
        <v>188</v>
      </c>
      <c r="B2529" s="143" t="s">
        <v>253</v>
      </c>
      <c r="C2529" s="146" t="s">
        <v>857</v>
      </c>
      <c r="D2529" s="148">
        <v>3.0000000000000001E-3</v>
      </c>
      <c r="E2529" s="145" t="s">
        <v>458</v>
      </c>
    </row>
    <row r="2530" spans="1:5" x14ac:dyDescent="0.25">
      <c r="A2530" s="46">
        <v>188</v>
      </c>
      <c r="B2530" s="143" t="s">
        <v>253</v>
      </c>
      <c r="C2530" s="146" t="s">
        <v>858</v>
      </c>
      <c r="D2530" s="148">
        <v>0.02</v>
      </c>
      <c r="E2530" s="145" t="s">
        <v>450</v>
      </c>
    </row>
    <row r="2531" spans="1:5" x14ac:dyDescent="0.25">
      <c r="A2531" s="46">
        <v>2</v>
      </c>
      <c r="B2531" s="143" t="s">
        <v>148</v>
      </c>
      <c r="C2531" s="143" t="s">
        <v>472</v>
      </c>
      <c r="D2531" s="144">
        <v>0.08</v>
      </c>
      <c r="E2531" s="142" t="s">
        <v>450</v>
      </c>
    </row>
    <row r="2532" spans="1:5" x14ac:dyDescent="0.25">
      <c r="A2532" s="46">
        <v>2</v>
      </c>
      <c r="B2532" s="143" t="s">
        <v>148</v>
      </c>
      <c r="C2532" s="143" t="s">
        <v>652</v>
      </c>
      <c r="D2532" s="144">
        <v>2.5000000000000001E-2</v>
      </c>
      <c r="E2532" s="142" t="s">
        <v>448</v>
      </c>
    </row>
    <row r="2533" spans="1:5" x14ac:dyDescent="0.25">
      <c r="A2533" s="46">
        <v>2</v>
      </c>
      <c r="B2533" s="143" t="s">
        <v>148</v>
      </c>
      <c r="C2533" s="143" t="s">
        <v>705</v>
      </c>
      <c r="D2533" s="144">
        <v>1E-3</v>
      </c>
      <c r="E2533" s="142" t="s">
        <v>458</v>
      </c>
    </row>
    <row r="2534" spans="1:5" x14ac:dyDescent="0.25">
      <c r="A2534" s="46">
        <v>2</v>
      </c>
      <c r="B2534" s="143" t="s">
        <v>148</v>
      </c>
      <c r="C2534" s="143" t="s">
        <v>625</v>
      </c>
      <c r="D2534" s="144">
        <v>5.5E-2</v>
      </c>
      <c r="E2534" s="142" t="s">
        <v>458</v>
      </c>
    </row>
    <row r="2535" spans="1:5" x14ac:dyDescent="0.25">
      <c r="A2535" s="46">
        <v>2</v>
      </c>
      <c r="B2535" s="143" t="s">
        <v>148</v>
      </c>
      <c r="C2535" s="172" t="s">
        <v>488</v>
      </c>
      <c r="D2535" s="144">
        <v>0.01</v>
      </c>
      <c r="E2535" s="142" t="s">
        <v>450</v>
      </c>
    </row>
    <row r="2536" spans="1:5" x14ac:dyDescent="0.25">
      <c r="A2536" s="46">
        <v>2</v>
      </c>
      <c r="B2536" s="143" t="s">
        <v>148</v>
      </c>
      <c r="C2536" s="143" t="s">
        <v>487</v>
      </c>
      <c r="D2536" s="170" t="s">
        <v>706</v>
      </c>
      <c r="E2536" s="142" t="s">
        <v>450</v>
      </c>
    </row>
    <row r="2537" spans="1:5" x14ac:dyDescent="0.25">
      <c r="A2537" s="46">
        <v>2</v>
      </c>
      <c r="B2537" s="143" t="s">
        <v>148</v>
      </c>
      <c r="C2537" s="143" t="s">
        <v>707</v>
      </c>
      <c r="D2537" s="144">
        <v>0.01</v>
      </c>
      <c r="E2537" s="142" t="s">
        <v>450</v>
      </c>
    </row>
    <row r="2538" spans="1:5" x14ac:dyDescent="0.25">
      <c r="A2538" s="46">
        <v>2</v>
      </c>
      <c r="B2538" s="143" t="s">
        <v>148</v>
      </c>
      <c r="C2538" s="143" t="s">
        <v>708</v>
      </c>
      <c r="D2538" s="144">
        <v>0.05</v>
      </c>
      <c r="E2538" s="142" t="s">
        <v>450</v>
      </c>
    </row>
    <row r="2539" spans="1:5" x14ac:dyDescent="0.25">
      <c r="A2539" s="46">
        <v>2</v>
      </c>
      <c r="B2539" s="143" t="s">
        <v>148</v>
      </c>
      <c r="C2539" s="143" t="s">
        <v>709</v>
      </c>
      <c r="D2539" s="144">
        <v>4.4999999999999998E-2</v>
      </c>
      <c r="E2539" s="142" t="s">
        <v>450</v>
      </c>
    </row>
    <row r="2540" spans="1:5" x14ac:dyDescent="0.25">
      <c r="A2540" s="46">
        <v>2</v>
      </c>
      <c r="B2540" s="143" t="s">
        <v>148</v>
      </c>
      <c r="C2540" s="143" t="s">
        <v>613</v>
      </c>
      <c r="D2540" s="144">
        <v>3.0000000000000001E-3</v>
      </c>
      <c r="E2540" s="142" t="s">
        <v>450</v>
      </c>
    </row>
    <row r="2541" spans="1:5" x14ac:dyDescent="0.25">
      <c r="A2541" s="46">
        <v>2</v>
      </c>
      <c r="B2541" s="143" t="s">
        <v>148</v>
      </c>
      <c r="C2541" s="143" t="s">
        <v>467</v>
      </c>
      <c r="D2541" s="144">
        <v>3.0000000000000001E-3</v>
      </c>
      <c r="E2541" s="142" t="s">
        <v>448</v>
      </c>
    </row>
    <row r="2542" spans="1:5" x14ac:dyDescent="0.25">
      <c r="A2542" s="46">
        <v>2</v>
      </c>
      <c r="B2542" s="143" t="s">
        <v>148</v>
      </c>
      <c r="C2542" s="143" t="s">
        <v>519</v>
      </c>
      <c r="D2542" s="144">
        <v>0.03</v>
      </c>
      <c r="E2542" s="142" t="s">
        <v>450</v>
      </c>
    </row>
    <row r="2543" spans="1:5" x14ac:dyDescent="0.25">
      <c r="A2543" s="46">
        <v>156</v>
      </c>
      <c r="B2543" s="143" t="s">
        <v>237</v>
      </c>
      <c r="C2543" s="89" t="s">
        <v>808</v>
      </c>
      <c r="D2543" s="144">
        <v>2.5000000000000001E-2</v>
      </c>
      <c r="E2543" s="142" t="s">
        <v>450</v>
      </c>
    </row>
    <row r="2544" spans="1:5" x14ac:dyDescent="0.25">
      <c r="A2544" s="46">
        <v>156</v>
      </c>
      <c r="B2544" s="143" t="s">
        <v>237</v>
      </c>
      <c r="C2544" s="143" t="s">
        <v>809</v>
      </c>
      <c r="D2544" s="144">
        <v>5.0000000000000001E-3</v>
      </c>
      <c r="E2544" s="142" t="s">
        <v>450</v>
      </c>
    </row>
    <row r="2545" spans="1:5" x14ac:dyDescent="0.25">
      <c r="A2545" s="46">
        <v>156</v>
      </c>
      <c r="B2545" s="143" t="s">
        <v>237</v>
      </c>
      <c r="C2545" s="143" t="s">
        <v>559</v>
      </c>
      <c r="D2545" s="144">
        <v>1</v>
      </c>
      <c r="E2545" s="145" t="s">
        <v>749</v>
      </c>
    </row>
    <row r="2546" spans="1:5" x14ac:dyDescent="0.25">
      <c r="A2546" s="46">
        <v>156</v>
      </c>
      <c r="B2546" s="143" t="s">
        <v>237</v>
      </c>
      <c r="C2546" s="143" t="s">
        <v>810</v>
      </c>
      <c r="D2546" s="144">
        <v>8.9999999999999993E-3</v>
      </c>
      <c r="E2546" s="142" t="s">
        <v>450</v>
      </c>
    </row>
    <row r="2547" spans="1:5" x14ac:dyDescent="0.25">
      <c r="A2547" s="46">
        <v>156</v>
      </c>
      <c r="B2547" s="143" t="s">
        <v>237</v>
      </c>
      <c r="C2547" s="143" t="s">
        <v>488</v>
      </c>
      <c r="D2547" s="144">
        <v>2E-3</v>
      </c>
      <c r="E2547" s="142" t="s">
        <v>450</v>
      </c>
    </row>
    <row r="2548" spans="1:5" x14ac:dyDescent="0.25">
      <c r="A2548" s="46">
        <v>156</v>
      </c>
      <c r="B2548" s="143" t="s">
        <v>237</v>
      </c>
      <c r="C2548" s="143" t="s">
        <v>467</v>
      </c>
      <c r="D2548" s="144">
        <v>2E-3</v>
      </c>
      <c r="E2548" s="142" t="s">
        <v>448</v>
      </c>
    </row>
    <row r="2549" spans="1:5" x14ac:dyDescent="0.25">
      <c r="A2549" s="46">
        <v>156</v>
      </c>
      <c r="B2549" s="143" t="s">
        <v>237</v>
      </c>
      <c r="C2549" s="143" t="s">
        <v>487</v>
      </c>
      <c r="D2549" s="144">
        <v>1E-3</v>
      </c>
      <c r="E2549" s="142" t="s">
        <v>450</v>
      </c>
    </row>
    <row r="2550" spans="1:5" x14ac:dyDescent="0.25">
      <c r="A2550" s="46">
        <v>9</v>
      </c>
      <c r="B2550" s="143" t="s">
        <v>155</v>
      </c>
      <c r="C2550" s="143" t="s">
        <v>517</v>
      </c>
      <c r="D2550" s="144">
        <v>0.15</v>
      </c>
      <c r="E2550" s="142" t="s">
        <v>450</v>
      </c>
    </row>
    <row r="2551" spans="1:5" x14ac:dyDescent="0.25">
      <c r="A2551" s="46">
        <v>9</v>
      </c>
      <c r="B2551" s="143" t="s">
        <v>155</v>
      </c>
      <c r="C2551" s="143" t="s">
        <v>573</v>
      </c>
      <c r="D2551" s="144">
        <v>4.0000000000000001E-3</v>
      </c>
      <c r="E2551" s="142" t="s">
        <v>450</v>
      </c>
    </row>
    <row r="2552" spans="1:5" x14ac:dyDescent="0.25">
      <c r="A2552" s="46">
        <v>9</v>
      </c>
      <c r="B2552" s="143" t="s">
        <v>155</v>
      </c>
      <c r="C2552" s="143" t="s">
        <v>520</v>
      </c>
      <c r="D2552" s="144">
        <v>0.05</v>
      </c>
      <c r="E2552" s="142" t="s">
        <v>458</v>
      </c>
    </row>
    <row r="2553" spans="1:5" x14ac:dyDescent="0.25">
      <c r="A2553" s="46">
        <v>9</v>
      </c>
      <c r="B2553" s="143" t="s">
        <v>155</v>
      </c>
      <c r="C2553" s="143" t="s">
        <v>490</v>
      </c>
      <c r="D2553" s="144">
        <v>0.02</v>
      </c>
      <c r="E2553" s="142" t="s">
        <v>458</v>
      </c>
    </row>
    <row r="2554" spans="1:5" x14ac:dyDescent="0.25">
      <c r="A2554" s="46">
        <v>9</v>
      </c>
      <c r="B2554" s="143" t="s">
        <v>155</v>
      </c>
      <c r="C2554" s="143" t="s">
        <v>488</v>
      </c>
      <c r="D2554" s="144">
        <v>2E-3</v>
      </c>
      <c r="E2554" s="142" t="s">
        <v>450</v>
      </c>
    </row>
    <row r="2555" spans="1:5" x14ac:dyDescent="0.25">
      <c r="A2555" s="46">
        <v>9</v>
      </c>
      <c r="B2555" s="143" t="s">
        <v>155</v>
      </c>
      <c r="C2555" s="143" t="s">
        <v>487</v>
      </c>
      <c r="D2555" s="170">
        <v>5.0000000000000001E-4</v>
      </c>
      <c r="E2555" s="142" t="s">
        <v>450</v>
      </c>
    </row>
    <row r="2556" spans="1:5" x14ac:dyDescent="0.25">
      <c r="A2556" s="46">
        <v>9</v>
      </c>
      <c r="B2556" s="143" t="s">
        <v>155</v>
      </c>
      <c r="C2556" s="143" t="s">
        <v>467</v>
      </c>
      <c r="D2556" s="144">
        <v>3.0000000000000001E-3</v>
      </c>
      <c r="E2556" s="142" t="s">
        <v>448</v>
      </c>
    </row>
    <row r="2557" spans="1:5" x14ac:dyDescent="0.25">
      <c r="A2557" s="46">
        <v>18</v>
      </c>
      <c r="B2557" s="143" t="s">
        <v>164</v>
      </c>
      <c r="C2557" s="152" t="s">
        <v>512</v>
      </c>
      <c r="D2557" s="184">
        <v>1.2E-2</v>
      </c>
      <c r="E2557" s="155" t="s">
        <v>450</v>
      </c>
    </row>
    <row r="2558" spans="1:5" x14ac:dyDescent="0.25">
      <c r="A2558" s="46">
        <v>18</v>
      </c>
      <c r="B2558" s="143" t="s">
        <v>164</v>
      </c>
      <c r="C2558" s="152" t="s">
        <v>511</v>
      </c>
      <c r="D2558" s="184">
        <v>1.2E-2</v>
      </c>
      <c r="E2558" s="155" t="s">
        <v>450</v>
      </c>
    </row>
    <row r="2559" spans="1:5" x14ac:dyDescent="0.25">
      <c r="A2559" s="46">
        <v>18</v>
      </c>
      <c r="B2559" s="143" t="s">
        <v>164</v>
      </c>
      <c r="C2559" s="90" t="s">
        <v>581</v>
      </c>
      <c r="D2559" s="154">
        <v>1.2E-2</v>
      </c>
      <c r="E2559" s="155" t="s">
        <v>450</v>
      </c>
    </row>
    <row r="2560" spans="1:5" x14ac:dyDescent="0.25">
      <c r="A2560" s="46">
        <v>18</v>
      </c>
      <c r="B2560" s="143" t="s">
        <v>164</v>
      </c>
      <c r="C2560" s="143" t="s">
        <v>582</v>
      </c>
      <c r="D2560" s="144">
        <v>0.1</v>
      </c>
      <c r="E2560" s="142" t="s">
        <v>450</v>
      </c>
    </row>
    <row r="2561" spans="1:5" x14ac:dyDescent="0.25">
      <c r="A2561" s="46">
        <v>18</v>
      </c>
      <c r="B2561" s="143" t="s">
        <v>164</v>
      </c>
      <c r="C2561" s="143" t="s">
        <v>572</v>
      </c>
      <c r="D2561" s="144">
        <v>5.0000000000000001E-3</v>
      </c>
      <c r="E2561" s="142" t="s">
        <v>458</v>
      </c>
    </row>
    <row r="2562" spans="1:5" x14ac:dyDescent="0.25">
      <c r="A2562" s="46">
        <v>18</v>
      </c>
      <c r="B2562" s="143" t="s">
        <v>164</v>
      </c>
      <c r="C2562" s="143" t="s">
        <v>479</v>
      </c>
      <c r="D2562" s="144">
        <v>2E-3</v>
      </c>
      <c r="E2562" s="142" t="s">
        <v>458</v>
      </c>
    </row>
    <row r="2563" spans="1:5" x14ac:dyDescent="0.25">
      <c r="A2563" s="46">
        <v>18</v>
      </c>
      <c r="B2563" s="143" t="s">
        <v>164</v>
      </c>
      <c r="C2563" s="143" t="s">
        <v>583</v>
      </c>
      <c r="D2563" s="144">
        <v>2E-3</v>
      </c>
      <c r="E2563" s="142" t="s">
        <v>450</v>
      </c>
    </row>
    <row r="2564" spans="1:5" x14ac:dyDescent="0.25">
      <c r="A2564" s="46">
        <v>18</v>
      </c>
      <c r="B2564" s="143" t="s">
        <v>164</v>
      </c>
      <c r="C2564" s="143" t="s">
        <v>584</v>
      </c>
      <c r="D2564" s="144">
        <v>0.02</v>
      </c>
      <c r="E2564" s="142" t="s">
        <v>450</v>
      </c>
    </row>
    <row r="2565" spans="1:5" x14ac:dyDescent="0.25">
      <c r="A2565" s="46">
        <v>18</v>
      </c>
      <c r="B2565" s="143" t="s">
        <v>164</v>
      </c>
      <c r="C2565" s="143" t="s">
        <v>459</v>
      </c>
      <c r="D2565" s="144">
        <v>5.0000000000000001E-3</v>
      </c>
      <c r="E2565" s="142" t="s">
        <v>448</v>
      </c>
    </row>
    <row r="2566" spans="1:5" x14ac:dyDescent="0.25">
      <c r="A2566" s="46">
        <v>18</v>
      </c>
      <c r="B2566" s="143" t="s">
        <v>164</v>
      </c>
      <c r="C2566" s="143" t="s">
        <v>487</v>
      </c>
      <c r="D2566" s="144">
        <v>1E-3</v>
      </c>
      <c r="E2566" s="142" t="s">
        <v>458</v>
      </c>
    </row>
    <row r="2567" spans="1:5" x14ac:dyDescent="0.25">
      <c r="A2567" s="46">
        <v>18</v>
      </c>
      <c r="B2567" s="143" t="s">
        <v>164</v>
      </c>
      <c r="C2567" s="143" t="s">
        <v>467</v>
      </c>
      <c r="D2567" s="144">
        <v>2E-3</v>
      </c>
      <c r="E2567" s="142" t="s">
        <v>448</v>
      </c>
    </row>
    <row r="2568" spans="1:5" x14ac:dyDescent="0.25">
      <c r="A2568" s="46">
        <v>18</v>
      </c>
      <c r="B2568" s="143" t="s">
        <v>164</v>
      </c>
      <c r="C2568" s="143" t="s">
        <v>488</v>
      </c>
      <c r="D2568" s="144">
        <v>2E-3</v>
      </c>
      <c r="E2568" s="142" t="s">
        <v>450</v>
      </c>
    </row>
    <row r="2569" spans="1:5" x14ac:dyDescent="0.25">
      <c r="A2569" s="46">
        <v>112</v>
      </c>
      <c r="B2569" s="143" t="s">
        <v>106</v>
      </c>
      <c r="C2569" s="143" t="s">
        <v>456</v>
      </c>
      <c r="D2569" s="141">
        <v>2.5000000000000001E-2</v>
      </c>
      <c r="E2569" s="141" t="s">
        <v>450</v>
      </c>
    </row>
    <row r="2570" spans="1:5" x14ac:dyDescent="0.25">
      <c r="A2570" s="46">
        <v>112</v>
      </c>
      <c r="B2570" s="143" t="s">
        <v>106</v>
      </c>
      <c r="C2570" s="89" t="s">
        <v>700</v>
      </c>
      <c r="D2570" s="141">
        <v>2.5000000000000001E-2</v>
      </c>
      <c r="E2570" s="141" t="s">
        <v>450</v>
      </c>
    </row>
    <row r="2571" spans="1:5" x14ac:dyDescent="0.25">
      <c r="A2571" s="46">
        <v>112</v>
      </c>
      <c r="B2571" s="143" t="s">
        <v>106</v>
      </c>
      <c r="C2571" s="89" t="s">
        <v>522</v>
      </c>
      <c r="D2571" s="141">
        <v>2.5000000000000001E-2</v>
      </c>
      <c r="E2571" s="141" t="s">
        <v>450</v>
      </c>
    </row>
    <row r="2572" spans="1:5" x14ac:dyDescent="0.25">
      <c r="A2572" s="46">
        <v>112</v>
      </c>
      <c r="B2572" s="143" t="s">
        <v>106</v>
      </c>
      <c r="C2572" s="89" t="s">
        <v>736</v>
      </c>
      <c r="D2572" s="141">
        <v>2.5000000000000001E-2</v>
      </c>
      <c r="E2572" s="141" t="s">
        <v>450</v>
      </c>
    </row>
    <row r="2573" spans="1:5" x14ac:dyDescent="0.25">
      <c r="A2573" s="46">
        <v>112</v>
      </c>
      <c r="B2573" s="143" t="s">
        <v>106</v>
      </c>
      <c r="C2573" s="89" t="s">
        <v>660</v>
      </c>
      <c r="D2573" s="141">
        <v>2.5000000000000001E-2</v>
      </c>
      <c r="E2573" s="141" t="s">
        <v>450</v>
      </c>
    </row>
    <row r="2574" spans="1:5" x14ac:dyDescent="0.25">
      <c r="A2574" s="46">
        <v>112</v>
      </c>
      <c r="B2574" s="143" t="s">
        <v>106</v>
      </c>
      <c r="C2574" s="89" t="s">
        <v>738</v>
      </c>
      <c r="D2574" s="141">
        <v>1.4999999999999999E-2</v>
      </c>
      <c r="E2574" s="141" t="s">
        <v>458</v>
      </c>
    </row>
    <row r="2575" spans="1:5" x14ac:dyDescent="0.25">
      <c r="A2575" s="46">
        <v>112</v>
      </c>
      <c r="B2575" s="143" t="s">
        <v>106</v>
      </c>
      <c r="C2575" s="143" t="s">
        <v>124</v>
      </c>
      <c r="D2575" s="141">
        <v>0.08</v>
      </c>
      <c r="E2575" s="141" t="s">
        <v>458</v>
      </c>
    </row>
    <row r="2576" spans="1:5" x14ac:dyDescent="0.25">
      <c r="A2576" s="46">
        <v>152</v>
      </c>
      <c r="B2576" s="143" t="s">
        <v>233</v>
      </c>
      <c r="C2576" s="152" t="s">
        <v>664</v>
      </c>
      <c r="D2576" s="144">
        <v>0.2</v>
      </c>
      <c r="E2576" s="142" t="s">
        <v>450</v>
      </c>
    </row>
    <row r="2577" spans="1:5" x14ac:dyDescent="0.25">
      <c r="A2577" s="46">
        <v>152</v>
      </c>
      <c r="B2577" s="143" t="s">
        <v>233</v>
      </c>
      <c r="C2577" s="143" t="s">
        <v>490</v>
      </c>
      <c r="D2577" s="144">
        <v>2.5000000000000001E-2</v>
      </c>
      <c r="E2577" s="142" t="s">
        <v>450</v>
      </c>
    </row>
    <row r="2578" spans="1:5" x14ac:dyDescent="0.25">
      <c r="A2578" s="46">
        <v>152</v>
      </c>
      <c r="B2578" s="143" t="s">
        <v>233</v>
      </c>
      <c r="C2578" s="89" t="s">
        <v>629</v>
      </c>
      <c r="D2578" s="144">
        <v>1E-3</v>
      </c>
      <c r="E2578" s="142" t="s">
        <v>450</v>
      </c>
    </row>
    <row r="2579" spans="1:5" x14ac:dyDescent="0.25">
      <c r="A2579" s="46">
        <v>152</v>
      </c>
      <c r="B2579" s="143" t="s">
        <v>233</v>
      </c>
      <c r="C2579" s="143" t="s">
        <v>488</v>
      </c>
      <c r="D2579" s="144">
        <v>3.0000000000000001E-3</v>
      </c>
      <c r="E2579" s="142" t="s">
        <v>450</v>
      </c>
    </row>
    <row r="2580" spans="1:5" x14ac:dyDescent="0.25">
      <c r="A2580" s="46">
        <v>152</v>
      </c>
      <c r="B2580" s="143" t="s">
        <v>233</v>
      </c>
      <c r="C2580" s="143" t="s">
        <v>487</v>
      </c>
      <c r="D2580" s="144">
        <v>1E-3</v>
      </c>
      <c r="E2580" s="142" t="s">
        <v>450</v>
      </c>
    </row>
    <row r="2581" spans="1:5" x14ac:dyDescent="0.25">
      <c r="A2581" s="46">
        <v>152</v>
      </c>
      <c r="B2581" s="143" t="s">
        <v>233</v>
      </c>
      <c r="C2581" s="143" t="s">
        <v>467</v>
      </c>
      <c r="D2581" s="144">
        <v>3.0000000000000001E-3</v>
      </c>
      <c r="E2581" s="142" t="s">
        <v>450</v>
      </c>
    </row>
    <row r="2582" spans="1:5" x14ac:dyDescent="0.25">
      <c r="A2582" s="46">
        <v>152</v>
      </c>
      <c r="B2582" s="143" t="s">
        <v>233</v>
      </c>
      <c r="C2582" s="143" t="s">
        <v>587</v>
      </c>
      <c r="D2582" s="144">
        <v>2E-3</v>
      </c>
      <c r="E2582" s="142" t="s">
        <v>450</v>
      </c>
    </row>
    <row r="2583" spans="1:5" x14ac:dyDescent="0.25">
      <c r="A2583" s="46">
        <v>152</v>
      </c>
      <c r="B2583" s="143" t="s">
        <v>233</v>
      </c>
      <c r="C2583" s="172" t="s">
        <v>519</v>
      </c>
      <c r="D2583" s="144">
        <v>0.05</v>
      </c>
      <c r="E2583" s="142" t="s">
        <v>450</v>
      </c>
    </row>
    <row r="2584" spans="1:5" x14ac:dyDescent="0.25">
      <c r="A2584" s="46">
        <v>152</v>
      </c>
      <c r="B2584" s="143" t="s">
        <v>233</v>
      </c>
      <c r="C2584" s="143" t="s">
        <v>614</v>
      </c>
      <c r="D2584" s="144">
        <v>3.0000000000000001E-3</v>
      </c>
      <c r="E2584" s="142" t="s">
        <v>450</v>
      </c>
    </row>
    <row r="2585" spans="1:5" x14ac:dyDescent="0.25">
      <c r="A2585" s="46">
        <v>152</v>
      </c>
      <c r="B2585" s="143" t="s">
        <v>233</v>
      </c>
      <c r="C2585" s="143" t="s">
        <v>449</v>
      </c>
      <c r="D2585" s="144">
        <v>3.0000000000000001E-3</v>
      </c>
      <c r="E2585" s="142" t="s">
        <v>450</v>
      </c>
    </row>
    <row r="2586" spans="1:5" x14ac:dyDescent="0.25">
      <c r="A2586" s="46">
        <v>164</v>
      </c>
      <c r="B2586" s="143" t="s">
        <v>240</v>
      </c>
      <c r="C2586" s="89" t="s">
        <v>701</v>
      </c>
      <c r="D2586" s="141">
        <v>0.02</v>
      </c>
      <c r="E2586" s="141" t="s">
        <v>450</v>
      </c>
    </row>
    <row r="2587" spans="1:5" x14ac:dyDescent="0.25">
      <c r="A2587" s="46">
        <v>164</v>
      </c>
      <c r="B2587" s="143" t="s">
        <v>240</v>
      </c>
      <c r="C2587" s="218" t="s">
        <v>490</v>
      </c>
      <c r="D2587" s="141">
        <v>1.7999999999999999E-2</v>
      </c>
      <c r="E2587" s="141" t="s">
        <v>450</v>
      </c>
    </row>
    <row r="2588" spans="1:5" x14ac:dyDescent="0.25">
      <c r="A2588" s="46">
        <v>164</v>
      </c>
      <c r="B2588" s="143" t="s">
        <v>240</v>
      </c>
      <c r="C2588" s="89" t="s">
        <v>327</v>
      </c>
      <c r="D2588" s="141">
        <v>0.03</v>
      </c>
      <c r="E2588" s="141" t="s">
        <v>458</v>
      </c>
    </row>
    <row r="2589" spans="1:5" x14ac:dyDescent="0.25">
      <c r="A2589" s="46">
        <v>164</v>
      </c>
      <c r="B2589" s="143" t="s">
        <v>240</v>
      </c>
      <c r="C2589" s="152" t="s">
        <v>503</v>
      </c>
      <c r="D2589" s="141">
        <v>1E-3</v>
      </c>
      <c r="E2589" s="141" t="s">
        <v>458</v>
      </c>
    </row>
    <row r="2590" spans="1:5" x14ac:dyDescent="0.25">
      <c r="A2590" s="46">
        <v>164</v>
      </c>
      <c r="B2590" s="143" t="s">
        <v>240</v>
      </c>
      <c r="C2590" s="89" t="s">
        <v>520</v>
      </c>
      <c r="D2590" s="141">
        <v>0.05</v>
      </c>
      <c r="E2590" s="141" t="s">
        <v>450</v>
      </c>
    </row>
    <row r="2591" spans="1:5" x14ac:dyDescent="0.25">
      <c r="A2591" s="46">
        <v>164</v>
      </c>
      <c r="B2591" s="143" t="s">
        <v>240</v>
      </c>
      <c r="C2591" s="89" t="s">
        <v>488</v>
      </c>
      <c r="D2591" s="141">
        <v>2E-3</v>
      </c>
      <c r="E2591" s="141" t="s">
        <v>450</v>
      </c>
    </row>
    <row r="2592" spans="1:5" x14ac:dyDescent="0.25">
      <c r="A2592" s="46">
        <v>164</v>
      </c>
      <c r="B2592" s="143" t="s">
        <v>240</v>
      </c>
      <c r="C2592" s="89" t="s">
        <v>467</v>
      </c>
      <c r="D2592" s="141">
        <v>2E-3</v>
      </c>
      <c r="E2592" s="141" t="s">
        <v>448</v>
      </c>
    </row>
    <row r="2593" spans="1:5" x14ac:dyDescent="0.25">
      <c r="A2593" s="46">
        <v>164</v>
      </c>
      <c r="B2593" s="143" t="s">
        <v>240</v>
      </c>
      <c r="C2593" s="218" t="s">
        <v>487</v>
      </c>
      <c r="D2593" s="141">
        <v>1E-3</v>
      </c>
      <c r="E2593" s="141" t="s">
        <v>458</v>
      </c>
    </row>
    <row r="2594" spans="1:5" x14ac:dyDescent="0.25">
      <c r="A2594" s="46">
        <v>164</v>
      </c>
      <c r="B2594" s="143" t="s">
        <v>240</v>
      </c>
      <c r="C2594" s="152" t="s">
        <v>512</v>
      </c>
      <c r="D2594" s="184">
        <v>1.4E-2</v>
      </c>
      <c r="E2594" s="155" t="s">
        <v>450</v>
      </c>
    </row>
    <row r="2595" spans="1:5" x14ac:dyDescent="0.25">
      <c r="A2595" s="46">
        <v>164</v>
      </c>
      <c r="B2595" s="143" t="s">
        <v>240</v>
      </c>
      <c r="C2595" s="152" t="s">
        <v>511</v>
      </c>
      <c r="D2595" s="184">
        <v>1.2E-2</v>
      </c>
      <c r="E2595" s="155" t="s">
        <v>450</v>
      </c>
    </row>
    <row r="2596" spans="1:5" x14ac:dyDescent="0.25">
      <c r="A2596" s="46">
        <v>164</v>
      </c>
      <c r="B2596" s="143" t="s">
        <v>240</v>
      </c>
      <c r="C2596" s="90" t="s">
        <v>581</v>
      </c>
      <c r="D2596" s="154">
        <v>1.2E-2</v>
      </c>
      <c r="E2596" s="155" t="s">
        <v>450</v>
      </c>
    </row>
    <row r="2597" spans="1:5" x14ac:dyDescent="0.25">
      <c r="A2597" s="46">
        <v>116</v>
      </c>
      <c r="B2597" s="143" t="s">
        <v>211</v>
      </c>
      <c r="C2597" s="152" t="s">
        <v>512</v>
      </c>
      <c r="D2597" s="184">
        <v>1.4E-2</v>
      </c>
      <c r="E2597" s="155" t="s">
        <v>450</v>
      </c>
    </row>
    <row r="2598" spans="1:5" x14ac:dyDescent="0.25">
      <c r="A2598" s="46">
        <v>116</v>
      </c>
      <c r="B2598" s="143" t="s">
        <v>211</v>
      </c>
      <c r="C2598" s="152" t="s">
        <v>511</v>
      </c>
      <c r="D2598" s="184">
        <v>1.2E-2</v>
      </c>
      <c r="E2598" s="155" t="s">
        <v>450</v>
      </c>
    </row>
    <row r="2599" spans="1:5" x14ac:dyDescent="0.25">
      <c r="A2599" s="46">
        <v>116</v>
      </c>
      <c r="B2599" s="143" t="s">
        <v>211</v>
      </c>
      <c r="C2599" s="152" t="s">
        <v>510</v>
      </c>
      <c r="D2599" s="154">
        <v>1.2E-2</v>
      </c>
      <c r="E2599" s="155" t="s">
        <v>450</v>
      </c>
    </row>
    <row r="2600" spans="1:5" x14ac:dyDescent="0.25">
      <c r="A2600" s="46">
        <v>116</v>
      </c>
      <c r="B2600" s="143" t="s">
        <v>211</v>
      </c>
      <c r="C2600" s="143" t="s">
        <v>523</v>
      </c>
      <c r="D2600" s="144">
        <v>5.0000000000000001E-3</v>
      </c>
      <c r="E2600" s="142" t="s">
        <v>450</v>
      </c>
    </row>
    <row r="2601" spans="1:5" x14ac:dyDescent="0.25">
      <c r="A2601" s="46">
        <v>116</v>
      </c>
      <c r="B2601" s="143" t="s">
        <v>211</v>
      </c>
      <c r="C2601" s="172" t="s">
        <v>762</v>
      </c>
      <c r="D2601" s="144">
        <v>5.0000000000000001E-3</v>
      </c>
      <c r="E2601" s="142" t="s">
        <v>458</v>
      </c>
    </row>
    <row r="2602" spans="1:5" x14ac:dyDescent="0.25">
      <c r="A2602" s="46">
        <v>116</v>
      </c>
      <c r="B2602" s="143" t="s">
        <v>211</v>
      </c>
      <c r="C2602" s="143" t="s">
        <v>544</v>
      </c>
      <c r="D2602" s="144">
        <v>0.03</v>
      </c>
      <c r="E2602" s="142" t="s">
        <v>458</v>
      </c>
    </row>
    <row r="2603" spans="1:5" x14ac:dyDescent="0.25">
      <c r="A2603" s="46">
        <v>116</v>
      </c>
      <c r="B2603" s="143" t="s">
        <v>211</v>
      </c>
      <c r="C2603" s="143" t="s">
        <v>669</v>
      </c>
      <c r="D2603" s="144">
        <v>7.0000000000000007E-2</v>
      </c>
      <c r="E2603" s="142" t="s">
        <v>450</v>
      </c>
    </row>
    <row r="2604" spans="1:5" x14ac:dyDescent="0.25">
      <c r="A2604" s="46">
        <v>116</v>
      </c>
      <c r="B2604" s="143" t="s">
        <v>211</v>
      </c>
      <c r="C2604" s="143" t="s">
        <v>584</v>
      </c>
      <c r="D2604" s="144">
        <v>0.01</v>
      </c>
      <c r="E2604" s="142" t="s">
        <v>450</v>
      </c>
    </row>
    <row r="2605" spans="1:5" x14ac:dyDescent="0.25">
      <c r="A2605" s="46">
        <v>116</v>
      </c>
      <c r="B2605" s="143" t="s">
        <v>211</v>
      </c>
      <c r="C2605" s="143" t="s">
        <v>699</v>
      </c>
      <c r="D2605" s="144">
        <v>5.0000000000000001E-3</v>
      </c>
      <c r="E2605" s="142" t="s">
        <v>448</v>
      </c>
    </row>
    <row r="2606" spans="1:5" x14ac:dyDescent="0.25">
      <c r="A2606" s="46">
        <v>116</v>
      </c>
      <c r="B2606" s="143" t="s">
        <v>211</v>
      </c>
      <c r="C2606" s="143" t="s">
        <v>763</v>
      </c>
      <c r="D2606" s="144">
        <v>0.01</v>
      </c>
      <c r="E2606" s="142" t="s">
        <v>450</v>
      </c>
    </row>
    <row r="2607" spans="1:5" x14ac:dyDescent="0.25">
      <c r="A2607" s="46">
        <v>116</v>
      </c>
      <c r="B2607" s="143" t="s">
        <v>211</v>
      </c>
      <c r="C2607" s="143" t="s">
        <v>467</v>
      </c>
      <c r="D2607" s="144">
        <v>2E-3</v>
      </c>
      <c r="E2607" s="142" t="s">
        <v>448</v>
      </c>
    </row>
    <row r="2608" spans="1:5" x14ac:dyDescent="0.25">
      <c r="A2608" s="46">
        <v>116</v>
      </c>
      <c r="B2608" s="172" t="s">
        <v>211</v>
      </c>
      <c r="C2608" s="143" t="s">
        <v>488</v>
      </c>
      <c r="D2608" s="144">
        <v>2E-3</v>
      </c>
      <c r="E2608" s="142" t="s">
        <v>450</v>
      </c>
    </row>
    <row r="2609" spans="1:5" x14ac:dyDescent="0.25">
      <c r="A2609" s="46">
        <v>116</v>
      </c>
      <c r="B2609" s="172" t="s">
        <v>211</v>
      </c>
      <c r="C2609" s="143" t="s">
        <v>487</v>
      </c>
      <c r="D2609" s="144">
        <v>1E-3</v>
      </c>
      <c r="E2609" s="142" t="s">
        <v>458</v>
      </c>
    </row>
    <row r="2610" spans="1:5" x14ac:dyDescent="0.25">
      <c r="A2610" s="46">
        <v>196</v>
      </c>
      <c r="B2610" s="172" t="s">
        <v>259</v>
      </c>
      <c r="C2610" s="143" t="s">
        <v>872</v>
      </c>
      <c r="D2610" s="148">
        <v>0.06</v>
      </c>
      <c r="E2610" s="145" t="s">
        <v>450</v>
      </c>
    </row>
    <row r="2611" spans="1:5" x14ac:dyDescent="0.25">
      <c r="A2611" s="46">
        <v>196</v>
      </c>
      <c r="B2611" s="172" t="s">
        <v>259</v>
      </c>
      <c r="C2611" s="143" t="s">
        <v>527</v>
      </c>
      <c r="D2611" s="148">
        <v>0.04</v>
      </c>
      <c r="E2611" s="145" t="s">
        <v>450</v>
      </c>
    </row>
    <row r="2612" spans="1:5" x14ac:dyDescent="0.25">
      <c r="A2612" s="46">
        <v>196</v>
      </c>
      <c r="B2612" s="172" t="s">
        <v>259</v>
      </c>
      <c r="C2612" s="143" t="s">
        <v>461</v>
      </c>
      <c r="D2612" s="148">
        <v>0.03</v>
      </c>
      <c r="E2612" s="145" t="s">
        <v>450</v>
      </c>
    </row>
    <row r="2613" spans="1:5" x14ac:dyDescent="0.25">
      <c r="A2613" s="46">
        <v>196</v>
      </c>
      <c r="B2613" s="172" t="s">
        <v>259</v>
      </c>
      <c r="C2613" s="143" t="s">
        <v>588</v>
      </c>
      <c r="D2613" s="148">
        <v>1E-3</v>
      </c>
      <c r="E2613" s="145" t="s">
        <v>450</v>
      </c>
    </row>
    <row r="2614" spans="1:5" x14ac:dyDescent="0.25">
      <c r="A2614" s="46">
        <v>196</v>
      </c>
      <c r="B2614" s="172" t="s">
        <v>259</v>
      </c>
      <c r="C2614" s="143" t="s">
        <v>478</v>
      </c>
      <c r="D2614" s="148">
        <v>3.0000000000000001E-3</v>
      </c>
      <c r="E2614" s="145" t="s">
        <v>448</v>
      </c>
    </row>
    <row r="2615" spans="1:5" x14ac:dyDescent="0.25">
      <c r="A2615" s="46">
        <v>196</v>
      </c>
      <c r="B2615" s="172" t="s">
        <v>259</v>
      </c>
      <c r="C2615" s="143" t="s">
        <v>470</v>
      </c>
      <c r="D2615" s="148">
        <v>2E-3</v>
      </c>
      <c r="E2615" s="145" t="s">
        <v>450</v>
      </c>
    </row>
    <row r="2616" spans="1:5" x14ac:dyDescent="0.25">
      <c r="A2616" s="46">
        <v>196</v>
      </c>
      <c r="B2616" s="172" t="s">
        <v>259</v>
      </c>
      <c r="C2616" s="143" t="s">
        <v>516</v>
      </c>
      <c r="D2616" s="148">
        <v>5.0000000000000001E-4</v>
      </c>
      <c r="E2616" s="145" t="s">
        <v>450</v>
      </c>
    </row>
    <row r="2617" spans="1:5" x14ac:dyDescent="0.25">
      <c r="A2617" s="46">
        <v>196</v>
      </c>
      <c r="B2617" s="172" t="s">
        <v>259</v>
      </c>
      <c r="C2617" s="143" t="s">
        <v>449</v>
      </c>
      <c r="D2617" s="148">
        <v>0.01</v>
      </c>
      <c r="E2617" s="145" t="s">
        <v>450</v>
      </c>
    </row>
    <row r="2618" spans="1:5" x14ac:dyDescent="0.25">
      <c r="A2618" s="46">
        <v>196</v>
      </c>
      <c r="B2618" s="172" t="s">
        <v>259</v>
      </c>
      <c r="C2618" s="143" t="s">
        <v>476</v>
      </c>
      <c r="D2618" s="148">
        <v>3.0000000000000001E-3</v>
      </c>
      <c r="E2618" s="145" t="s">
        <v>450</v>
      </c>
    </row>
    <row r="2619" spans="1:5" x14ac:dyDescent="0.25">
      <c r="A2619" s="46">
        <v>166</v>
      </c>
      <c r="B2619" s="172" t="s">
        <v>17</v>
      </c>
      <c r="C2619" s="152" t="s">
        <v>512</v>
      </c>
      <c r="D2619" s="184">
        <v>1.4E-2</v>
      </c>
      <c r="E2619" s="155" t="s">
        <v>450</v>
      </c>
    </row>
    <row r="2620" spans="1:5" x14ac:dyDescent="0.25">
      <c r="A2620" s="46">
        <v>166</v>
      </c>
      <c r="B2620" s="172" t="s">
        <v>17</v>
      </c>
      <c r="C2620" s="152" t="s">
        <v>511</v>
      </c>
      <c r="D2620" s="184">
        <v>1.2E-2</v>
      </c>
      <c r="E2620" s="155" t="s">
        <v>450</v>
      </c>
    </row>
    <row r="2621" spans="1:5" x14ac:dyDescent="0.25">
      <c r="A2621" s="46">
        <v>166</v>
      </c>
      <c r="B2621" s="172" t="s">
        <v>17</v>
      </c>
      <c r="C2621" s="220" t="s">
        <v>581</v>
      </c>
      <c r="D2621" s="154">
        <v>1.2E-2</v>
      </c>
      <c r="E2621" s="155" t="s">
        <v>450</v>
      </c>
    </row>
    <row r="2622" spans="1:5" x14ac:dyDescent="0.25">
      <c r="A2622" s="46">
        <v>166</v>
      </c>
      <c r="B2622" s="172" t="s">
        <v>17</v>
      </c>
      <c r="C2622" s="89" t="s">
        <v>820</v>
      </c>
      <c r="D2622" s="141">
        <v>0.08</v>
      </c>
      <c r="E2622" s="141" t="s">
        <v>450</v>
      </c>
    </row>
    <row r="2623" spans="1:5" x14ac:dyDescent="0.25">
      <c r="A2623" s="46">
        <v>166</v>
      </c>
      <c r="B2623" s="172" t="s">
        <v>17</v>
      </c>
      <c r="C2623" s="89" t="s">
        <v>821</v>
      </c>
      <c r="D2623" s="141">
        <v>1.4999999999999999E-2</v>
      </c>
      <c r="E2623" s="141" t="s">
        <v>458</v>
      </c>
    </row>
    <row r="2624" spans="1:5" x14ac:dyDescent="0.25">
      <c r="A2624" s="46">
        <v>166</v>
      </c>
      <c r="B2624" s="172" t="s">
        <v>17</v>
      </c>
      <c r="C2624" s="89" t="s">
        <v>819</v>
      </c>
      <c r="D2624" s="141">
        <v>0.01</v>
      </c>
      <c r="E2624" s="141" t="s">
        <v>458</v>
      </c>
    </row>
    <row r="2625" spans="1:5" x14ac:dyDescent="0.25">
      <c r="A2625" s="46">
        <v>166</v>
      </c>
      <c r="B2625" s="172" t="s">
        <v>17</v>
      </c>
      <c r="C2625" s="89" t="s">
        <v>523</v>
      </c>
      <c r="D2625" s="141">
        <v>0.02</v>
      </c>
      <c r="E2625" s="141" t="s">
        <v>450</v>
      </c>
    </row>
    <row r="2626" spans="1:5" x14ac:dyDescent="0.25">
      <c r="A2626" s="46">
        <v>166</v>
      </c>
      <c r="B2626" s="172" t="s">
        <v>17</v>
      </c>
      <c r="C2626" s="89" t="s">
        <v>488</v>
      </c>
      <c r="D2626" s="141">
        <v>2E-3</v>
      </c>
      <c r="E2626" s="141" t="s">
        <v>450</v>
      </c>
    </row>
    <row r="2627" spans="1:5" x14ac:dyDescent="0.25">
      <c r="A2627" s="46">
        <v>166</v>
      </c>
      <c r="B2627" s="172" t="s">
        <v>17</v>
      </c>
      <c r="C2627" s="89" t="s">
        <v>467</v>
      </c>
      <c r="D2627" s="141">
        <v>2E-3</v>
      </c>
      <c r="E2627" s="141" t="s">
        <v>448</v>
      </c>
    </row>
    <row r="2628" spans="1:5" x14ac:dyDescent="0.25">
      <c r="A2628" s="46">
        <v>166</v>
      </c>
      <c r="B2628" s="172" t="s">
        <v>17</v>
      </c>
      <c r="C2628" s="89" t="s">
        <v>487</v>
      </c>
      <c r="D2628" s="141">
        <v>1E-3</v>
      </c>
      <c r="E2628" s="141" t="s">
        <v>458</v>
      </c>
    </row>
    <row r="2629" spans="1:5" x14ac:dyDescent="0.25">
      <c r="A2629" s="46">
        <v>340</v>
      </c>
      <c r="B2629" s="172" t="s">
        <v>362</v>
      </c>
      <c r="C2629" s="175" t="s">
        <v>1062</v>
      </c>
      <c r="D2629" s="175">
        <v>0.05</v>
      </c>
      <c r="E2629" s="139" t="s">
        <v>450</v>
      </c>
    </row>
    <row r="2630" spans="1:5" x14ac:dyDescent="0.25">
      <c r="A2630" s="46">
        <v>340</v>
      </c>
      <c r="B2630" s="172" t="s">
        <v>362</v>
      </c>
      <c r="C2630" s="175" t="s">
        <v>909</v>
      </c>
      <c r="D2630" s="175">
        <v>1.4999999999999999E-2</v>
      </c>
      <c r="E2630" s="139" t="s">
        <v>450</v>
      </c>
    </row>
    <row r="2631" spans="1:5" x14ac:dyDescent="0.25">
      <c r="A2631" s="46">
        <v>340</v>
      </c>
      <c r="B2631" s="172" t="s">
        <v>362</v>
      </c>
      <c r="C2631" s="175" t="s">
        <v>554</v>
      </c>
      <c r="D2631" s="175">
        <v>2.5000000000000001E-2</v>
      </c>
      <c r="E2631" s="139" t="s">
        <v>450</v>
      </c>
    </row>
    <row r="2632" spans="1:5" x14ac:dyDescent="0.25">
      <c r="A2632" s="46">
        <v>340</v>
      </c>
      <c r="B2632" s="172" t="s">
        <v>362</v>
      </c>
      <c r="C2632" s="175" t="s">
        <v>525</v>
      </c>
      <c r="D2632" s="175">
        <v>0.01</v>
      </c>
      <c r="E2632" s="139" t="s">
        <v>450</v>
      </c>
    </row>
    <row r="2633" spans="1:5" x14ac:dyDescent="0.25">
      <c r="A2633" s="46">
        <v>340</v>
      </c>
      <c r="B2633" s="172" t="s">
        <v>362</v>
      </c>
      <c r="C2633" s="175" t="s">
        <v>1063</v>
      </c>
      <c r="D2633" s="175">
        <v>8.9999999999999998E-4</v>
      </c>
      <c r="E2633" s="139" t="s">
        <v>450</v>
      </c>
    </row>
    <row r="2634" spans="1:5" x14ac:dyDescent="0.25">
      <c r="A2634" s="46">
        <v>340</v>
      </c>
      <c r="B2634" s="172" t="s">
        <v>362</v>
      </c>
      <c r="C2634" s="175" t="s">
        <v>1064</v>
      </c>
      <c r="D2634" s="175">
        <v>4.0000000000000002E-4</v>
      </c>
      <c r="E2634" s="139" t="s">
        <v>450</v>
      </c>
    </row>
    <row r="2635" spans="1:5" x14ac:dyDescent="0.25">
      <c r="A2635" s="46">
        <v>340</v>
      </c>
      <c r="B2635" s="172" t="s">
        <v>362</v>
      </c>
      <c r="C2635" s="175" t="s">
        <v>557</v>
      </c>
      <c r="D2635" s="175">
        <v>0.02</v>
      </c>
      <c r="E2635" s="139" t="s">
        <v>450</v>
      </c>
    </row>
    <row r="2636" spans="1:5" x14ac:dyDescent="0.25">
      <c r="A2636" s="46">
        <v>340</v>
      </c>
      <c r="B2636" s="172" t="s">
        <v>362</v>
      </c>
      <c r="C2636" s="175" t="s">
        <v>965</v>
      </c>
      <c r="D2636" s="175">
        <v>0.02</v>
      </c>
      <c r="E2636" s="139" t="s">
        <v>450</v>
      </c>
    </row>
    <row r="2637" spans="1:5" x14ac:dyDescent="0.25">
      <c r="A2637" s="46">
        <v>340</v>
      </c>
      <c r="B2637" s="172" t="s">
        <v>362</v>
      </c>
      <c r="C2637" s="175" t="s">
        <v>552</v>
      </c>
      <c r="D2637" s="175">
        <v>3.0000000000000001E-3</v>
      </c>
      <c r="E2637" s="139" t="s">
        <v>450</v>
      </c>
    </row>
    <row r="2638" spans="1:5" x14ac:dyDescent="0.25">
      <c r="A2638" s="46">
        <v>340</v>
      </c>
      <c r="B2638" s="172" t="s">
        <v>362</v>
      </c>
      <c r="C2638" s="175" t="s">
        <v>488</v>
      </c>
      <c r="D2638" s="175">
        <v>1E-3</v>
      </c>
      <c r="E2638" s="139" t="s">
        <v>450</v>
      </c>
    </row>
    <row r="2639" spans="1:5" x14ac:dyDescent="0.25">
      <c r="A2639" s="46">
        <v>340</v>
      </c>
      <c r="B2639" s="172" t="s">
        <v>362</v>
      </c>
      <c r="C2639" s="175" t="s">
        <v>516</v>
      </c>
      <c r="D2639" s="175">
        <v>1E-4</v>
      </c>
      <c r="E2639" s="139" t="s">
        <v>450</v>
      </c>
    </row>
    <row r="2640" spans="1:5" x14ac:dyDescent="0.25">
      <c r="A2640" s="46">
        <v>6</v>
      </c>
      <c r="B2640" s="172" t="s">
        <v>152</v>
      </c>
      <c r="C2640" s="90" t="s">
        <v>676</v>
      </c>
      <c r="D2640" s="154">
        <v>2.5000000000000001E-2</v>
      </c>
      <c r="E2640" s="155" t="s">
        <v>450</v>
      </c>
    </row>
    <row r="2641" spans="1:5" x14ac:dyDescent="0.25">
      <c r="A2641" s="46">
        <v>6</v>
      </c>
      <c r="B2641" s="172" t="s">
        <v>152</v>
      </c>
      <c r="C2641" s="90" t="s">
        <v>677</v>
      </c>
      <c r="D2641" s="154">
        <v>1.4999999999999999E-2</v>
      </c>
      <c r="E2641" s="155" t="s">
        <v>450</v>
      </c>
    </row>
    <row r="2642" spans="1:5" x14ac:dyDescent="0.25">
      <c r="A2642" s="46">
        <v>6</v>
      </c>
      <c r="B2642" s="172" t="s">
        <v>152</v>
      </c>
      <c r="C2642" s="90" t="s">
        <v>656</v>
      </c>
      <c r="D2642" s="154">
        <v>2.5000000000000001E-2</v>
      </c>
      <c r="E2642" s="155" t="s">
        <v>458</v>
      </c>
    </row>
    <row r="2643" spans="1:5" x14ac:dyDescent="0.25">
      <c r="A2643" s="46">
        <v>6</v>
      </c>
      <c r="B2643" s="172" t="s">
        <v>152</v>
      </c>
      <c r="C2643" s="90" t="s">
        <v>597</v>
      </c>
      <c r="D2643" s="154">
        <v>1.7000000000000001E-2</v>
      </c>
      <c r="E2643" s="155" t="s">
        <v>458</v>
      </c>
    </row>
    <row r="2644" spans="1:5" x14ac:dyDescent="0.25">
      <c r="A2644" s="46">
        <v>6</v>
      </c>
      <c r="B2644" s="172" t="s">
        <v>152</v>
      </c>
      <c r="C2644" s="90" t="s">
        <v>488</v>
      </c>
      <c r="D2644" s="154">
        <v>0.01</v>
      </c>
      <c r="E2644" s="155" t="s">
        <v>450</v>
      </c>
    </row>
    <row r="2645" spans="1:5" x14ac:dyDescent="0.25">
      <c r="A2645" s="46">
        <v>6</v>
      </c>
      <c r="B2645" s="172" t="s">
        <v>152</v>
      </c>
      <c r="C2645" s="143" t="s">
        <v>487</v>
      </c>
      <c r="D2645" s="154">
        <v>3.0000000000000001E-3</v>
      </c>
      <c r="E2645" s="155" t="s">
        <v>458</v>
      </c>
    </row>
    <row r="2646" spans="1:5" x14ac:dyDescent="0.25">
      <c r="A2646" s="46">
        <v>6</v>
      </c>
      <c r="B2646" s="172" t="s">
        <v>152</v>
      </c>
      <c r="C2646" s="90" t="s">
        <v>678</v>
      </c>
      <c r="D2646" s="154">
        <v>0.01</v>
      </c>
      <c r="E2646" s="155" t="s">
        <v>450</v>
      </c>
    </row>
    <row r="2647" spans="1:5" x14ac:dyDescent="0.25">
      <c r="A2647" s="46">
        <v>6</v>
      </c>
      <c r="B2647" s="172" t="s">
        <v>152</v>
      </c>
      <c r="C2647" s="90" t="s">
        <v>679</v>
      </c>
      <c r="D2647" s="154">
        <v>0.02</v>
      </c>
      <c r="E2647" s="155" t="s">
        <v>450</v>
      </c>
    </row>
    <row r="2648" spans="1:5" x14ac:dyDescent="0.25">
      <c r="A2648" s="46">
        <v>6</v>
      </c>
      <c r="B2648" s="172" t="s">
        <v>152</v>
      </c>
      <c r="C2648" s="90" t="s">
        <v>680</v>
      </c>
      <c r="D2648" s="154">
        <v>2.5000000000000001E-2</v>
      </c>
      <c r="E2648" s="155" t="s">
        <v>450</v>
      </c>
    </row>
    <row r="2649" spans="1:5" x14ac:dyDescent="0.25">
      <c r="A2649" s="46">
        <v>6</v>
      </c>
      <c r="B2649" s="172" t="s">
        <v>152</v>
      </c>
      <c r="C2649" s="143" t="s">
        <v>467</v>
      </c>
      <c r="D2649" s="154">
        <v>2.5000000000000001E-2</v>
      </c>
      <c r="E2649" s="155" t="s">
        <v>448</v>
      </c>
    </row>
    <row r="2650" spans="1:5" x14ac:dyDescent="0.25">
      <c r="A2650" s="46">
        <v>147</v>
      </c>
      <c r="B2650" s="172" t="s">
        <v>228</v>
      </c>
      <c r="C2650" s="90" t="s">
        <v>581</v>
      </c>
      <c r="D2650" s="141">
        <v>1.2E-2</v>
      </c>
      <c r="E2650" s="141" t="s">
        <v>458</v>
      </c>
    </row>
    <row r="2651" spans="1:5" x14ac:dyDescent="0.25">
      <c r="A2651" s="46">
        <v>147</v>
      </c>
      <c r="B2651" s="172" t="s">
        <v>228</v>
      </c>
      <c r="C2651" s="152" t="s">
        <v>512</v>
      </c>
      <c r="D2651" s="141">
        <v>1.4E-2</v>
      </c>
      <c r="E2651" s="141" t="s">
        <v>458</v>
      </c>
    </row>
    <row r="2652" spans="1:5" x14ac:dyDescent="0.25">
      <c r="A2652" s="46">
        <v>147</v>
      </c>
      <c r="B2652" s="172" t="s">
        <v>228</v>
      </c>
      <c r="C2652" s="152" t="s">
        <v>511</v>
      </c>
      <c r="D2652" s="144">
        <v>1.2E-2</v>
      </c>
      <c r="E2652" s="142" t="s">
        <v>458</v>
      </c>
    </row>
    <row r="2653" spans="1:5" x14ac:dyDescent="0.25">
      <c r="A2653" s="46">
        <v>147</v>
      </c>
      <c r="B2653" s="172" t="s">
        <v>228</v>
      </c>
      <c r="C2653" s="143" t="s">
        <v>522</v>
      </c>
      <c r="D2653" s="144">
        <v>0.03</v>
      </c>
      <c r="E2653" s="142" t="s">
        <v>450</v>
      </c>
    </row>
    <row r="2654" spans="1:5" x14ac:dyDescent="0.25">
      <c r="A2654" s="46">
        <v>147</v>
      </c>
      <c r="B2654" s="172" t="s">
        <v>228</v>
      </c>
      <c r="C2654" s="143" t="s">
        <v>487</v>
      </c>
      <c r="D2654" s="144">
        <v>2E-3</v>
      </c>
      <c r="E2654" s="142" t="s">
        <v>450</v>
      </c>
    </row>
    <row r="2655" spans="1:5" x14ac:dyDescent="0.25">
      <c r="A2655" s="46">
        <v>147</v>
      </c>
      <c r="B2655" s="172" t="s">
        <v>228</v>
      </c>
      <c r="C2655" s="143" t="s">
        <v>700</v>
      </c>
      <c r="D2655" s="144">
        <v>2.5000000000000001E-2</v>
      </c>
      <c r="E2655" s="142" t="s">
        <v>450</v>
      </c>
    </row>
    <row r="2656" spans="1:5" x14ac:dyDescent="0.25">
      <c r="A2656" s="46">
        <v>147</v>
      </c>
      <c r="B2656" s="172" t="s">
        <v>228</v>
      </c>
      <c r="C2656" s="143" t="s">
        <v>488</v>
      </c>
      <c r="D2656" s="144">
        <v>2E-3</v>
      </c>
      <c r="E2656" s="142" t="s">
        <v>450</v>
      </c>
    </row>
    <row r="2657" spans="1:5" x14ac:dyDescent="0.25">
      <c r="A2657" s="46">
        <v>147</v>
      </c>
      <c r="B2657" s="172" t="s">
        <v>228</v>
      </c>
      <c r="C2657" s="143" t="s">
        <v>467</v>
      </c>
      <c r="D2657" s="144">
        <v>2E-3</v>
      </c>
      <c r="E2657" s="142" t="s">
        <v>448</v>
      </c>
    </row>
    <row r="2658" spans="1:5" x14ac:dyDescent="0.25">
      <c r="A2658" s="46">
        <v>147</v>
      </c>
      <c r="B2658" s="172" t="s">
        <v>228</v>
      </c>
      <c r="C2658" s="143" t="s">
        <v>799</v>
      </c>
      <c r="D2658" s="144">
        <v>0.03</v>
      </c>
      <c r="E2658" s="142" t="s">
        <v>450</v>
      </c>
    </row>
    <row r="2659" spans="1:5" x14ac:dyDescent="0.25">
      <c r="A2659" s="46">
        <v>147</v>
      </c>
      <c r="B2659" s="172" t="s">
        <v>228</v>
      </c>
      <c r="C2659" s="143" t="s">
        <v>587</v>
      </c>
      <c r="D2659" s="144">
        <v>3.0000000000000001E-3</v>
      </c>
      <c r="E2659" s="142" t="s">
        <v>450</v>
      </c>
    </row>
    <row r="2660" spans="1:5" x14ac:dyDescent="0.25">
      <c r="A2660" s="46">
        <v>147</v>
      </c>
      <c r="B2660" s="172" t="s">
        <v>228</v>
      </c>
      <c r="C2660" s="143" t="s">
        <v>800</v>
      </c>
      <c r="D2660" s="144">
        <v>0.01</v>
      </c>
      <c r="E2660" s="142" t="s">
        <v>450</v>
      </c>
    </row>
    <row r="2661" spans="1:5" x14ac:dyDescent="0.25">
      <c r="A2661" s="46">
        <v>147</v>
      </c>
      <c r="B2661" s="172" t="s">
        <v>228</v>
      </c>
      <c r="C2661" s="143" t="s">
        <v>801</v>
      </c>
      <c r="D2661" s="144">
        <v>0.01</v>
      </c>
      <c r="E2661" s="142" t="s">
        <v>458</v>
      </c>
    </row>
    <row r="2662" spans="1:5" x14ac:dyDescent="0.25">
      <c r="A2662" s="46">
        <v>147</v>
      </c>
      <c r="B2662" s="172" t="s">
        <v>228</v>
      </c>
      <c r="C2662" s="139" t="s">
        <v>575</v>
      </c>
      <c r="D2662" s="144">
        <v>3.0000000000000001E-3</v>
      </c>
      <c r="E2662" s="142" t="s">
        <v>450</v>
      </c>
    </row>
    <row r="2663" spans="1:5" x14ac:dyDescent="0.25">
      <c r="A2663" s="46">
        <v>7</v>
      </c>
      <c r="B2663" s="172" t="s">
        <v>153</v>
      </c>
      <c r="C2663" s="143" t="s">
        <v>568</v>
      </c>
      <c r="D2663" s="144">
        <v>0.03</v>
      </c>
      <c r="E2663" s="142" t="s">
        <v>450</v>
      </c>
    </row>
    <row r="2664" spans="1:5" x14ac:dyDescent="0.25">
      <c r="A2664" s="46">
        <v>7</v>
      </c>
      <c r="B2664" s="143" t="s">
        <v>153</v>
      </c>
      <c r="C2664" s="143" t="s">
        <v>569</v>
      </c>
      <c r="D2664" s="144">
        <v>0.01</v>
      </c>
      <c r="E2664" s="142" t="s">
        <v>450</v>
      </c>
    </row>
    <row r="2665" spans="1:5" x14ac:dyDescent="0.25">
      <c r="A2665" s="46">
        <v>7</v>
      </c>
      <c r="B2665" s="143" t="s">
        <v>153</v>
      </c>
      <c r="C2665" s="143" t="s">
        <v>570</v>
      </c>
      <c r="D2665" s="144">
        <v>0.03</v>
      </c>
      <c r="E2665" s="142" t="s">
        <v>458</v>
      </c>
    </row>
    <row r="2666" spans="1:5" x14ac:dyDescent="0.25">
      <c r="A2666" s="46">
        <v>7</v>
      </c>
      <c r="B2666" s="143" t="s">
        <v>153</v>
      </c>
      <c r="C2666" s="143" t="s">
        <v>571</v>
      </c>
      <c r="D2666" s="144">
        <v>2.5000000000000001E-2</v>
      </c>
      <c r="E2666" s="142" t="s">
        <v>458</v>
      </c>
    </row>
    <row r="2667" spans="1:5" x14ac:dyDescent="0.25">
      <c r="A2667" s="46">
        <v>7</v>
      </c>
      <c r="B2667" s="143" t="s">
        <v>153</v>
      </c>
      <c r="C2667" s="143" t="s">
        <v>124</v>
      </c>
      <c r="D2667" s="144">
        <v>0.04</v>
      </c>
      <c r="E2667" s="142" t="s">
        <v>450</v>
      </c>
    </row>
    <row r="2668" spans="1:5" x14ac:dyDescent="0.25">
      <c r="A2668" s="46">
        <v>7</v>
      </c>
      <c r="B2668" s="143" t="s">
        <v>153</v>
      </c>
      <c r="C2668" s="143" t="s">
        <v>572</v>
      </c>
      <c r="D2668" s="170">
        <v>5.0000000000000001E-3</v>
      </c>
      <c r="E2668" s="142" t="s">
        <v>450</v>
      </c>
    </row>
    <row r="2669" spans="1:5" x14ac:dyDescent="0.25">
      <c r="A2669" s="46">
        <v>7</v>
      </c>
      <c r="B2669" s="143" t="s">
        <v>153</v>
      </c>
      <c r="C2669" s="143" t="s">
        <v>467</v>
      </c>
      <c r="D2669" s="144">
        <v>1E-3</v>
      </c>
      <c r="E2669" s="142" t="s">
        <v>448</v>
      </c>
    </row>
    <row r="2670" spans="1:5" x14ac:dyDescent="0.25">
      <c r="A2670" s="46">
        <v>7</v>
      </c>
      <c r="B2670" s="143" t="s">
        <v>153</v>
      </c>
      <c r="C2670" s="143" t="s">
        <v>488</v>
      </c>
      <c r="D2670" s="144">
        <v>2E-3</v>
      </c>
      <c r="E2670" s="142" t="s">
        <v>450</v>
      </c>
    </row>
    <row r="2671" spans="1:5" x14ac:dyDescent="0.25">
      <c r="A2671" s="46">
        <v>7</v>
      </c>
      <c r="B2671" s="143" t="s">
        <v>153</v>
      </c>
      <c r="C2671" s="143" t="s">
        <v>487</v>
      </c>
      <c r="D2671" s="144">
        <v>1E-3</v>
      </c>
      <c r="E2671" s="142" t="s">
        <v>450</v>
      </c>
    </row>
    <row r="2672" spans="1:5" x14ac:dyDescent="0.25">
      <c r="A2672" s="46">
        <v>293</v>
      </c>
      <c r="B2672" s="172" t="s">
        <v>325</v>
      </c>
      <c r="C2672" s="89" t="s">
        <v>975</v>
      </c>
      <c r="D2672" s="141">
        <v>0.05</v>
      </c>
      <c r="E2672" s="218" t="s">
        <v>458</v>
      </c>
    </row>
    <row r="2673" spans="1:5" x14ac:dyDescent="0.25">
      <c r="A2673" s="46">
        <v>293</v>
      </c>
      <c r="B2673" s="172" t="s">
        <v>325</v>
      </c>
      <c r="C2673" s="146" t="s">
        <v>858</v>
      </c>
      <c r="D2673" s="141">
        <v>2.5000000000000001E-2</v>
      </c>
      <c r="E2673" s="218" t="s">
        <v>458</v>
      </c>
    </row>
    <row r="2674" spans="1:5" x14ac:dyDescent="0.25">
      <c r="A2674" s="46">
        <v>293</v>
      </c>
      <c r="B2674" s="172" t="s">
        <v>325</v>
      </c>
      <c r="C2674" s="218" t="s">
        <v>588</v>
      </c>
      <c r="D2674" s="141">
        <v>8.0000000000000002E-3</v>
      </c>
      <c r="E2674" s="218" t="s">
        <v>458</v>
      </c>
    </row>
    <row r="2675" spans="1:5" x14ac:dyDescent="0.25">
      <c r="A2675" s="46">
        <v>293</v>
      </c>
      <c r="B2675" s="172" t="s">
        <v>325</v>
      </c>
      <c r="C2675" s="218" t="s">
        <v>960</v>
      </c>
      <c r="D2675" s="141">
        <v>0.03</v>
      </c>
      <c r="E2675" s="218" t="s">
        <v>458</v>
      </c>
    </row>
    <row r="2676" spans="1:5" x14ac:dyDescent="0.25">
      <c r="A2676" s="46">
        <v>293</v>
      </c>
      <c r="B2676" s="172" t="s">
        <v>325</v>
      </c>
      <c r="C2676" s="218" t="s">
        <v>976</v>
      </c>
      <c r="D2676" s="221">
        <v>2</v>
      </c>
      <c r="E2676" s="218" t="s">
        <v>458</v>
      </c>
    </row>
    <row r="2677" spans="1:5" x14ac:dyDescent="0.25">
      <c r="A2677" s="46">
        <v>293</v>
      </c>
      <c r="B2677" s="172" t="s">
        <v>325</v>
      </c>
      <c r="C2677" s="218" t="s">
        <v>557</v>
      </c>
      <c r="D2677" s="221">
        <v>3.0000000000000001E-3</v>
      </c>
      <c r="E2677" s="218" t="s">
        <v>448</v>
      </c>
    </row>
    <row r="2678" spans="1:5" x14ac:dyDescent="0.25">
      <c r="A2678" s="46">
        <v>293</v>
      </c>
      <c r="B2678" s="172" t="s">
        <v>325</v>
      </c>
      <c r="C2678" s="218" t="s">
        <v>470</v>
      </c>
      <c r="D2678" s="141">
        <v>1E-3</v>
      </c>
      <c r="E2678" s="218" t="s">
        <v>458</v>
      </c>
    </row>
    <row r="2679" spans="1:5" x14ac:dyDescent="0.25">
      <c r="A2679" s="46">
        <v>293</v>
      </c>
      <c r="B2679" s="172" t="s">
        <v>325</v>
      </c>
      <c r="C2679" s="218" t="s">
        <v>516</v>
      </c>
      <c r="D2679" s="141">
        <v>1E-4</v>
      </c>
      <c r="E2679" s="218" t="s">
        <v>458</v>
      </c>
    </row>
    <row r="2680" spans="1:5" x14ac:dyDescent="0.25">
      <c r="A2680" s="46">
        <v>208</v>
      </c>
      <c r="B2680" s="172" t="s">
        <v>45</v>
      </c>
      <c r="C2680" s="222" t="s">
        <v>890</v>
      </c>
      <c r="D2680" s="223">
        <v>0.05</v>
      </c>
      <c r="E2680" s="224" t="s">
        <v>450</v>
      </c>
    </row>
    <row r="2681" spans="1:5" x14ac:dyDescent="0.25">
      <c r="A2681" s="46">
        <v>208</v>
      </c>
      <c r="B2681" s="172" t="s">
        <v>45</v>
      </c>
      <c r="C2681" s="222" t="s">
        <v>470</v>
      </c>
      <c r="D2681" s="223">
        <v>2E-3</v>
      </c>
      <c r="E2681" s="224" t="s">
        <v>450</v>
      </c>
    </row>
    <row r="2682" spans="1:5" x14ac:dyDescent="0.25">
      <c r="A2682" s="46">
        <v>208</v>
      </c>
      <c r="B2682" s="172" t="s">
        <v>45</v>
      </c>
      <c r="C2682" s="222" t="s">
        <v>516</v>
      </c>
      <c r="D2682" s="223">
        <v>2E-3</v>
      </c>
      <c r="E2682" s="224" t="s">
        <v>450</v>
      </c>
    </row>
    <row r="2683" spans="1:5" x14ac:dyDescent="0.25">
      <c r="A2683" s="46">
        <v>208</v>
      </c>
      <c r="B2683" s="172" t="s">
        <v>45</v>
      </c>
      <c r="C2683" s="222" t="s">
        <v>527</v>
      </c>
      <c r="D2683" s="223">
        <v>2.5000000000000001E-2</v>
      </c>
      <c r="E2683" s="224" t="s">
        <v>450</v>
      </c>
    </row>
    <row r="2684" spans="1:5" x14ac:dyDescent="0.25">
      <c r="A2684" s="46">
        <v>208</v>
      </c>
      <c r="B2684" s="172" t="s">
        <v>45</v>
      </c>
      <c r="C2684" s="225" t="s">
        <v>702</v>
      </c>
      <c r="D2684" s="223">
        <v>0.01</v>
      </c>
      <c r="E2684" s="224" t="s">
        <v>450</v>
      </c>
    </row>
    <row r="2685" spans="1:5" x14ac:dyDescent="0.25">
      <c r="A2685" s="46">
        <v>208</v>
      </c>
      <c r="B2685" s="172" t="s">
        <v>45</v>
      </c>
      <c r="C2685" s="222" t="s">
        <v>690</v>
      </c>
      <c r="D2685" s="223">
        <v>5.0000000000000001E-3</v>
      </c>
      <c r="E2685" s="224" t="s">
        <v>450</v>
      </c>
    </row>
    <row r="2686" spans="1:5" x14ac:dyDescent="0.25">
      <c r="A2686" s="46">
        <v>208</v>
      </c>
      <c r="B2686" s="172" t="s">
        <v>45</v>
      </c>
      <c r="C2686" s="222" t="s">
        <v>469</v>
      </c>
      <c r="D2686" s="223">
        <v>0.03</v>
      </c>
      <c r="E2686" s="224" t="s">
        <v>458</v>
      </c>
    </row>
    <row r="2687" spans="1:5" x14ac:dyDescent="0.25">
      <c r="A2687" s="46">
        <v>208</v>
      </c>
      <c r="B2687" s="172" t="s">
        <v>45</v>
      </c>
      <c r="C2687" s="222" t="s">
        <v>891</v>
      </c>
      <c r="D2687" s="223">
        <v>0.01</v>
      </c>
      <c r="E2687" s="224" t="s">
        <v>458</v>
      </c>
    </row>
    <row r="2688" spans="1:5" x14ac:dyDescent="0.25">
      <c r="A2688" s="46">
        <v>208</v>
      </c>
      <c r="B2688" s="172" t="s">
        <v>45</v>
      </c>
      <c r="C2688" s="222" t="s">
        <v>559</v>
      </c>
      <c r="D2688" s="223">
        <v>1</v>
      </c>
      <c r="E2688" s="224" t="s">
        <v>458</v>
      </c>
    </row>
    <row r="2689" spans="1:5" x14ac:dyDescent="0.25">
      <c r="A2689" s="46">
        <v>208</v>
      </c>
      <c r="B2689" s="172" t="s">
        <v>45</v>
      </c>
      <c r="C2689" s="222" t="s">
        <v>519</v>
      </c>
      <c r="D2689" s="223">
        <v>5.0000000000000001E-3</v>
      </c>
      <c r="E2689" s="224" t="s">
        <v>450</v>
      </c>
    </row>
    <row r="2690" spans="1:5" x14ac:dyDescent="0.25">
      <c r="A2690" s="46">
        <v>208</v>
      </c>
      <c r="B2690" s="172" t="s">
        <v>45</v>
      </c>
      <c r="C2690" s="222" t="s">
        <v>647</v>
      </c>
      <c r="D2690" s="223">
        <v>0.01</v>
      </c>
      <c r="E2690" s="224" t="s">
        <v>450</v>
      </c>
    </row>
    <row r="2691" spans="1:5" x14ac:dyDescent="0.25">
      <c r="A2691" s="46">
        <v>208</v>
      </c>
      <c r="B2691" s="172" t="s">
        <v>45</v>
      </c>
      <c r="C2691" s="222" t="s">
        <v>687</v>
      </c>
      <c r="D2691" s="223">
        <v>2E-3</v>
      </c>
      <c r="E2691" s="224" t="s">
        <v>450</v>
      </c>
    </row>
    <row r="2692" spans="1:5" x14ac:dyDescent="0.25">
      <c r="A2692" s="46">
        <v>27</v>
      </c>
      <c r="B2692" s="172" t="s">
        <v>167</v>
      </c>
      <c r="C2692" s="226" t="s">
        <v>601</v>
      </c>
      <c r="D2692" s="223">
        <v>0.2</v>
      </c>
      <c r="E2692" s="224" t="s">
        <v>450</v>
      </c>
    </row>
    <row r="2693" spans="1:5" x14ac:dyDescent="0.25">
      <c r="A2693" s="46">
        <v>27</v>
      </c>
      <c r="B2693" s="172" t="s">
        <v>167</v>
      </c>
      <c r="C2693" s="227" t="s">
        <v>602</v>
      </c>
      <c r="D2693" s="223">
        <v>0.01</v>
      </c>
      <c r="E2693" s="224" t="s">
        <v>450</v>
      </c>
    </row>
    <row r="2694" spans="1:5" x14ac:dyDescent="0.25">
      <c r="A2694" s="46">
        <v>27</v>
      </c>
      <c r="B2694" s="172" t="s">
        <v>167</v>
      </c>
      <c r="C2694" s="226" t="s">
        <v>464</v>
      </c>
      <c r="D2694" s="223">
        <v>0.02</v>
      </c>
      <c r="E2694" s="224" t="s">
        <v>458</v>
      </c>
    </row>
    <row r="2695" spans="1:5" x14ac:dyDescent="0.25">
      <c r="A2695" s="46">
        <v>27</v>
      </c>
      <c r="B2695" s="172" t="s">
        <v>167</v>
      </c>
      <c r="C2695" s="227" t="s">
        <v>488</v>
      </c>
      <c r="D2695" s="223">
        <v>2E-3</v>
      </c>
      <c r="E2695" s="224" t="s">
        <v>450</v>
      </c>
    </row>
    <row r="2696" spans="1:5" x14ac:dyDescent="0.25">
      <c r="A2696" s="46">
        <v>27</v>
      </c>
      <c r="B2696" s="172" t="s">
        <v>167</v>
      </c>
      <c r="C2696" s="227" t="s">
        <v>459</v>
      </c>
      <c r="D2696" s="223">
        <v>2.5000000000000001E-2</v>
      </c>
      <c r="E2696" s="224" t="s">
        <v>450</v>
      </c>
    </row>
    <row r="2697" spans="1:5" x14ac:dyDescent="0.25">
      <c r="A2697" s="46">
        <v>27</v>
      </c>
      <c r="B2697" s="172" t="s">
        <v>167</v>
      </c>
      <c r="C2697" s="227" t="s">
        <v>527</v>
      </c>
      <c r="D2697" s="223">
        <v>1.4999999999999999E-2</v>
      </c>
      <c r="E2697" s="224" t="s">
        <v>458</v>
      </c>
    </row>
    <row r="2698" spans="1:5" x14ac:dyDescent="0.25">
      <c r="A2698" s="46">
        <v>27</v>
      </c>
      <c r="B2698" s="172" t="s">
        <v>167</v>
      </c>
      <c r="C2698" s="227" t="s">
        <v>554</v>
      </c>
      <c r="D2698" s="223">
        <v>1.4999999999999999E-2</v>
      </c>
      <c r="E2698" s="224" t="s">
        <v>458</v>
      </c>
    </row>
    <row r="2699" spans="1:5" x14ac:dyDescent="0.25">
      <c r="A2699" s="46">
        <v>27</v>
      </c>
      <c r="B2699" s="172" t="s">
        <v>167</v>
      </c>
      <c r="C2699" s="227" t="s">
        <v>603</v>
      </c>
      <c r="D2699" s="223">
        <v>1</v>
      </c>
      <c r="E2699" s="224" t="s">
        <v>749</v>
      </c>
    </row>
    <row r="2700" spans="1:5" x14ac:dyDescent="0.25">
      <c r="A2700" s="46">
        <v>27</v>
      </c>
      <c r="B2700" s="172" t="s">
        <v>167</v>
      </c>
      <c r="C2700" s="227" t="s">
        <v>467</v>
      </c>
      <c r="D2700" s="228">
        <v>3.0000000000000001E-3</v>
      </c>
      <c r="E2700" s="224" t="s">
        <v>450</v>
      </c>
    </row>
    <row r="2701" spans="1:5" x14ac:dyDescent="0.25">
      <c r="A2701" s="47">
        <v>264</v>
      </c>
      <c r="B2701" s="172" t="s">
        <v>295</v>
      </c>
      <c r="C2701" s="226" t="s">
        <v>528</v>
      </c>
      <c r="D2701" s="229">
        <v>0.2</v>
      </c>
      <c r="E2701" s="224" t="s">
        <v>450</v>
      </c>
    </row>
    <row r="2702" spans="1:5" x14ac:dyDescent="0.25">
      <c r="A2702" s="47">
        <v>264</v>
      </c>
      <c r="B2702" s="172" t="s">
        <v>295</v>
      </c>
      <c r="C2702" s="226" t="s">
        <v>529</v>
      </c>
      <c r="D2702" s="229">
        <v>4.4999999999999998E-2</v>
      </c>
      <c r="E2702" s="224" t="s">
        <v>450</v>
      </c>
    </row>
    <row r="2703" spans="1:5" x14ac:dyDescent="0.25">
      <c r="A2703" s="47">
        <v>264</v>
      </c>
      <c r="B2703" s="172" t="s">
        <v>295</v>
      </c>
      <c r="C2703" s="226" t="s">
        <v>530</v>
      </c>
      <c r="D2703" s="229">
        <v>0.03</v>
      </c>
      <c r="E2703" s="224" t="s">
        <v>448</v>
      </c>
    </row>
    <row r="2704" spans="1:5" x14ac:dyDescent="0.25">
      <c r="A2704" s="47">
        <v>264</v>
      </c>
      <c r="B2704" s="172" t="s">
        <v>295</v>
      </c>
      <c r="C2704" s="226" t="s">
        <v>531</v>
      </c>
      <c r="D2704" s="229">
        <v>0.03</v>
      </c>
      <c r="E2704" s="224" t="s">
        <v>448</v>
      </c>
    </row>
    <row r="2705" spans="1:5" x14ac:dyDescent="0.25">
      <c r="A2705" s="47">
        <v>264</v>
      </c>
      <c r="B2705" s="172" t="s">
        <v>295</v>
      </c>
      <c r="C2705" s="230" t="s">
        <v>532</v>
      </c>
      <c r="D2705" s="229">
        <v>4.4999999999999998E-2</v>
      </c>
      <c r="E2705" s="224" t="s">
        <v>450</v>
      </c>
    </row>
    <row r="2706" spans="1:5" x14ac:dyDescent="0.25">
      <c r="A2706" s="47">
        <v>264</v>
      </c>
      <c r="B2706" s="172" t="s">
        <v>295</v>
      </c>
      <c r="C2706" s="226" t="s">
        <v>480</v>
      </c>
      <c r="D2706" s="229">
        <v>0.02</v>
      </c>
      <c r="E2706" s="224" t="s">
        <v>450</v>
      </c>
    </row>
    <row r="2707" spans="1:5" x14ac:dyDescent="0.25">
      <c r="A2707" s="47">
        <v>264</v>
      </c>
      <c r="B2707" s="172" t="s">
        <v>295</v>
      </c>
      <c r="C2707" s="226" t="s">
        <v>533</v>
      </c>
      <c r="D2707" s="229">
        <v>7.0000000000000001E-3</v>
      </c>
      <c r="E2707" s="224" t="s">
        <v>450</v>
      </c>
    </row>
    <row r="2708" spans="1:5" x14ac:dyDescent="0.25">
      <c r="A2708" s="47">
        <v>264</v>
      </c>
      <c r="B2708" s="172" t="s">
        <v>295</v>
      </c>
      <c r="C2708" s="226" t="s">
        <v>470</v>
      </c>
      <c r="D2708" s="229">
        <v>5.0000000000000001E-3</v>
      </c>
      <c r="E2708" s="224" t="s">
        <v>450</v>
      </c>
    </row>
    <row r="2709" spans="1:5" x14ac:dyDescent="0.25">
      <c r="A2709" s="47">
        <v>264</v>
      </c>
      <c r="B2709" s="172" t="s">
        <v>295</v>
      </c>
      <c r="C2709" s="226" t="s">
        <v>516</v>
      </c>
      <c r="D2709" s="229">
        <v>1E-3</v>
      </c>
      <c r="E2709" s="224" t="s">
        <v>450</v>
      </c>
    </row>
    <row r="2710" spans="1:5" x14ac:dyDescent="0.25">
      <c r="A2710" s="47">
        <v>264</v>
      </c>
      <c r="B2710" s="172" t="s">
        <v>295</v>
      </c>
      <c r="C2710" s="226" t="s">
        <v>493</v>
      </c>
      <c r="D2710" s="229">
        <v>1E-3</v>
      </c>
      <c r="E2710" s="224" t="s">
        <v>450</v>
      </c>
    </row>
    <row r="2711" spans="1:5" x14ac:dyDescent="0.25">
      <c r="A2711" s="47">
        <v>264</v>
      </c>
      <c r="B2711" s="172" t="s">
        <v>295</v>
      </c>
      <c r="C2711" s="226" t="s">
        <v>534</v>
      </c>
      <c r="D2711" s="229">
        <v>1E-3</v>
      </c>
      <c r="E2711" s="224" t="s">
        <v>450</v>
      </c>
    </row>
    <row r="2712" spans="1:5" x14ac:dyDescent="0.25">
      <c r="A2712" s="47">
        <v>264</v>
      </c>
      <c r="B2712" s="172" t="s">
        <v>295</v>
      </c>
      <c r="C2712" s="226" t="s">
        <v>535</v>
      </c>
      <c r="D2712" s="229">
        <v>0.06</v>
      </c>
      <c r="E2712" s="226" t="s">
        <v>448</v>
      </c>
    </row>
    <row r="2713" spans="1:5" x14ac:dyDescent="0.25">
      <c r="A2713" s="46">
        <v>213</v>
      </c>
      <c r="B2713" s="172" t="s">
        <v>89</v>
      </c>
      <c r="C2713" s="226" t="s">
        <v>904</v>
      </c>
      <c r="D2713" s="229">
        <v>0.17</v>
      </c>
      <c r="E2713" s="224" t="s">
        <v>450</v>
      </c>
    </row>
    <row r="2714" spans="1:5" x14ac:dyDescent="0.25">
      <c r="A2714" s="46">
        <v>213</v>
      </c>
      <c r="B2714" s="172" t="s">
        <v>89</v>
      </c>
      <c r="C2714" s="226" t="s">
        <v>905</v>
      </c>
      <c r="D2714" s="229">
        <v>0.2</v>
      </c>
      <c r="E2714" s="224" t="s">
        <v>448</v>
      </c>
    </row>
    <row r="2715" spans="1:5" x14ac:dyDescent="0.25">
      <c r="A2715" s="46">
        <v>213</v>
      </c>
      <c r="B2715" s="172" t="s">
        <v>89</v>
      </c>
      <c r="C2715" s="227" t="s">
        <v>618</v>
      </c>
      <c r="D2715" s="229">
        <v>0.01</v>
      </c>
      <c r="E2715" s="224" t="s">
        <v>450</v>
      </c>
    </row>
    <row r="2716" spans="1:5" x14ac:dyDescent="0.25">
      <c r="A2716" s="46">
        <v>213</v>
      </c>
      <c r="B2716" s="172" t="s">
        <v>89</v>
      </c>
      <c r="C2716" s="227" t="s">
        <v>619</v>
      </c>
      <c r="D2716" s="229">
        <v>0.01</v>
      </c>
      <c r="E2716" s="224" t="s">
        <v>458</v>
      </c>
    </row>
    <row r="2717" spans="1:5" x14ac:dyDescent="0.25">
      <c r="A2717" s="46">
        <v>213</v>
      </c>
      <c r="B2717" s="172" t="s">
        <v>89</v>
      </c>
      <c r="C2717" s="222" t="s">
        <v>620</v>
      </c>
      <c r="D2717" s="229">
        <v>0.01</v>
      </c>
      <c r="E2717" s="224" t="s">
        <v>458</v>
      </c>
    </row>
    <row r="2718" spans="1:5" x14ac:dyDescent="0.25">
      <c r="A2718" s="46">
        <v>213</v>
      </c>
      <c r="B2718" s="172" t="s">
        <v>89</v>
      </c>
      <c r="C2718" s="226" t="s">
        <v>493</v>
      </c>
      <c r="D2718" s="229">
        <v>1E-4</v>
      </c>
      <c r="E2718" s="224" t="s">
        <v>458</v>
      </c>
    </row>
    <row r="2719" spans="1:5" x14ac:dyDescent="0.25">
      <c r="A2719" s="46">
        <v>213</v>
      </c>
      <c r="B2719" s="172" t="s">
        <v>89</v>
      </c>
      <c r="C2719" s="226" t="s">
        <v>534</v>
      </c>
      <c r="D2719" s="229">
        <v>1E-4</v>
      </c>
      <c r="E2719" s="224" t="s">
        <v>458</v>
      </c>
    </row>
    <row r="2720" spans="1:5" x14ac:dyDescent="0.25">
      <c r="A2720" s="46">
        <v>213</v>
      </c>
      <c r="B2720" s="172" t="s">
        <v>89</v>
      </c>
      <c r="C2720" s="226" t="s">
        <v>906</v>
      </c>
      <c r="D2720" s="229">
        <v>0.03</v>
      </c>
      <c r="E2720" s="224" t="s">
        <v>458</v>
      </c>
    </row>
    <row r="2721" spans="1:5" x14ac:dyDescent="0.25">
      <c r="A2721" s="46">
        <v>213</v>
      </c>
      <c r="B2721" s="172" t="s">
        <v>89</v>
      </c>
      <c r="C2721" s="226" t="s">
        <v>509</v>
      </c>
      <c r="D2721" s="229">
        <v>0.01</v>
      </c>
      <c r="E2721" s="224" t="s">
        <v>450</v>
      </c>
    </row>
    <row r="2722" spans="1:5" x14ac:dyDescent="0.25">
      <c r="A2722" s="46">
        <v>213</v>
      </c>
      <c r="B2722" s="172" t="s">
        <v>89</v>
      </c>
      <c r="C2722" s="226" t="s">
        <v>459</v>
      </c>
      <c r="D2722" s="229">
        <v>0.01</v>
      </c>
      <c r="E2722" s="224" t="s">
        <v>450</v>
      </c>
    </row>
    <row r="2723" spans="1:5" x14ac:dyDescent="0.25">
      <c r="A2723" s="46">
        <v>213</v>
      </c>
      <c r="B2723" s="172" t="s">
        <v>89</v>
      </c>
      <c r="C2723" s="226" t="s">
        <v>624</v>
      </c>
      <c r="D2723" s="229">
        <v>1E-3</v>
      </c>
      <c r="E2723" s="224" t="s">
        <v>450</v>
      </c>
    </row>
    <row r="2724" spans="1:5" x14ac:dyDescent="0.25">
      <c r="A2724" s="46">
        <v>213</v>
      </c>
      <c r="B2724" s="172" t="s">
        <v>89</v>
      </c>
      <c r="C2724" s="226" t="s">
        <v>495</v>
      </c>
      <c r="D2724" s="229">
        <v>1E-3</v>
      </c>
      <c r="E2724" s="224" t="s">
        <v>450</v>
      </c>
    </row>
    <row r="2725" spans="1:5" x14ac:dyDescent="0.25">
      <c r="A2725" s="46">
        <v>213</v>
      </c>
      <c r="B2725" s="172" t="s">
        <v>89</v>
      </c>
      <c r="C2725" s="226" t="s">
        <v>470</v>
      </c>
      <c r="D2725" s="229">
        <v>1E-3</v>
      </c>
      <c r="E2725" s="224" t="s">
        <v>450</v>
      </c>
    </row>
    <row r="2726" spans="1:5" x14ac:dyDescent="0.25">
      <c r="A2726" s="46">
        <v>213</v>
      </c>
      <c r="B2726" s="172" t="s">
        <v>89</v>
      </c>
      <c r="C2726" s="226" t="s">
        <v>516</v>
      </c>
      <c r="D2726" s="229">
        <v>2E-3</v>
      </c>
      <c r="E2726" s="224" t="s">
        <v>450</v>
      </c>
    </row>
    <row r="2727" spans="1:5" x14ac:dyDescent="0.25">
      <c r="A2727" s="46">
        <v>121</v>
      </c>
      <c r="B2727" s="172" t="s">
        <v>215</v>
      </c>
      <c r="C2727" s="226" t="s">
        <v>601</v>
      </c>
      <c r="D2727" s="223">
        <v>0.16500000000000001</v>
      </c>
      <c r="E2727" s="224" t="s">
        <v>458</v>
      </c>
    </row>
    <row r="2728" spans="1:5" x14ac:dyDescent="0.25">
      <c r="A2728" s="46">
        <v>121</v>
      </c>
      <c r="B2728" s="172" t="s">
        <v>215</v>
      </c>
      <c r="C2728" s="227" t="s">
        <v>570</v>
      </c>
      <c r="D2728" s="223">
        <v>0.03</v>
      </c>
      <c r="E2728" s="224" t="s">
        <v>458</v>
      </c>
    </row>
    <row r="2729" spans="1:5" x14ac:dyDescent="0.25">
      <c r="A2729" s="46">
        <v>121</v>
      </c>
      <c r="B2729" s="172" t="s">
        <v>215</v>
      </c>
      <c r="C2729" s="227" t="s">
        <v>488</v>
      </c>
      <c r="D2729" s="223">
        <v>3.0000000000000001E-3</v>
      </c>
      <c r="E2729" s="224" t="s">
        <v>458</v>
      </c>
    </row>
    <row r="2730" spans="1:5" x14ac:dyDescent="0.25">
      <c r="A2730" s="46">
        <v>121</v>
      </c>
      <c r="B2730" s="172" t="s">
        <v>215</v>
      </c>
      <c r="C2730" s="227" t="s">
        <v>636</v>
      </c>
      <c r="D2730" s="223">
        <v>5.0000000000000001E-4</v>
      </c>
      <c r="E2730" s="224" t="s">
        <v>458</v>
      </c>
    </row>
    <row r="2731" spans="1:5" x14ac:dyDescent="0.25">
      <c r="A2731" s="46">
        <v>121</v>
      </c>
      <c r="B2731" s="172" t="s">
        <v>215</v>
      </c>
      <c r="C2731" s="227" t="s">
        <v>507</v>
      </c>
      <c r="D2731" s="231">
        <v>0.03</v>
      </c>
      <c r="E2731" s="224" t="s">
        <v>458</v>
      </c>
    </row>
    <row r="2732" spans="1:5" x14ac:dyDescent="0.25">
      <c r="A2732" s="46">
        <v>121</v>
      </c>
      <c r="B2732" s="172" t="s">
        <v>215</v>
      </c>
      <c r="C2732" s="227" t="s">
        <v>655</v>
      </c>
      <c r="D2732" s="231">
        <v>1E-4</v>
      </c>
      <c r="E2732" s="224" t="s">
        <v>458</v>
      </c>
    </row>
    <row r="2733" spans="1:5" x14ac:dyDescent="0.25">
      <c r="A2733" s="46">
        <v>121</v>
      </c>
      <c r="B2733" s="172" t="s">
        <v>215</v>
      </c>
      <c r="C2733" s="227" t="s">
        <v>495</v>
      </c>
      <c r="D2733" s="231">
        <v>1.0000000000000001E-5</v>
      </c>
      <c r="E2733" s="224" t="s">
        <v>458</v>
      </c>
    </row>
    <row r="2734" spans="1:5" x14ac:dyDescent="0.25">
      <c r="A2734" s="46">
        <v>121</v>
      </c>
      <c r="B2734" s="172" t="s">
        <v>215</v>
      </c>
      <c r="C2734" s="227" t="s">
        <v>509</v>
      </c>
      <c r="D2734" s="231">
        <v>0.01</v>
      </c>
      <c r="E2734" s="224" t="s">
        <v>458</v>
      </c>
    </row>
    <row r="2735" spans="1:5" x14ac:dyDescent="0.25">
      <c r="A2735" s="46">
        <v>121</v>
      </c>
      <c r="B2735" s="172" t="s">
        <v>215</v>
      </c>
      <c r="C2735" s="227" t="s">
        <v>773</v>
      </c>
      <c r="D2735" s="231">
        <v>9.9999999999999995E-7</v>
      </c>
      <c r="E2735" s="224" t="s">
        <v>458</v>
      </c>
    </row>
    <row r="2736" spans="1:5" x14ac:dyDescent="0.25">
      <c r="A2736" s="46">
        <v>121</v>
      </c>
      <c r="B2736" s="172" t="s">
        <v>215</v>
      </c>
      <c r="C2736" s="232" t="s">
        <v>502</v>
      </c>
      <c r="D2736" s="231">
        <v>1E-4</v>
      </c>
      <c r="E2736" s="224" t="s">
        <v>458</v>
      </c>
    </row>
    <row r="2737" spans="1:5" x14ac:dyDescent="0.25">
      <c r="A2737" s="46">
        <v>203</v>
      </c>
      <c r="B2737" s="172" t="s">
        <v>77</v>
      </c>
      <c r="C2737" s="226" t="s">
        <v>601</v>
      </c>
      <c r="D2737" s="223">
        <v>0.18</v>
      </c>
      <c r="E2737" s="224" t="s">
        <v>450</v>
      </c>
    </row>
    <row r="2738" spans="1:5" x14ac:dyDescent="0.25">
      <c r="A2738" s="46">
        <v>203</v>
      </c>
      <c r="B2738" s="172" t="s">
        <v>77</v>
      </c>
      <c r="C2738" s="232" t="s">
        <v>506</v>
      </c>
      <c r="D2738" s="223">
        <v>0.03</v>
      </c>
      <c r="E2738" s="224" t="s">
        <v>450</v>
      </c>
    </row>
    <row r="2739" spans="1:5" x14ac:dyDescent="0.25">
      <c r="A2739" s="46">
        <v>203</v>
      </c>
      <c r="B2739" s="172" t="s">
        <v>77</v>
      </c>
      <c r="C2739" s="222" t="s">
        <v>527</v>
      </c>
      <c r="D2739" s="223">
        <v>0.01</v>
      </c>
      <c r="E2739" s="224" t="s">
        <v>450</v>
      </c>
    </row>
    <row r="2740" spans="1:5" x14ac:dyDescent="0.25">
      <c r="A2740" s="46">
        <v>203</v>
      </c>
      <c r="B2740" s="172" t="s">
        <v>77</v>
      </c>
      <c r="C2740" s="222" t="s">
        <v>498</v>
      </c>
      <c r="D2740" s="223">
        <v>0.01</v>
      </c>
      <c r="E2740" s="224" t="s">
        <v>450</v>
      </c>
    </row>
    <row r="2741" spans="1:5" x14ac:dyDescent="0.25">
      <c r="A2741" s="46">
        <v>203</v>
      </c>
      <c r="B2741" s="172" t="s">
        <v>77</v>
      </c>
      <c r="C2741" s="222" t="s">
        <v>493</v>
      </c>
      <c r="D2741" s="233">
        <v>5.0000000000000001E-4</v>
      </c>
      <c r="E2741" s="224" t="s">
        <v>450</v>
      </c>
    </row>
    <row r="2742" spans="1:5" x14ac:dyDescent="0.25">
      <c r="A2742" s="46">
        <v>203</v>
      </c>
      <c r="B2742" s="172" t="s">
        <v>77</v>
      </c>
      <c r="C2742" s="222" t="s">
        <v>624</v>
      </c>
      <c r="D2742" s="233">
        <v>5.0000000000000001E-4</v>
      </c>
      <c r="E2742" s="224" t="s">
        <v>450</v>
      </c>
    </row>
    <row r="2743" spans="1:5" x14ac:dyDescent="0.25">
      <c r="A2743" s="46">
        <v>203</v>
      </c>
      <c r="B2743" s="172" t="s">
        <v>77</v>
      </c>
      <c r="C2743" s="222" t="s">
        <v>495</v>
      </c>
      <c r="D2743" s="233">
        <v>5.0000000000000001E-4</v>
      </c>
      <c r="E2743" s="224" t="s">
        <v>450</v>
      </c>
    </row>
    <row r="2744" spans="1:5" x14ac:dyDescent="0.25">
      <c r="A2744" s="46">
        <v>203</v>
      </c>
      <c r="B2744" s="172" t="s">
        <v>77</v>
      </c>
      <c r="C2744" s="222" t="s">
        <v>546</v>
      </c>
      <c r="D2744" s="223">
        <v>2E-3</v>
      </c>
      <c r="E2744" s="224" t="s">
        <v>450</v>
      </c>
    </row>
    <row r="2745" spans="1:5" x14ac:dyDescent="0.25">
      <c r="A2745" s="46">
        <v>203</v>
      </c>
      <c r="B2745" s="172" t="s">
        <v>77</v>
      </c>
      <c r="C2745" s="227" t="s">
        <v>618</v>
      </c>
      <c r="D2745" s="223">
        <v>0.05</v>
      </c>
      <c r="E2745" s="224" t="s">
        <v>450</v>
      </c>
    </row>
    <row r="2746" spans="1:5" x14ac:dyDescent="0.25">
      <c r="A2746" s="46">
        <v>203</v>
      </c>
      <c r="B2746" s="172" t="s">
        <v>77</v>
      </c>
      <c r="C2746" s="227" t="s">
        <v>619</v>
      </c>
      <c r="D2746" s="223">
        <v>0.02</v>
      </c>
      <c r="E2746" s="224" t="s">
        <v>450</v>
      </c>
    </row>
    <row r="2747" spans="1:5" x14ac:dyDescent="0.25">
      <c r="A2747" s="46">
        <v>203</v>
      </c>
      <c r="B2747" s="172" t="s">
        <v>77</v>
      </c>
      <c r="C2747" s="222" t="s">
        <v>620</v>
      </c>
      <c r="D2747" s="223">
        <v>0.02</v>
      </c>
      <c r="E2747" s="224" t="s">
        <v>450</v>
      </c>
    </row>
    <row r="2748" spans="1:5" x14ac:dyDescent="0.25">
      <c r="A2748" s="46">
        <v>203</v>
      </c>
      <c r="B2748" s="172" t="s">
        <v>77</v>
      </c>
      <c r="C2748" s="222" t="s">
        <v>880</v>
      </c>
      <c r="D2748" s="223">
        <v>0.05</v>
      </c>
      <c r="E2748" s="224" t="s">
        <v>448</v>
      </c>
    </row>
    <row r="2749" spans="1:5" x14ac:dyDescent="0.25">
      <c r="A2749" s="46">
        <v>203</v>
      </c>
      <c r="B2749" s="172" t="s">
        <v>77</v>
      </c>
      <c r="C2749" s="222" t="s">
        <v>881</v>
      </c>
      <c r="D2749" s="223">
        <v>4.0000000000000001E-3</v>
      </c>
      <c r="E2749" s="224" t="s">
        <v>450</v>
      </c>
    </row>
    <row r="2750" spans="1:5" x14ac:dyDescent="0.25">
      <c r="A2750" s="46">
        <v>203</v>
      </c>
      <c r="B2750" s="172" t="s">
        <v>77</v>
      </c>
      <c r="C2750" s="222" t="s">
        <v>516</v>
      </c>
      <c r="D2750" s="223">
        <v>2E-3</v>
      </c>
      <c r="E2750" s="224" t="s">
        <v>450</v>
      </c>
    </row>
    <row r="2751" spans="1:5" x14ac:dyDescent="0.25">
      <c r="A2751" s="46">
        <v>203</v>
      </c>
      <c r="B2751" s="172" t="s">
        <v>77</v>
      </c>
      <c r="C2751" s="222" t="s">
        <v>470</v>
      </c>
      <c r="D2751" s="223">
        <v>3.0000000000000001E-3</v>
      </c>
      <c r="E2751" s="224" t="s">
        <v>450</v>
      </c>
    </row>
    <row r="2752" spans="1:5" x14ac:dyDescent="0.25">
      <c r="A2752" s="46">
        <v>316</v>
      </c>
      <c r="B2752" s="172" t="s">
        <v>346</v>
      </c>
      <c r="C2752" s="89" t="s">
        <v>119</v>
      </c>
      <c r="D2752" s="141">
        <v>0.15</v>
      </c>
      <c r="E2752" s="218" t="s">
        <v>450</v>
      </c>
    </row>
    <row r="2753" spans="1:5" x14ac:dyDescent="0.25">
      <c r="A2753" s="46">
        <v>316</v>
      </c>
      <c r="B2753" s="172" t="s">
        <v>346</v>
      </c>
      <c r="C2753" s="226" t="s">
        <v>791</v>
      </c>
      <c r="D2753" s="229">
        <v>1.4999999999999999E-2</v>
      </c>
      <c r="E2753" s="226" t="s">
        <v>450</v>
      </c>
    </row>
    <row r="2754" spans="1:5" x14ac:dyDescent="0.25">
      <c r="A2754" s="46">
        <v>316</v>
      </c>
      <c r="B2754" s="172" t="s">
        <v>346</v>
      </c>
      <c r="C2754" s="226" t="s">
        <v>796</v>
      </c>
      <c r="D2754" s="229">
        <v>0.01</v>
      </c>
      <c r="E2754" s="226" t="s">
        <v>450</v>
      </c>
    </row>
    <row r="2755" spans="1:5" x14ac:dyDescent="0.25">
      <c r="A2755" s="46">
        <v>316</v>
      </c>
      <c r="B2755" s="172" t="s">
        <v>346</v>
      </c>
      <c r="C2755" s="226" t="s">
        <v>1016</v>
      </c>
      <c r="D2755" s="229">
        <v>0.05</v>
      </c>
      <c r="E2755" s="226" t="s">
        <v>450</v>
      </c>
    </row>
    <row r="2756" spans="1:5" x14ac:dyDescent="0.25">
      <c r="A2756" s="46">
        <v>316</v>
      </c>
      <c r="B2756" s="172" t="s">
        <v>346</v>
      </c>
      <c r="C2756" s="226" t="s">
        <v>795</v>
      </c>
      <c r="D2756" s="229">
        <v>5.0000000000000001E-3</v>
      </c>
      <c r="E2756" s="226" t="s">
        <v>448</v>
      </c>
    </row>
    <row r="2757" spans="1:5" x14ac:dyDescent="0.25">
      <c r="A2757" s="46">
        <v>316</v>
      </c>
      <c r="B2757" s="172" t="s">
        <v>346</v>
      </c>
      <c r="C2757" s="226" t="s">
        <v>1014</v>
      </c>
      <c r="D2757" s="229">
        <v>2.5000000000000001E-2</v>
      </c>
      <c r="E2757" s="226" t="s">
        <v>450</v>
      </c>
    </row>
    <row r="2758" spans="1:5" x14ac:dyDescent="0.25">
      <c r="A2758" s="46">
        <v>316</v>
      </c>
      <c r="B2758" s="172" t="s">
        <v>346</v>
      </c>
      <c r="C2758" s="226" t="s">
        <v>1018</v>
      </c>
      <c r="D2758" s="229">
        <v>0.01</v>
      </c>
      <c r="E2758" s="226" t="s">
        <v>450</v>
      </c>
    </row>
    <row r="2759" spans="1:5" x14ac:dyDescent="0.25">
      <c r="A2759" s="46">
        <v>316</v>
      </c>
      <c r="B2759" s="172" t="s">
        <v>346</v>
      </c>
      <c r="C2759" s="226" t="s">
        <v>1019</v>
      </c>
      <c r="D2759" s="229">
        <v>0.03</v>
      </c>
      <c r="E2759" s="226" t="s">
        <v>450</v>
      </c>
    </row>
    <row r="2760" spans="1:5" x14ac:dyDescent="0.25">
      <c r="A2760" s="46">
        <v>316</v>
      </c>
      <c r="B2760" s="172" t="s">
        <v>346</v>
      </c>
      <c r="C2760" s="226" t="s">
        <v>1020</v>
      </c>
      <c r="D2760" s="229">
        <v>0.03</v>
      </c>
      <c r="E2760" s="226" t="s">
        <v>448</v>
      </c>
    </row>
    <row r="2761" spans="1:5" x14ac:dyDescent="0.25">
      <c r="A2761" s="46">
        <v>343</v>
      </c>
      <c r="B2761" s="172" t="s">
        <v>364</v>
      </c>
      <c r="C2761" s="234" t="s">
        <v>1074</v>
      </c>
      <c r="D2761" s="234">
        <v>20</v>
      </c>
      <c r="E2761" s="234"/>
    </row>
    <row r="2762" spans="1:5" x14ac:dyDescent="0.25">
      <c r="A2762" s="46">
        <v>343</v>
      </c>
      <c r="B2762" s="172" t="s">
        <v>364</v>
      </c>
      <c r="C2762" s="234" t="s">
        <v>1075</v>
      </c>
      <c r="D2762" s="234">
        <v>40</v>
      </c>
      <c r="E2762" s="234"/>
    </row>
    <row r="2763" spans="1:5" x14ac:dyDescent="0.25">
      <c r="A2763" s="46">
        <v>343</v>
      </c>
      <c r="B2763" s="172" t="s">
        <v>364</v>
      </c>
      <c r="C2763" s="234" t="s">
        <v>870</v>
      </c>
      <c r="D2763" s="234">
        <v>2E-3</v>
      </c>
      <c r="E2763" s="234"/>
    </row>
    <row r="2764" spans="1:5" x14ac:dyDescent="0.25">
      <c r="A2764" s="46">
        <v>343</v>
      </c>
      <c r="B2764" s="172" t="s">
        <v>364</v>
      </c>
      <c r="C2764" s="234" t="s">
        <v>871</v>
      </c>
      <c r="D2764" s="234">
        <v>8.0000000000000004E-4</v>
      </c>
      <c r="E2764" s="234"/>
    </row>
    <row r="2765" spans="1:5" x14ac:dyDescent="0.25">
      <c r="A2765" s="46">
        <v>343</v>
      </c>
      <c r="B2765" s="172" t="s">
        <v>364</v>
      </c>
      <c r="C2765" s="234" t="s">
        <v>1076</v>
      </c>
      <c r="D2765" s="234">
        <v>8.0000000000000004E-4</v>
      </c>
      <c r="E2765" s="234"/>
    </row>
    <row r="2766" spans="1:5" x14ac:dyDescent="0.25">
      <c r="A2766" s="46">
        <v>343</v>
      </c>
      <c r="B2766" s="172" t="s">
        <v>364</v>
      </c>
      <c r="C2766" s="234" t="s">
        <v>470</v>
      </c>
      <c r="D2766" s="234">
        <v>1E-3</v>
      </c>
      <c r="E2766" s="234"/>
    </row>
    <row r="2767" spans="1:5" x14ac:dyDescent="0.25">
      <c r="A2767" s="46">
        <v>343</v>
      </c>
      <c r="B2767" s="172" t="s">
        <v>364</v>
      </c>
      <c r="C2767" s="234" t="s">
        <v>478</v>
      </c>
      <c r="D2767" s="234">
        <v>0.02</v>
      </c>
      <c r="E2767" s="234"/>
    </row>
    <row r="2768" spans="1:5" x14ac:dyDescent="0.25">
      <c r="A2768" s="46">
        <v>343</v>
      </c>
      <c r="B2768" s="172" t="s">
        <v>364</v>
      </c>
      <c r="C2768" s="234" t="s">
        <v>557</v>
      </c>
      <c r="D2768" s="234">
        <v>0.02</v>
      </c>
      <c r="E2768" s="234"/>
    </row>
    <row r="2769" spans="1:5" x14ac:dyDescent="0.25">
      <c r="A2769" s="46">
        <v>343</v>
      </c>
      <c r="B2769" s="172" t="s">
        <v>364</v>
      </c>
      <c r="C2769" s="234" t="s">
        <v>516</v>
      </c>
      <c r="D2769" s="234">
        <v>1E-4</v>
      </c>
      <c r="E2769" s="234"/>
    </row>
    <row r="2770" spans="1:5" x14ac:dyDescent="0.25">
      <c r="A2770" s="46">
        <v>343</v>
      </c>
      <c r="B2770" s="172" t="s">
        <v>364</v>
      </c>
      <c r="C2770" s="234" t="s">
        <v>687</v>
      </c>
      <c r="D2770" s="234">
        <v>2.5000000000000001E-2</v>
      </c>
      <c r="E2770" s="234"/>
    </row>
    <row r="2771" spans="1:5" x14ac:dyDescent="0.25">
      <c r="A2771" s="46">
        <v>106</v>
      </c>
      <c r="B2771" s="172" t="s">
        <v>100</v>
      </c>
      <c r="C2771" s="226" t="s">
        <v>741</v>
      </c>
      <c r="D2771" s="229">
        <v>2.5000000000000001E-2</v>
      </c>
      <c r="E2771" s="229" t="s">
        <v>450</v>
      </c>
    </row>
    <row r="2772" spans="1:5" x14ac:dyDescent="0.25">
      <c r="A2772" s="46">
        <v>106</v>
      </c>
      <c r="B2772" s="172" t="s">
        <v>100</v>
      </c>
      <c r="C2772" s="226" t="s">
        <v>703</v>
      </c>
      <c r="D2772" s="229">
        <v>0.02</v>
      </c>
      <c r="E2772" s="229" t="s">
        <v>450</v>
      </c>
    </row>
    <row r="2773" spans="1:5" x14ac:dyDescent="0.25">
      <c r="A2773" s="46">
        <v>106</v>
      </c>
      <c r="B2773" s="172" t="s">
        <v>100</v>
      </c>
      <c r="C2773" s="226" t="s">
        <v>734</v>
      </c>
      <c r="D2773" s="229">
        <v>0.02</v>
      </c>
      <c r="E2773" s="229" t="s">
        <v>458</v>
      </c>
    </row>
    <row r="2774" spans="1:5" x14ac:dyDescent="0.25">
      <c r="A2774" s="46">
        <v>106</v>
      </c>
      <c r="B2774" s="172" t="s">
        <v>100</v>
      </c>
      <c r="C2774" s="226" t="s">
        <v>119</v>
      </c>
      <c r="D2774" s="229">
        <v>0.02</v>
      </c>
      <c r="E2774" s="229" t="s">
        <v>458</v>
      </c>
    </row>
    <row r="2775" spans="1:5" x14ac:dyDescent="0.25">
      <c r="A2775" s="46">
        <v>106</v>
      </c>
      <c r="B2775" s="172" t="s">
        <v>100</v>
      </c>
      <c r="C2775" s="226" t="s">
        <v>657</v>
      </c>
      <c r="D2775" s="229">
        <v>0.02</v>
      </c>
      <c r="E2775" s="229" t="s">
        <v>450</v>
      </c>
    </row>
    <row r="2776" spans="1:5" x14ac:dyDescent="0.25">
      <c r="A2776" s="46">
        <v>106</v>
      </c>
      <c r="B2776" s="172" t="s">
        <v>100</v>
      </c>
      <c r="C2776" s="226" t="s">
        <v>742</v>
      </c>
      <c r="D2776" s="229">
        <v>0.02</v>
      </c>
      <c r="E2776" s="229" t="s">
        <v>450</v>
      </c>
    </row>
    <row r="2777" spans="1:5" x14ac:dyDescent="0.25">
      <c r="A2777" s="46">
        <v>106</v>
      </c>
      <c r="B2777" s="172" t="s">
        <v>100</v>
      </c>
      <c r="C2777" s="89" t="s">
        <v>743</v>
      </c>
      <c r="D2777" s="141">
        <v>0.02</v>
      </c>
      <c r="E2777" s="141" t="s">
        <v>450</v>
      </c>
    </row>
    <row r="2778" spans="1:5" x14ac:dyDescent="0.25">
      <c r="A2778" s="46">
        <v>106</v>
      </c>
      <c r="B2778" s="172" t="s">
        <v>100</v>
      </c>
      <c r="C2778" s="89" t="s">
        <v>744</v>
      </c>
      <c r="D2778" s="141">
        <v>0.02</v>
      </c>
      <c r="E2778" s="141" t="s">
        <v>450</v>
      </c>
    </row>
    <row r="2779" spans="1:5" x14ac:dyDescent="0.25">
      <c r="A2779" s="46">
        <v>106</v>
      </c>
      <c r="B2779" s="172" t="s">
        <v>100</v>
      </c>
      <c r="C2779" s="89" t="s">
        <v>656</v>
      </c>
      <c r="D2779" s="141">
        <v>1E-3</v>
      </c>
      <c r="E2779" s="141" t="s">
        <v>450</v>
      </c>
    </row>
    <row r="2780" spans="1:5" x14ac:dyDescent="0.25">
      <c r="A2780" s="46">
        <v>106</v>
      </c>
      <c r="B2780" s="172" t="s">
        <v>100</v>
      </c>
      <c r="C2780" s="89" t="s">
        <v>745</v>
      </c>
      <c r="D2780" s="141">
        <v>2E-3</v>
      </c>
      <c r="E2780" s="141" t="s">
        <v>450</v>
      </c>
    </row>
    <row r="2781" spans="1:5" x14ac:dyDescent="0.25">
      <c r="A2781" s="46">
        <v>106</v>
      </c>
      <c r="B2781" s="172" t="s">
        <v>100</v>
      </c>
      <c r="C2781" s="89" t="s">
        <v>327</v>
      </c>
      <c r="D2781" s="141">
        <v>1.4999999999999999E-2</v>
      </c>
      <c r="E2781" s="141" t="s">
        <v>450</v>
      </c>
    </row>
    <row r="2782" spans="1:5" x14ac:dyDescent="0.25">
      <c r="A2782" s="46">
        <v>106</v>
      </c>
      <c r="B2782" s="172" t="s">
        <v>100</v>
      </c>
      <c r="C2782" s="89" t="s">
        <v>694</v>
      </c>
      <c r="D2782" s="141">
        <v>2E-3</v>
      </c>
      <c r="E2782" s="141" t="s">
        <v>450</v>
      </c>
    </row>
    <row r="2783" spans="1:5" x14ac:dyDescent="0.25">
      <c r="A2783" s="46">
        <v>136</v>
      </c>
      <c r="B2783" s="172" t="s">
        <v>83</v>
      </c>
      <c r="C2783" s="89" t="s">
        <v>769</v>
      </c>
      <c r="D2783" s="141">
        <v>0.15</v>
      </c>
      <c r="E2783" s="141" t="s">
        <v>458</v>
      </c>
    </row>
    <row r="2784" spans="1:5" x14ac:dyDescent="0.25">
      <c r="A2784" s="46">
        <v>136</v>
      </c>
      <c r="B2784" s="172" t="s">
        <v>83</v>
      </c>
      <c r="C2784" s="90" t="s">
        <v>702</v>
      </c>
      <c r="D2784" s="141">
        <v>0.2</v>
      </c>
      <c r="E2784" s="141" t="s">
        <v>458</v>
      </c>
    </row>
    <row r="2785" spans="1:5" x14ac:dyDescent="0.25">
      <c r="A2785" s="46">
        <v>136</v>
      </c>
      <c r="B2785" s="172" t="s">
        <v>83</v>
      </c>
      <c r="C2785" s="89" t="s">
        <v>459</v>
      </c>
      <c r="D2785" s="141">
        <v>0.01</v>
      </c>
      <c r="E2785" s="141" t="s">
        <v>458</v>
      </c>
    </row>
    <row r="2786" spans="1:5" x14ac:dyDescent="0.25">
      <c r="A2786" s="46">
        <v>136</v>
      </c>
      <c r="B2786" s="172" t="s">
        <v>83</v>
      </c>
      <c r="C2786" s="89" t="s">
        <v>488</v>
      </c>
      <c r="D2786" s="141">
        <v>2E-3</v>
      </c>
      <c r="E2786" s="141" t="s">
        <v>458</v>
      </c>
    </row>
    <row r="2787" spans="1:5" x14ac:dyDescent="0.25">
      <c r="A2787" s="46">
        <v>136</v>
      </c>
      <c r="B2787" s="172" t="s">
        <v>83</v>
      </c>
      <c r="C2787" s="89" t="s">
        <v>467</v>
      </c>
      <c r="D2787" s="141">
        <v>5.0000000000000001E-4</v>
      </c>
      <c r="E2787" s="141" t="s">
        <v>448</v>
      </c>
    </row>
    <row r="2788" spans="1:5" x14ac:dyDescent="0.25">
      <c r="A2788" s="46">
        <v>136</v>
      </c>
      <c r="B2788" s="172" t="s">
        <v>83</v>
      </c>
      <c r="C2788" s="89" t="s">
        <v>636</v>
      </c>
      <c r="D2788" s="141"/>
      <c r="E2788" s="141"/>
    </row>
    <row r="2789" spans="1:5" x14ac:dyDescent="0.25">
      <c r="A2789" s="46">
        <v>294</v>
      </c>
      <c r="B2789" s="172" t="s">
        <v>326</v>
      </c>
      <c r="C2789" s="89" t="s">
        <v>923</v>
      </c>
      <c r="D2789" s="141">
        <v>0.04</v>
      </c>
      <c r="E2789" s="89" t="s">
        <v>458</v>
      </c>
    </row>
    <row r="2790" spans="1:5" x14ac:dyDescent="0.25">
      <c r="A2790" s="46">
        <v>294</v>
      </c>
      <c r="B2790" s="172" t="s">
        <v>326</v>
      </c>
      <c r="C2790" s="89" t="s">
        <v>967</v>
      </c>
      <c r="D2790" s="141">
        <v>0.04</v>
      </c>
      <c r="E2790" s="89" t="s">
        <v>458</v>
      </c>
    </row>
    <row r="2791" spans="1:5" x14ac:dyDescent="0.25">
      <c r="A2791" s="46">
        <v>294</v>
      </c>
      <c r="B2791" s="172" t="s">
        <v>326</v>
      </c>
      <c r="C2791" s="89" t="s">
        <v>898</v>
      </c>
      <c r="D2791" s="141">
        <v>2E-3</v>
      </c>
      <c r="E2791" s="89" t="s">
        <v>448</v>
      </c>
    </row>
    <row r="2792" spans="1:5" x14ac:dyDescent="0.25">
      <c r="A2792" s="46">
        <v>294</v>
      </c>
      <c r="B2792" s="172" t="s">
        <v>326</v>
      </c>
      <c r="C2792" s="89" t="s">
        <v>968</v>
      </c>
      <c r="D2792" s="141">
        <v>1.4999999999999999E-2</v>
      </c>
      <c r="E2792" s="89" t="s">
        <v>458</v>
      </c>
    </row>
    <row r="2793" spans="1:5" x14ac:dyDescent="0.25">
      <c r="A2793" s="46">
        <v>294</v>
      </c>
      <c r="B2793" s="172" t="s">
        <v>326</v>
      </c>
      <c r="C2793" s="89" t="s">
        <v>969</v>
      </c>
      <c r="D2793" s="141">
        <v>0.06</v>
      </c>
      <c r="E2793" s="89" t="s">
        <v>458</v>
      </c>
    </row>
    <row r="2794" spans="1:5" x14ac:dyDescent="0.25">
      <c r="A2794" s="46">
        <v>294</v>
      </c>
      <c r="B2794" s="172" t="s">
        <v>326</v>
      </c>
      <c r="C2794" s="89" t="s">
        <v>469</v>
      </c>
      <c r="D2794" s="141">
        <v>1.4999999999999999E-2</v>
      </c>
      <c r="E2794" s="89" t="s">
        <v>448</v>
      </c>
    </row>
    <row r="2795" spans="1:5" x14ac:dyDescent="0.25">
      <c r="A2795" s="46">
        <v>294</v>
      </c>
      <c r="B2795" s="172" t="s">
        <v>326</v>
      </c>
      <c r="C2795" s="89" t="s">
        <v>955</v>
      </c>
      <c r="D2795" s="141">
        <v>1</v>
      </c>
      <c r="E2795" s="145" t="s">
        <v>749</v>
      </c>
    </row>
    <row r="2796" spans="1:5" x14ac:dyDescent="0.25">
      <c r="A2796" s="46">
        <v>294</v>
      </c>
      <c r="B2796" s="172" t="s">
        <v>326</v>
      </c>
      <c r="C2796" s="89" t="s">
        <v>891</v>
      </c>
      <c r="D2796" s="141">
        <v>2E-3</v>
      </c>
      <c r="E2796" s="89" t="s">
        <v>458</v>
      </c>
    </row>
    <row r="2797" spans="1:5" x14ac:dyDescent="0.25">
      <c r="A2797" s="46">
        <v>294</v>
      </c>
      <c r="B2797" s="172" t="s">
        <v>326</v>
      </c>
      <c r="C2797" s="89" t="s">
        <v>970</v>
      </c>
      <c r="D2797" s="141">
        <v>5.0000000000000001E-3</v>
      </c>
      <c r="E2797" s="89" t="s">
        <v>458</v>
      </c>
    </row>
    <row r="2798" spans="1:5" x14ac:dyDescent="0.25">
      <c r="A2798" s="46">
        <v>294</v>
      </c>
      <c r="B2798" s="172" t="s">
        <v>326</v>
      </c>
      <c r="C2798" s="89" t="s">
        <v>971</v>
      </c>
      <c r="D2798" s="141">
        <v>7.0000000000000007E-2</v>
      </c>
      <c r="E2798" s="218" t="s">
        <v>458</v>
      </c>
    </row>
    <row r="2799" spans="1:5" x14ac:dyDescent="0.25">
      <c r="A2799" s="46">
        <v>294</v>
      </c>
      <c r="B2799" s="172" t="s">
        <v>326</v>
      </c>
      <c r="C2799" s="89" t="s">
        <v>535</v>
      </c>
      <c r="D2799" s="141">
        <v>0.01</v>
      </c>
      <c r="E2799" s="218" t="s">
        <v>448</v>
      </c>
    </row>
    <row r="2800" spans="1:5" x14ac:dyDescent="0.25">
      <c r="A2800" s="46">
        <v>295</v>
      </c>
      <c r="B2800" s="172" t="s">
        <v>327</v>
      </c>
      <c r="C2800" s="143" t="s">
        <v>566</v>
      </c>
      <c r="D2800" s="141">
        <v>0.2</v>
      </c>
      <c r="E2800" s="218" t="s">
        <v>448</v>
      </c>
    </row>
    <row r="2801" spans="1:5" x14ac:dyDescent="0.25">
      <c r="A2801" s="46">
        <v>295</v>
      </c>
      <c r="B2801" s="172" t="s">
        <v>327</v>
      </c>
      <c r="C2801" s="89" t="s">
        <v>327</v>
      </c>
      <c r="D2801" s="141">
        <v>0.12</v>
      </c>
      <c r="E2801" s="218" t="s">
        <v>450</v>
      </c>
    </row>
    <row r="2802" spans="1:5" x14ac:dyDescent="0.25">
      <c r="A2802" s="46">
        <v>295</v>
      </c>
      <c r="B2802" s="172" t="s">
        <v>327</v>
      </c>
      <c r="C2802" s="90" t="s">
        <v>702</v>
      </c>
      <c r="D2802" s="141">
        <v>0.03</v>
      </c>
      <c r="E2802" s="218" t="s">
        <v>450</v>
      </c>
    </row>
    <row r="2803" spans="1:5" x14ac:dyDescent="0.25">
      <c r="A2803" s="46">
        <v>295</v>
      </c>
      <c r="B2803" s="172" t="s">
        <v>327</v>
      </c>
      <c r="C2803" s="143" t="s">
        <v>566</v>
      </c>
      <c r="D2803" s="141">
        <v>0.1</v>
      </c>
      <c r="E2803" s="218" t="s">
        <v>448</v>
      </c>
    </row>
    <row r="2804" spans="1:5" x14ac:dyDescent="0.25">
      <c r="A2804" s="46">
        <v>295</v>
      </c>
      <c r="B2804" s="172" t="s">
        <v>327</v>
      </c>
      <c r="C2804" s="152" t="s">
        <v>503</v>
      </c>
      <c r="D2804" s="141">
        <v>2E-3</v>
      </c>
      <c r="E2804" s="218" t="s">
        <v>450</v>
      </c>
    </row>
    <row r="2805" spans="1:5" x14ac:dyDescent="0.25">
      <c r="A2805" s="46">
        <v>74</v>
      </c>
      <c r="B2805" s="172" t="s">
        <v>196</v>
      </c>
      <c r="C2805" s="143" t="s">
        <v>316</v>
      </c>
      <c r="D2805" s="144">
        <v>1</v>
      </c>
      <c r="E2805" s="235" t="s">
        <v>749</v>
      </c>
    </row>
    <row r="2806" spans="1:5" x14ac:dyDescent="0.25">
      <c r="A2806" s="46">
        <v>74</v>
      </c>
      <c r="B2806" s="172" t="s">
        <v>196</v>
      </c>
      <c r="C2806" s="143" t="s">
        <v>554</v>
      </c>
      <c r="D2806" s="144">
        <v>0.1</v>
      </c>
      <c r="E2806" s="236" t="s">
        <v>450</v>
      </c>
    </row>
    <row r="2807" spans="1:5" x14ac:dyDescent="0.25">
      <c r="A2807" s="46">
        <v>74</v>
      </c>
      <c r="B2807" s="172" t="s">
        <v>196</v>
      </c>
      <c r="C2807" s="207" t="s">
        <v>725</v>
      </c>
      <c r="D2807" s="144">
        <v>2.5000000000000001E-2</v>
      </c>
      <c r="E2807" s="236" t="s">
        <v>450</v>
      </c>
    </row>
    <row r="2808" spans="1:5" x14ac:dyDescent="0.25">
      <c r="A2808" s="46">
        <v>74</v>
      </c>
      <c r="B2808" s="172" t="s">
        <v>196</v>
      </c>
      <c r="C2808" s="167" t="s">
        <v>556</v>
      </c>
      <c r="D2808" s="144">
        <v>5.0000000000000001E-3</v>
      </c>
      <c r="E2808" s="236" t="s">
        <v>458</v>
      </c>
    </row>
    <row r="2809" spans="1:5" x14ac:dyDescent="0.25">
      <c r="A2809" s="46">
        <v>74</v>
      </c>
      <c r="B2809" s="172" t="s">
        <v>196</v>
      </c>
      <c r="C2809" s="160" t="s">
        <v>477</v>
      </c>
      <c r="D2809" s="144">
        <v>2.5000000000000001E-2</v>
      </c>
      <c r="E2809" s="236" t="s">
        <v>458</v>
      </c>
    </row>
    <row r="2810" spans="1:5" x14ac:dyDescent="0.25">
      <c r="A2810" s="46">
        <v>74</v>
      </c>
      <c r="B2810" s="172" t="s">
        <v>196</v>
      </c>
      <c r="C2810" s="143" t="s">
        <v>478</v>
      </c>
      <c r="D2810" s="144">
        <v>0.04</v>
      </c>
      <c r="E2810" s="236" t="s">
        <v>458</v>
      </c>
    </row>
    <row r="2811" spans="1:5" x14ac:dyDescent="0.25">
      <c r="A2811" s="46">
        <v>74</v>
      </c>
      <c r="B2811" s="172" t="s">
        <v>196</v>
      </c>
      <c r="C2811" s="143" t="s">
        <v>726</v>
      </c>
      <c r="D2811" s="144">
        <v>8.0000000000000002E-3</v>
      </c>
      <c r="E2811" s="236" t="s">
        <v>458</v>
      </c>
    </row>
    <row r="2812" spans="1:5" x14ac:dyDescent="0.25">
      <c r="A2812" s="46">
        <v>74</v>
      </c>
      <c r="B2812" s="172" t="s">
        <v>196</v>
      </c>
      <c r="C2812" s="143" t="s">
        <v>500</v>
      </c>
      <c r="D2812" s="144">
        <v>5.0000000000000001E-3</v>
      </c>
      <c r="E2812" s="236" t="s">
        <v>458</v>
      </c>
    </row>
    <row r="2813" spans="1:5" x14ac:dyDescent="0.25">
      <c r="A2813" s="46">
        <v>74</v>
      </c>
      <c r="B2813" s="172" t="s">
        <v>196</v>
      </c>
      <c r="C2813" s="143" t="s">
        <v>488</v>
      </c>
      <c r="D2813" s="144">
        <v>2E-3</v>
      </c>
      <c r="E2813" s="236" t="s">
        <v>450</v>
      </c>
    </row>
    <row r="2814" spans="1:5" x14ac:dyDescent="0.25">
      <c r="A2814" s="46">
        <v>233</v>
      </c>
      <c r="B2814" s="172" t="s">
        <v>49</v>
      </c>
      <c r="C2814" s="160" t="s">
        <v>477</v>
      </c>
      <c r="D2814" s="144">
        <v>2.5000000000000001E-2</v>
      </c>
      <c r="E2814" s="236" t="s">
        <v>448</v>
      </c>
    </row>
    <row r="2815" spans="1:5" x14ac:dyDescent="0.25">
      <c r="A2815" s="46">
        <v>233</v>
      </c>
      <c r="B2815" s="172" t="s">
        <v>49</v>
      </c>
      <c r="C2815" s="143" t="s">
        <v>500</v>
      </c>
      <c r="D2815" s="144">
        <v>8.0000000000000002E-3</v>
      </c>
      <c r="E2815" s="236" t="s">
        <v>448</v>
      </c>
    </row>
    <row r="2816" spans="1:5" x14ac:dyDescent="0.25">
      <c r="A2816" s="46">
        <v>233</v>
      </c>
      <c r="B2816" s="172" t="s">
        <v>49</v>
      </c>
      <c r="C2816" s="143" t="s">
        <v>478</v>
      </c>
      <c r="D2816" s="144">
        <v>2.5000000000000001E-2</v>
      </c>
      <c r="E2816" s="236" t="s">
        <v>448</v>
      </c>
    </row>
    <row r="2817" spans="1:5" x14ac:dyDescent="0.25">
      <c r="A2817" s="46">
        <v>233</v>
      </c>
      <c r="B2817" s="172" t="s">
        <v>49</v>
      </c>
      <c r="C2817" s="143" t="s">
        <v>933</v>
      </c>
      <c r="D2817" s="144">
        <v>0.18</v>
      </c>
      <c r="E2817" s="236" t="s">
        <v>450</v>
      </c>
    </row>
    <row r="2818" spans="1:5" x14ac:dyDescent="0.25">
      <c r="A2818" s="46">
        <v>233</v>
      </c>
      <c r="B2818" s="172" t="s">
        <v>49</v>
      </c>
      <c r="C2818" s="143" t="s">
        <v>726</v>
      </c>
      <c r="D2818" s="144">
        <v>5.0000000000000001E-3</v>
      </c>
      <c r="E2818" s="236" t="s">
        <v>450</v>
      </c>
    </row>
    <row r="2819" spans="1:5" x14ac:dyDescent="0.25">
      <c r="A2819" s="46">
        <v>233</v>
      </c>
      <c r="B2819" s="172" t="s">
        <v>49</v>
      </c>
      <c r="C2819" s="143" t="s">
        <v>460</v>
      </c>
      <c r="D2819" s="144">
        <v>2E-3</v>
      </c>
      <c r="E2819" s="236" t="s">
        <v>450</v>
      </c>
    </row>
    <row r="2820" spans="1:5" x14ac:dyDescent="0.25">
      <c r="A2820" s="46">
        <v>233</v>
      </c>
      <c r="B2820" s="172" t="s">
        <v>49</v>
      </c>
      <c r="C2820" s="167" t="s">
        <v>556</v>
      </c>
      <c r="D2820" s="144">
        <v>5.0000000000000001E-3</v>
      </c>
      <c r="E2820" s="236" t="s">
        <v>450</v>
      </c>
    </row>
    <row r="2821" spans="1:5" x14ac:dyDescent="0.25">
      <c r="A2821" s="46">
        <v>153</v>
      </c>
      <c r="B2821" s="172" t="s">
        <v>234</v>
      </c>
      <c r="C2821" s="152" t="s">
        <v>327</v>
      </c>
      <c r="D2821" s="144">
        <v>0.2</v>
      </c>
      <c r="E2821" s="236" t="s">
        <v>450</v>
      </c>
    </row>
    <row r="2822" spans="1:5" x14ac:dyDescent="0.25">
      <c r="A2822" s="46">
        <v>153</v>
      </c>
      <c r="B2822" s="172" t="s">
        <v>234</v>
      </c>
      <c r="C2822" s="143" t="s">
        <v>657</v>
      </c>
      <c r="D2822" s="144">
        <v>0.06</v>
      </c>
      <c r="E2822" s="236" t="s">
        <v>450</v>
      </c>
    </row>
    <row r="2823" spans="1:5" x14ac:dyDescent="0.25">
      <c r="A2823" s="46">
        <v>153</v>
      </c>
      <c r="B2823" s="172" t="s">
        <v>234</v>
      </c>
      <c r="C2823" s="160" t="s">
        <v>477</v>
      </c>
      <c r="D2823" s="144">
        <v>0.05</v>
      </c>
      <c r="E2823" s="236" t="s">
        <v>450</v>
      </c>
    </row>
    <row r="2824" spans="1:5" x14ac:dyDescent="0.25">
      <c r="A2824" s="46">
        <v>153</v>
      </c>
      <c r="B2824" s="172" t="s">
        <v>234</v>
      </c>
      <c r="C2824" s="143" t="s">
        <v>500</v>
      </c>
      <c r="D2824" s="144">
        <v>5.0000000000000001E-3</v>
      </c>
      <c r="E2824" s="236" t="s">
        <v>458</v>
      </c>
    </row>
    <row r="2825" spans="1:5" x14ac:dyDescent="0.25">
      <c r="A2825" s="46">
        <v>153</v>
      </c>
      <c r="B2825" s="172" t="s">
        <v>234</v>
      </c>
      <c r="C2825" s="143" t="s">
        <v>726</v>
      </c>
      <c r="D2825" s="144">
        <v>2E-3</v>
      </c>
      <c r="E2825" s="236" t="s">
        <v>458</v>
      </c>
    </row>
    <row r="2826" spans="1:5" x14ac:dyDescent="0.25">
      <c r="A2826" s="46">
        <v>153</v>
      </c>
      <c r="B2826" s="172" t="s">
        <v>234</v>
      </c>
      <c r="C2826" s="143" t="s">
        <v>493</v>
      </c>
      <c r="D2826" s="144">
        <v>1E-4</v>
      </c>
      <c r="E2826" s="236" t="s">
        <v>458</v>
      </c>
    </row>
    <row r="2827" spans="1:5" x14ac:dyDescent="0.25">
      <c r="A2827" s="46">
        <v>153</v>
      </c>
      <c r="B2827" s="172" t="s">
        <v>234</v>
      </c>
      <c r="C2827" s="143" t="s">
        <v>534</v>
      </c>
      <c r="D2827" s="144">
        <v>1E-4</v>
      </c>
      <c r="E2827" s="236" t="s">
        <v>458</v>
      </c>
    </row>
    <row r="2828" spans="1:5" x14ac:dyDescent="0.25">
      <c r="A2828" s="46">
        <v>153</v>
      </c>
      <c r="B2828" s="172" t="s">
        <v>234</v>
      </c>
      <c r="C2828" s="143" t="s">
        <v>480</v>
      </c>
      <c r="D2828" s="144">
        <v>1E-3</v>
      </c>
      <c r="E2828" s="236" t="s">
        <v>458</v>
      </c>
    </row>
    <row r="2829" spans="1:5" x14ac:dyDescent="0.25">
      <c r="A2829" s="46">
        <v>153</v>
      </c>
      <c r="B2829" s="172" t="s">
        <v>234</v>
      </c>
      <c r="C2829" s="143" t="s">
        <v>476</v>
      </c>
      <c r="D2829" s="144">
        <v>2E-3</v>
      </c>
      <c r="E2829" s="236" t="s">
        <v>450</v>
      </c>
    </row>
    <row r="2830" spans="1:5" x14ac:dyDescent="0.25">
      <c r="A2830" s="46">
        <v>153</v>
      </c>
      <c r="B2830" s="172" t="s">
        <v>234</v>
      </c>
      <c r="C2830" s="143" t="s">
        <v>488</v>
      </c>
      <c r="D2830" s="144">
        <v>2E-3</v>
      </c>
      <c r="E2830" s="142" t="s">
        <v>450</v>
      </c>
    </row>
    <row r="2831" spans="1:5" x14ac:dyDescent="0.25">
      <c r="A2831" s="46">
        <v>153</v>
      </c>
      <c r="B2831" s="172" t="s">
        <v>234</v>
      </c>
      <c r="C2831" s="143" t="s">
        <v>520</v>
      </c>
      <c r="D2831" s="144">
        <v>5.0000000000000001E-3</v>
      </c>
      <c r="E2831" s="142" t="s">
        <v>450</v>
      </c>
    </row>
    <row r="2832" spans="1:5" x14ac:dyDescent="0.25">
      <c r="A2832" s="46">
        <v>153</v>
      </c>
      <c r="B2832" s="172" t="s">
        <v>234</v>
      </c>
      <c r="C2832" s="143" t="s">
        <v>487</v>
      </c>
      <c r="D2832" s="144">
        <v>1E-3</v>
      </c>
      <c r="E2832" s="142" t="s">
        <v>450</v>
      </c>
    </row>
    <row r="2833" spans="1:5" x14ac:dyDescent="0.25">
      <c r="A2833" s="46"/>
      <c r="B2833" s="237" t="s">
        <v>384</v>
      </c>
      <c r="C2833" s="89" t="s">
        <v>820</v>
      </c>
      <c r="D2833" s="141">
        <v>1</v>
      </c>
      <c r="E2833" s="150" t="s">
        <v>450</v>
      </c>
    </row>
    <row r="2834" spans="1:5" x14ac:dyDescent="0.25">
      <c r="A2834" s="46">
        <v>234</v>
      </c>
      <c r="B2834" s="172" t="s">
        <v>274</v>
      </c>
      <c r="C2834" s="143" t="s">
        <v>554</v>
      </c>
      <c r="D2834" s="144">
        <v>0.12</v>
      </c>
      <c r="E2834" s="142" t="s">
        <v>450</v>
      </c>
    </row>
    <row r="2835" spans="1:5" x14ac:dyDescent="0.25">
      <c r="A2835" s="46">
        <v>234</v>
      </c>
      <c r="B2835" s="172" t="s">
        <v>274</v>
      </c>
      <c r="C2835" s="160" t="s">
        <v>477</v>
      </c>
      <c r="D2835" s="144">
        <v>2.5000000000000001E-2</v>
      </c>
      <c r="E2835" s="142" t="s">
        <v>450</v>
      </c>
    </row>
    <row r="2836" spans="1:5" x14ac:dyDescent="0.25">
      <c r="A2836" s="46">
        <v>234</v>
      </c>
      <c r="B2836" s="172" t="s">
        <v>274</v>
      </c>
      <c r="C2836" s="143" t="s">
        <v>917</v>
      </c>
      <c r="D2836" s="144">
        <v>0.01</v>
      </c>
      <c r="E2836" s="142" t="s">
        <v>450</v>
      </c>
    </row>
    <row r="2837" spans="1:5" x14ac:dyDescent="0.25">
      <c r="A2837" s="46">
        <v>234</v>
      </c>
      <c r="B2837" s="172" t="s">
        <v>274</v>
      </c>
      <c r="C2837" s="143" t="s">
        <v>934</v>
      </c>
      <c r="D2837" s="144">
        <v>3.0000000000000001E-3</v>
      </c>
      <c r="E2837" s="141" t="s">
        <v>448</v>
      </c>
    </row>
    <row r="2838" spans="1:5" x14ac:dyDescent="0.25">
      <c r="A2838" s="46">
        <v>234</v>
      </c>
      <c r="B2838" s="172" t="s">
        <v>274</v>
      </c>
      <c r="C2838" s="143" t="s">
        <v>791</v>
      </c>
      <c r="D2838" s="144">
        <v>2E-3</v>
      </c>
      <c r="E2838" s="142" t="s">
        <v>450</v>
      </c>
    </row>
    <row r="2839" spans="1:5" x14ac:dyDescent="0.25">
      <c r="A2839" s="46">
        <v>234</v>
      </c>
      <c r="B2839" s="172" t="s">
        <v>274</v>
      </c>
      <c r="C2839" s="143" t="s">
        <v>478</v>
      </c>
      <c r="D2839" s="144">
        <v>3.0000000000000001E-3</v>
      </c>
      <c r="E2839" s="141" t="s">
        <v>448</v>
      </c>
    </row>
    <row r="2840" spans="1:5" x14ac:dyDescent="0.25">
      <c r="A2840" s="46">
        <v>234</v>
      </c>
      <c r="B2840" s="172" t="s">
        <v>274</v>
      </c>
      <c r="C2840" s="143" t="s">
        <v>785</v>
      </c>
      <c r="D2840" s="144">
        <v>1.2E-2</v>
      </c>
      <c r="E2840" s="142" t="s">
        <v>450</v>
      </c>
    </row>
    <row r="2841" spans="1:5" x14ac:dyDescent="0.25">
      <c r="A2841" s="46">
        <v>234</v>
      </c>
      <c r="B2841" s="172" t="s">
        <v>274</v>
      </c>
      <c r="C2841" s="143" t="s">
        <v>500</v>
      </c>
      <c r="D2841" s="144">
        <v>8.0000000000000002E-3</v>
      </c>
      <c r="E2841" s="142" t="s">
        <v>458</v>
      </c>
    </row>
    <row r="2842" spans="1:5" x14ac:dyDescent="0.25">
      <c r="A2842" s="46">
        <v>234</v>
      </c>
      <c r="B2842" s="172" t="s">
        <v>274</v>
      </c>
      <c r="C2842" s="143" t="s">
        <v>478</v>
      </c>
      <c r="D2842" s="144">
        <v>2.5000000000000001E-2</v>
      </c>
      <c r="E2842" s="142" t="s">
        <v>448</v>
      </c>
    </row>
    <row r="2843" spans="1:5" x14ac:dyDescent="0.25">
      <c r="A2843" s="46">
        <v>234</v>
      </c>
      <c r="B2843" s="172" t="s">
        <v>274</v>
      </c>
      <c r="C2843" s="143" t="s">
        <v>460</v>
      </c>
      <c r="D2843" s="144">
        <v>3.0000000000000001E-3</v>
      </c>
      <c r="E2843" s="142" t="s">
        <v>458</v>
      </c>
    </row>
    <row r="2844" spans="1:5" x14ac:dyDescent="0.25">
      <c r="A2844" s="46">
        <v>234</v>
      </c>
      <c r="B2844" s="172" t="s">
        <v>274</v>
      </c>
      <c r="C2844" s="143" t="s">
        <v>726</v>
      </c>
      <c r="D2844" s="144">
        <v>2E-3</v>
      </c>
      <c r="E2844" s="142" t="s">
        <v>458</v>
      </c>
    </row>
    <row r="2845" spans="1:5" x14ac:dyDescent="0.25">
      <c r="A2845" s="46">
        <v>234</v>
      </c>
      <c r="B2845" s="172" t="s">
        <v>274</v>
      </c>
      <c r="C2845" s="146" t="s">
        <v>476</v>
      </c>
      <c r="D2845" s="144">
        <v>0.01</v>
      </c>
      <c r="E2845" s="141" t="s">
        <v>450</v>
      </c>
    </row>
    <row r="2846" spans="1:5" x14ac:dyDescent="0.25">
      <c r="A2846" s="46">
        <v>296</v>
      </c>
      <c r="B2846" s="172" t="s">
        <v>328</v>
      </c>
      <c r="C2846" s="89" t="s">
        <v>554</v>
      </c>
      <c r="D2846" s="141">
        <v>4.4999999999999998E-2</v>
      </c>
      <c r="E2846" s="89" t="s">
        <v>458</v>
      </c>
    </row>
    <row r="2847" spans="1:5" x14ac:dyDescent="0.25">
      <c r="A2847" s="46">
        <v>296</v>
      </c>
      <c r="B2847" s="172" t="s">
        <v>328</v>
      </c>
      <c r="C2847" s="89" t="s">
        <v>610</v>
      </c>
      <c r="D2847" s="141">
        <v>3.5000000000000003E-2</v>
      </c>
      <c r="E2847" s="89" t="s">
        <v>458</v>
      </c>
    </row>
    <row r="2848" spans="1:5" x14ac:dyDescent="0.25">
      <c r="A2848" s="46">
        <v>296</v>
      </c>
      <c r="B2848" s="172" t="s">
        <v>328</v>
      </c>
      <c r="C2848" s="89" t="s">
        <v>962</v>
      </c>
      <c r="D2848" s="141">
        <v>0.04</v>
      </c>
      <c r="E2848" s="89" t="s">
        <v>458</v>
      </c>
    </row>
    <row r="2849" spans="1:5" x14ac:dyDescent="0.25">
      <c r="A2849" s="46">
        <v>296</v>
      </c>
      <c r="B2849" s="172" t="s">
        <v>328</v>
      </c>
      <c r="C2849" s="143" t="s">
        <v>449</v>
      </c>
      <c r="D2849" s="141">
        <v>5.0000000000000001E-3</v>
      </c>
      <c r="E2849" s="89" t="s">
        <v>458</v>
      </c>
    </row>
    <row r="2850" spans="1:5" x14ac:dyDescent="0.25">
      <c r="A2850" s="46">
        <v>296</v>
      </c>
      <c r="B2850" s="172" t="s">
        <v>328</v>
      </c>
      <c r="C2850" s="89" t="s">
        <v>629</v>
      </c>
      <c r="D2850" s="141">
        <v>0.01</v>
      </c>
      <c r="E2850" s="89" t="s">
        <v>458</v>
      </c>
    </row>
    <row r="2851" spans="1:5" x14ac:dyDescent="0.25">
      <c r="A2851" s="46">
        <v>296</v>
      </c>
      <c r="B2851" s="172" t="s">
        <v>328</v>
      </c>
      <c r="C2851" s="152" t="s">
        <v>503</v>
      </c>
      <c r="D2851" s="141">
        <v>1.4999999999999999E-2</v>
      </c>
      <c r="E2851" s="89" t="s">
        <v>458</v>
      </c>
    </row>
    <row r="2852" spans="1:5" x14ac:dyDescent="0.25">
      <c r="A2852" s="46">
        <v>296</v>
      </c>
      <c r="B2852" s="172" t="s">
        <v>328</v>
      </c>
      <c r="C2852" s="89" t="s">
        <v>478</v>
      </c>
      <c r="D2852" s="141">
        <v>0.03</v>
      </c>
      <c r="E2852" s="89" t="s">
        <v>448</v>
      </c>
    </row>
    <row r="2853" spans="1:5" x14ac:dyDescent="0.25">
      <c r="A2853" s="46">
        <v>296</v>
      </c>
      <c r="B2853" s="172" t="s">
        <v>328</v>
      </c>
      <c r="C2853" s="143" t="s">
        <v>500</v>
      </c>
      <c r="D2853" s="141">
        <v>8.0000000000000002E-3</v>
      </c>
      <c r="E2853" s="89" t="s">
        <v>458</v>
      </c>
    </row>
    <row r="2854" spans="1:5" x14ac:dyDescent="0.25">
      <c r="A2854" s="46">
        <v>296</v>
      </c>
      <c r="B2854" s="172" t="s">
        <v>328</v>
      </c>
      <c r="C2854" s="89" t="s">
        <v>480</v>
      </c>
      <c r="D2854" s="141">
        <v>1E-3</v>
      </c>
      <c r="E2854" s="89" t="s">
        <v>458</v>
      </c>
    </row>
    <row r="2855" spans="1:5" x14ac:dyDescent="0.25">
      <c r="A2855" s="46">
        <v>296</v>
      </c>
      <c r="B2855" s="172" t="s">
        <v>328</v>
      </c>
      <c r="C2855" s="89" t="s">
        <v>470</v>
      </c>
      <c r="D2855" s="141">
        <v>1E-3</v>
      </c>
      <c r="E2855" s="89" t="s">
        <v>458</v>
      </c>
    </row>
    <row r="2856" spans="1:5" x14ac:dyDescent="0.25">
      <c r="A2856" s="46">
        <v>296</v>
      </c>
      <c r="B2856" s="172" t="s">
        <v>328</v>
      </c>
      <c r="C2856" s="143" t="s">
        <v>864</v>
      </c>
      <c r="D2856" s="141">
        <v>0.01</v>
      </c>
      <c r="E2856" s="89" t="s">
        <v>458</v>
      </c>
    </row>
    <row r="2857" spans="1:5" x14ac:dyDescent="0.25">
      <c r="A2857" s="46">
        <v>5</v>
      </c>
      <c r="B2857" s="172" t="s">
        <v>151</v>
      </c>
      <c r="C2857" s="143" t="s">
        <v>563</v>
      </c>
      <c r="D2857" s="144">
        <v>0.05</v>
      </c>
      <c r="E2857" s="142" t="s">
        <v>450</v>
      </c>
    </row>
    <row r="2858" spans="1:5" x14ac:dyDescent="0.25">
      <c r="A2858" s="46">
        <v>5</v>
      </c>
      <c r="B2858" s="172" t="s">
        <v>151</v>
      </c>
      <c r="C2858" s="143" t="s">
        <v>564</v>
      </c>
      <c r="D2858" s="144">
        <v>0.02</v>
      </c>
      <c r="E2858" s="142" t="s">
        <v>450</v>
      </c>
    </row>
    <row r="2859" spans="1:5" x14ac:dyDescent="0.25">
      <c r="A2859" s="46">
        <v>5</v>
      </c>
      <c r="B2859" s="172" t="s">
        <v>151</v>
      </c>
      <c r="C2859" s="143" t="s">
        <v>565</v>
      </c>
      <c r="D2859" s="144">
        <v>1.4999999999999999E-2</v>
      </c>
      <c r="E2859" s="142" t="s">
        <v>458</v>
      </c>
    </row>
    <row r="2860" spans="1:5" x14ac:dyDescent="0.25">
      <c r="A2860" s="46">
        <v>5</v>
      </c>
      <c r="B2860" s="172" t="s">
        <v>151</v>
      </c>
      <c r="C2860" s="143" t="s">
        <v>449</v>
      </c>
      <c r="D2860" s="144">
        <v>2E-3</v>
      </c>
      <c r="E2860" s="142" t="s">
        <v>458</v>
      </c>
    </row>
    <row r="2861" spans="1:5" x14ac:dyDescent="0.25">
      <c r="A2861" s="46">
        <v>5</v>
      </c>
      <c r="B2861" s="172" t="s">
        <v>151</v>
      </c>
      <c r="C2861" s="143" t="s">
        <v>461</v>
      </c>
      <c r="D2861" s="144">
        <v>0.04</v>
      </c>
      <c r="E2861" s="142" t="s">
        <v>450</v>
      </c>
    </row>
    <row r="2862" spans="1:5" x14ac:dyDescent="0.25">
      <c r="A2862" s="46">
        <v>5</v>
      </c>
      <c r="B2862" s="172" t="s">
        <v>151</v>
      </c>
      <c r="C2862" s="143" t="s">
        <v>487</v>
      </c>
      <c r="D2862" s="144">
        <v>1E-3</v>
      </c>
      <c r="E2862" s="142" t="s">
        <v>450</v>
      </c>
    </row>
    <row r="2863" spans="1:5" x14ac:dyDescent="0.25">
      <c r="A2863" s="46">
        <v>5</v>
      </c>
      <c r="B2863" s="172" t="s">
        <v>151</v>
      </c>
      <c r="C2863" s="143" t="s">
        <v>467</v>
      </c>
      <c r="D2863" s="144">
        <v>2E-3</v>
      </c>
      <c r="E2863" s="142" t="s">
        <v>448</v>
      </c>
    </row>
    <row r="2864" spans="1:5" x14ac:dyDescent="0.25">
      <c r="A2864" s="46">
        <v>5</v>
      </c>
      <c r="B2864" s="172" t="s">
        <v>151</v>
      </c>
      <c r="C2864" s="143" t="s">
        <v>488</v>
      </c>
      <c r="D2864" s="144">
        <v>2E-3</v>
      </c>
      <c r="E2864" s="142" t="s">
        <v>450</v>
      </c>
    </row>
    <row r="2865" spans="1:5" x14ac:dyDescent="0.25">
      <c r="A2865" s="46">
        <v>5</v>
      </c>
      <c r="B2865" s="172" t="s">
        <v>151</v>
      </c>
      <c r="C2865" s="143" t="s">
        <v>566</v>
      </c>
      <c r="D2865" s="144">
        <v>0.1</v>
      </c>
      <c r="E2865" s="142" t="s">
        <v>450</v>
      </c>
    </row>
    <row r="2866" spans="1:5" x14ac:dyDescent="0.25">
      <c r="A2866" s="46">
        <v>5</v>
      </c>
      <c r="B2866" s="172" t="s">
        <v>151</v>
      </c>
      <c r="C2866" s="143" t="s">
        <v>451</v>
      </c>
      <c r="D2866" s="144">
        <v>4.0000000000000001E-3</v>
      </c>
      <c r="E2866" s="142" t="s">
        <v>450</v>
      </c>
    </row>
    <row r="2867" spans="1:5" x14ac:dyDescent="0.25">
      <c r="A2867" s="46">
        <v>5</v>
      </c>
      <c r="B2867" s="172" t="s">
        <v>151</v>
      </c>
      <c r="C2867" s="143" t="s">
        <v>498</v>
      </c>
      <c r="D2867" s="144">
        <v>4.0000000000000001E-3</v>
      </c>
      <c r="E2867" s="142" t="s">
        <v>450</v>
      </c>
    </row>
    <row r="2868" spans="1:5" x14ac:dyDescent="0.25">
      <c r="A2868" s="46">
        <v>5</v>
      </c>
      <c r="B2868" s="172" t="s">
        <v>151</v>
      </c>
      <c r="C2868" s="143" t="s">
        <v>546</v>
      </c>
      <c r="D2868" s="144">
        <v>1E-3</v>
      </c>
      <c r="E2868" s="142" t="s">
        <v>450</v>
      </c>
    </row>
    <row r="2869" spans="1:5" ht="15.75" thickBot="1" x14ac:dyDescent="0.3">
      <c r="A2869" s="46">
        <v>5</v>
      </c>
      <c r="B2869" s="172" t="s">
        <v>151</v>
      </c>
      <c r="C2869" s="238" t="s">
        <v>567</v>
      </c>
      <c r="D2869" s="144">
        <v>0.01</v>
      </c>
      <c r="E2869" s="142" t="s">
        <v>450</v>
      </c>
    </row>
    <row r="2870" spans="1:5" x14ac:dyDescent="0.25">
      <c r="A2870" s="46">
        <v>5</v>
      </c>
      <c r="B2870" s="172" t="s">
        <v>151</v>
      </c>
      <c r="C2870" s="143" t="s">
        <v>480</v>
      </c>
      <c r="D2870" s="144">
        <v>1E-3</v>
      </c>
      <c r="E2870" s="142" t="s">
        <v>458</v>
      </c>
    </row>
    <row r="2871" spans="1:5" x14ac:dyDescent="0.25">
      <c r="A2871" s="46">
        <v>5</v>
      </c>
      <c r="B2871" s="172" t="s">
        <v>151</v>
      </c>
      <c r="C2871" s="143" t="s">
        <v>493</v>
      </c>
      <c r="D2871" s="144">
        <v>1E-4</v>
      </c>
      <c r="E2871" s="142" t="s">
        <v>458</v>
      </c>
    </row>
    <row r="2872" spans="1:5" x14ac:dyDescent="0.25">
      <c r="A2872" s="46">
        <v>5</v>
      </c>
      <c r="B2872" s="172" t="s">
        <v>151</v>
      </c>
      <c r="C2872" s="143" t="s">
        <v>534</v>
      </c>
      <c r="D2872" s="144">
        <v>1E-4</v>
      </c>
      <c r="E2872" s="142" t="s">
        <v>458</v>
      </c>
    </row>
    <row r="2873" spans="1:5" x14ac:dyDescent="0.25">
      <c r="A2873" s="46">
        <v>5</v>
      </c>
      <c r="B2873" s="172" t="s">
        <v>151</v>
      </c>
      <c r="C2873" s="143" t="s">
        <v>495</v>
      </c>
      <c r="D2873" s="144">
        <v>1E-4</v>
      </c>
      <c r="E2873" s="142" t="s">
        <v>458</v>
      </c>
    </row>
    <row r="2874" spans="1:5" x14ac:dyDescent="0.25">
      <c r="A2874" s="46">
        <v>165</v>
      </c>
      <c r="B2874" s="172" t="s">
        <v>241</v>
      </c>
      <c r="C2874" s="89" t="s">
        <v>563</v>
      </c>
      <c r="D2874" s="141">
        <v>0.03</v>
      </c>
      <c r="E2874" s="141" t="s">
        <v>450</v>
      </c>
    </row>
    <row r="2875" spans="1:5" x14ac:dyDescent="0.25">
      <c r="A2875" s="46">
        <v>165</v>
      </c>
      <c r="B2875" s="172" t="s">
        <v>241</v>
      </c>
      <c r="C2875" s="89" t="s">
        <v>589</v>
      </c>
      <c r="D2875" s="141">
        <v>0.04</v>
      </c>
      <c r="E2875" s="141" t="s">
        <v>450</v>
      </c>
    </row>
    <row r="2876" spans="1:5" x14ac:dyDescent="0.25">
      <c r="A2876" s="46">
        <v>165</v>
      </c>
      <c r="B2876" s="172" t="s">
        <v>241</v>
      </c>
      <c r="C2876" s="89" t="s">
        <v>451</v>
      </c>
      <c r="D2876" s="141">
        <v>0.04</v>
      </c>
      <c r="E2876" s="141" t="s">
        <v>458</v>
      </c>
    </row>
    <row r="2877" spans="1:5" x14ac:dyDescent="0.25">
      <c r="A2877" s="46">
        <v>165</v>
      </c>
      <c r="B2877" s="172" t="s">
        <v>241</v>
      </c>
      <c r="C2877" s="89" t="s">
        <v>327</v>
      </c>
      <c r="D2877" s="141">
        <v>0.04</v>
      </c>
      <c r="E2877" s="141" t="s">
        <v>458</v>
      </c>
    </row>
    <row r="2878" spans="1:5" x14ac:dyDescent="0.25">
      <c r="A2878" s="46">
        <v>165</v>
      </c>
      <c r="B2878" s="172" t="s">
        <v>241</v>
      </c>
      <c r="C2878" s="89" t="s">
        <v>404</v>
      </c>
      <c r="D2878" s="141">
        <v>0.04</v>
      </c>
      <c r="E2878" s="141" t="s">
        <v>450</v>
      </c>
    </row>
    <row r="2879" spans="1:5" x14ac:dyDescent="0.25">
      <c r="A2879" s="46">
        <v>165</v>
      </c>
      <c r="B2879" s="143" t="s">
        <v>241</v>
      </c>
      <c r="C2879" s="89" t="s">
        <v>488</v>
      </c>
      <c r="D2879" s="141">
        <v>2E-3</v>
      </c>
      <c r="E2879" s="141" t="s">
        <v>450</v>
      </c>
    </row>
    <row r="2880" spans="1:5" x14ac:dyDescent="0.25">
      <c r="A2880" s="46">
        <v>165</v>
      </c>
      <c r="B2880" s="143" t="s">
        <v>241</v>
      </c>
      <c r="C2880" s="89" t="s">
        <v>467</v>
      </c>
      <c r="D2880" s="141">
        <v>2E-3</v>
      </c>
      <c r="E2880" s="141" t="s">
        <v>448</v>
      </c>
    </row>
    <row r="2881" spans="1:5" x14ac:dyDescent="0.25">
      <c r="A2881" s="46">
        <v>165</v>
      </c>
      <c r="B2881" s="143" t="s">
        <v>241</v>
      </c>
      <c r="C2881" s="89" t="s">
        <v>487</v>
      </c>
      <c r="D2881" s="141">
        <v>1E-3</v>
      </c>
      <c r="E2881" s="141" t="s">
        <v>458</v>
      </c>
    </row>
    <row r="2882" spans="1:5" x14ac:dyDescent="0.25">
      <c r="A2882" s="46">
        <v>165</v>
      </c>
      <c r="B2882" s="143" t="s">
        <v>241</v>
      </c>
      <c r="C2882" s="89" t="s">
        <v>527</v>
      </c>
      <c r="D2882" s="141">
        <v>2E-3</v>
      </c>
      <c r="E2882" s="141" t="s">
        <v>458</v>
      </c>
    </row>
    <row r="2883" spans="1:5" x14ac:dyDescent="0.25">
      <c r="A2883" s="46">
        <v>165</v>
      </c>
      <c r="B2883" s="143" t="s">
        <v>241</v>
      </c>
      <c r="C2883" s="89" t="s">
        <v>509</v>
      </c>
      <c r="D2883" s="141">
        <v>2E-3</v>
      </c>
      <c r="E2883" s="141" t="s">
        <v>458</v>
      </c>
    </row>
    <row r="2884" spans="1:5" x14ac:dyDescent="0.25">
      <c r="A2884" s="46">
        <v>165</v>
      </c>
      <c r="B2884" s="143" t="s">
        <v>241</v>
      </c>
      <c r="C2884" s="89" t="s">
        <v>493</v>
      </c>
      <c r="D2884" s="141">
        <v>1E-4</v>
      </c>
      <c r="E2884" s="141" t="s">
        <v>458</v>
      </c>
    </row>
    <row r="2885" spans="1:5" x14ac:dyDescent="0.25">
      <c r="A2885" s="46">
        <v>165</v>
      </c>
      <c r="B2885" s="143" t="s">
        <v>241</v>
      </c>
      <c r="C2885" s="89" t="s">
        <v>534</v>
      </c>
      <c r="D2885" s="141">
        <v>1E-4</v>
      </c>
      <c r="E2885" s="141" t="s">
        <v>458</v>
      </c>
    </row>
    <row r="2886" spans="1:5" x14ac:dyDescent="0.25">
      <c r="A2886" s="46">
        <v>165</v>
      </c>
      <c r="B2886" s="143" t="s">
        <v>241</v>
      </c>
      <c r="C2886" s="89" t="s">
        <v>659</v>
      </c>
      <c r="D2886" s="141">
        <v>1E-4</v>
      </c>
      <c r="E2886" s="141" t="s">
        <v>458</v>
      </c>
    </row>
    <row r="2887" spans="1:5" x14ac:dyDescent="0.25">
      <c r="A2887" s="46">
        <v>165</v>
      </c>
      <c r="B2887" s="143" t="s">
        <v>241</v>
      </c>
      <c r="C2887" s="89" t="s">
        <v>770</v>
      </c>
      <c r="D2887" s="141">
        <v>0.04</v>
      </c>
      <c r="E2887" s="141" t="s">
        <v>450</v>
      </c>
    </row>
    <row r="2888" spans="1:5" x14ac:dyDescent="0.25">
      <c r="A2888" s="46">
        <v>165</v>
      </c>
      <c r="B2888" s="143" t="s">
        <v>241</v>
      </c>
      <c r="C2888" s="89" t="s">
        <v>480</v>
      </c>
      <c r="D2888" s="141">
        <v>1E-3</v>
      </c>
      <c r="E2888" s="141" t="s">
        <v>450</v>
      </c>
    </row>
    <row r="2889" spans="1:5" x14ac:dyDescent="0.25">
      <c r="A2889" s="46">
        <v>165</v>
      </c>
      <c r="B2889" s="143" t="s">
        <v>241</v>
      </c>
      <c r="C2889" s="143" t="s">
        <v>566</v>
      </c>
      <c r="D2889" s="141">
        <v>0.1</v>
      </c>
      <c r="E2889" s="141" t="s">
        <v>448</v>
      </c>
    </row>
    <row r="2890" spans="1:5" x14ac:dyDescent="0.25">
      <c r="A2890" s="46"/>
      <c r="B2890" s="98" t="s">
        <v>396</v>
      </c>
      <c r="C2890" s="89" t="s">
        <v>1545</v>
      </c>
      <c r="D2890" s="141">
        <v>1</v>
      </c>
      <c r="E2890" s="150" t="s">
        <v>450</v>
      </c>
    </row>
    <row r="2891" spans="1:5" x14ac:dyDescent="0.25">
      <c r="A2891" s="46">
        <v>298</v>
      </c>
      <c r="B2891" s="143" t="s">
        <v>330</v>
      </c>
      <c r="C2891" s="89" t="s">
        <v>986</v>
      </c>
      <c r="D2891" s="141">
        <v>0.01</v>
      </c>
      <c r="E2891" s="89" t="s">
        <v>450</v>
      </c>
    </row>
    <row r="2892" spans="1:5" x14ac:dyDescent="0.25">
      <c r="A2892" s="46">
        <v>298</v>
      </c>
      <c r="B2892" s="143" t="s">
        <v>330</v>
      </c>
      <c r="C2892" s="89" t="s">
        <v>987</v>
      </c>
      <c r="D2892" s="141">
        <v>1.4999999999999999E-2</v>
      </c>
      <c r="E2892" s="89" t="s">
        <v>450</v>
      </c>
    </row>
    <row r="2893" spans="1:5" x14ac:dyDescent="0.25">
      <c r="A2893" s="46">
        <v>298</v>
      </c>
      <c r="B2893" s="239" t="s">
        <v>330</v>
      </c>
      <c r="C2893" s="89" t="s">
        <v>634</v>
      </c>
      <c r="D2893" s="141">
        <v>0.04</v>
      </c>
      <c r="E2893" s="89" t="s">
        <v>450</v>
      </c>
    </row>
    <row r="2894" spans="1:5" x14ac:dyDescent="0.25">
      <c r="A2894" s="46">
        <v>298</v>
      </c>
      <c r="B2894" s="239" t="s">
        <v>330</v>
      </c>
      <c r="C2894" s="89" t="s">
        <v>988</v>
      </c>
      <c r="D2894" s="141">
        <v>2.5000000000000001E-2</v>
      </c>
      <c r="E2894" s="89" t="s">
        <v>450</v>
      </c>
    </row>
    <row r="2895" spans="1:5" x14ac:dyDescent="0.25">
      <c r="A2895" s="46">
        <v>298</v>
      </c>
      <c r="B2895" s="239" t="s">
        <v>330</v>
      </c>
      <c r="C2895" s="89" t="s">
        <v>989</v>
      </c>
      <c r="D2895" s="141">
        <v>0.04</v>
      </c>
      <c r="E2895" s="89" t="s">
        <v>450</v>
      </c>
    </row>
    <row r="2896" spans="1:5" x14ac:dyDescent="0.25">
      <c r="A2896" s="46">
        <v>298</v>
      </c>
      <c r="B2896" s="143" t="s">
        <v>330</v>
      </c>
      <c r="C2896" s="89" t="s">
        <v>481</v>
      </c>
      <c r="D2896" s="141">
        <v>0.01</v>
      </c>
      <c r="E2896" s="89" t="s">
        <v>450</v>
      </c>
    </row>
    <row r="2897" spans="1:5" x14ac:dyDescent="0.25">
      <c r="A2897" s="46">
        <v>298</v>
      </c>
      <c r="B2897" s="143" t="s">
        <v>330</v>
      </c>
      <c r="C2897" s="89" t="s">
        <v>990</v>
      </c>
      <c r="D2897" s="141">
        <v>4</v>
      </c>
      <c r="E2897" s="145" t="s">
        <v>594</v>
      </c>
    </row>
    <row r="2898" spans="1:5" x14ac:dyDescent="0.25">
      <c r="A2898" s="46">
        <v>298</v>
      </c>
      <c r="B2898" s="143" t="s">
        <v>330</v>
      </c>
      <c r="C2898" s="89" t="s">
        <v>498</v>
      </c>
      <c r="D2898" s="141">
        <v>0.02</v>
      </c>
      <c r="E2898" s="89" t="s">
        <v>450</v>
      </c>
    </row>
    <row r="2899" spans="1:5" x14ac:dyDescent="0.25">
      <c r="A2899" s="46">
        <v>298</v>
      </c>
      <c r="B2899" s="143" t="s">
        <v>330</v>
      </c>
      <c r="C2899" s="89" t="s">
        <v>466</v>
      </c>
      <c r="D2899" s="141">
        <v>5.0000000000000001E-3</v>
      </c>
      <c r="E2899" s="89" t="s">
        <v>450</v>
      </c>
    </row>
    <row r="2900" spans="1:5" x14ac:dyDescent="0.25">
      <c r="A2900" s="46">
        <v>298</v>
      </c>
      <c r="B2900" s="143" t="s">
        <v>330</v>
      </c>
      <c r="C2900" s="89" t="s">
        <v>488</v>
      </c>
      <c r="D2900" s="141">
        <v>1E-3</v>
      </c>
      <c r="E2900" s="89"/>
    </row>
    <row r="2901" spans="1:5" x14ac:dyDescent="0.25">
      <c r="A2901" s="46">
        <v>298</v>
      </c>
      <c r="B2901" s="143" t="s">
        <v>330</v>
      </c>
      <c r="C2901" s="89" t="s">
        <v>613</v>
      </c>
      <c r="D2901" s="141">
        <v>1E-3</v>
      </c>
      <c r="E2901" s="89"/>
    </row>
    <row r="2902" spans="1:5" x14ac:dyDescent="0.25">
      <c r="A2902" s="46">
        <v>298</v>
      </c>
      <c r="B2902" s="143" t="s">
        <v>330</v>
      </c>
      <c r="C2902" s="89" t="s">
        <v>694</v>
      </c>
      <c r="D2902" s="141">
        <v>1E-3</v>
      </c>
      <c r="E2902" s="89"/>
    </row>
    <row r="2903" spans="1:5" x14ac:dyDescent="0.25">
      <c r="A2903" s="46">
        <v>298</v>
      </c>
      <c r="B2903" s="143" t="s">
        <v>330</v>
      </c>
      <c r="C2903" s="89" t="s">
        <v>453</v>
      </c>
      <c r="D2903" s="141">
        <v>0.01</v>
      </c>
      <c r="E2903" s="89" t="s">
        <v>450</v>
      </c>
    </row>
    <row r="2904" spans="1:5" x14ac:dyDescent="0.25">
      <c r="A2904" s="46">
        <v>298</v>
      </c>
      <c r="B2904" s="143" t="s">
        <v>330</v>
      </c>
      <c r="C2904" s="89" t="s">
        <v>836</v>
      </c>
      <c r="D2904" s="141">
        <v>1E-3</v>
      </c>
      <c r="E2904" s="89"/>
    </row>
    <row r="2905" spans="1:5" x14ac:dyDescent="0.25">
      <c r="A2905" s="46">
        <v>298</v>
      </c>
      <c r="B2905" s="143" t="s">
        <v>330</v>
      </c>
      <c r="C2905" s="89" t="s">
        <v>633</v>
      </c>
      <c r="D2905" s="141">
        <v>0.05</v>
      </c>
      <c r="E2905" s="89" t="s">
        <v>450</v>
      </c>
    </row>
    <row r="2906" spans="1:5" x14ac:dyDescent="0.25">
      <c r="A2906" s="46">
        <v>298</v>
      </c>
      <c r="B2906" s="143" t="s">
        <v>330</v>
      </c>
      <c r="C2906" s="89" t="s">
        <v>637</v>
      </c>
      <c r="D2906" s="141">
        <v>5.0000000000000001E-3</v>
      </c>
      <c r="E2906" s="89" t="s">
        <v>450</v>
      </c>
    </row>
    <row r="2907" spans="1:5" x14ac:dyDescent="0.25">
      <c r="A2907" s="46">
        <v>297</v>
      </c>
      <c r="B2907" s="143" t="s">
        <v>329</v>
      </c>
      <c r="C2907" s="152" t="s">
        <v>511</v>
      </c>
      <c r="D2907" s="141">
        <v>0.04</v>
      </c>
      <c r="E2907" s="89" t="s">
        <v>458</v>
      </c>
    </row>
    <row r="2908" spans="1:5" x14ac:dyDescent="0.25">
      <c r="A2908" s="46">
        <v>297</v>
      </c>
      <c r="B2908" s="143" t="s">
        <v>329</v>
      </c>
      <c r="C2908" s="89" t="s">
        <v>962</v>
      </c>
      <c r="D2908" s="141">
        <v>0.01</v>
      </c>
      <c r="E2908" s="89" t="s">
        <v>458</v>
      </c>
    </row>
    <row r="2909" spans="1:5" x14ac:dyDescent="0.25">
      <c r="A2909" s="46">
        <v>297</v>
      </c>
      <c r="B2909" s="143" t="s">
        <v>329</v>
      </c>
      <c r="C2909" s="89" t="s">
        <v>527</v>
      </c>
      <c r="D2909" s="141">
        <v>3.5000000000000003E-2</v>
      </c>
      <c r="E2909" s="89" t="s">
        <v>458</v>
      </c>
    </row>
    <row r="2910" spans="1:5" x14ac:dyDescent="0.25">
      <c r="A2910" s="46">
        <v>297</v>
      </c>
      <c r="B2910" s="143" t="s">
        <v>329</v>
      </c>
      <c r="C2910" s="89" t="s">
        <v>785</v>
      </c>
      <c r="D2910" s="141">
        <v>3.5000000000000003E-2</v>
      </c>
      <c r="E2910" s="89" t="s">
        <v>458</v>
      </c>
    </row>
    <row r="2911" spans="1:5" x14ac:dyDescent="0.25">
      <c r="A2911" s="46">
        <v>297</v>
      </c>
      <c r="B2911" s="143" t="s">
        <v>329</v>
      </c>
      <c r="C2911" s="89" t="s">
        <v>963</v>
      </c>
      <c r="D2911" s="141">
        <v>0.02</v>
      </c>
      <c r="E2911" s="89" t="s">
        <v>458</v>
      </c>
    </row>
    <row r="2912" spans="1:5" x14ac:dyDescent="0.25">
      <c r="A2912" s="46">
        <v>297</v>
      </c>
      <c r="B2912" s="143" t="s">
        <v>329</v>
      </c>
      <c r="C2912" s="89" t="s">
        <v>964</v>
      </c>
      <c r="D2912" s="141">
        <v>0.03</v>
      </c>
      <c r="E2912" s="89" t="s">
        <v>458</v>
      </c>
    </row>
    <row r="2913" spans="1:5" x14ac:dyDescent="0.25">
      <c r="A2913" s="46">
        <v>297</v>
      </c>
      <c r="B2913" s="143" t="s">
        <v>329</v>
      </c>
      <c r="C2913" s="89" t="s">
        <v>921</v>
      </c>
      <c r="D2913" s="141">
        <v>0.03</v>
      </c>
      <c r="E2913" s="89" t="s">
        <v>458</v>
      </c>
    </row>
    <row r="2914" spans="1:5" x14ac:dyDescent="0.25">
      <c r="A2914" s="46">
        <v>297</v>
      </c>
      <c r="B2914" s="143" t="s">
        <v>329</v>
      </c>
      <c r="C2914" s="89" t="s">
        <v>558</v>
      </c>
      <c r="D2914" s="141">
        <v>0.02</v>
      </c>
      <c r="E2914" s="89" t="s">
        <v>448</v>
      </c>
    </row>
    <row r="2915" spans="1:5" x14ac:dyDescent="0.25">
      <c r="A2915" s="46">
        <v>297</v>
      </c>
      <c r="B2915" s="143" t="s">
        <v>329</v>
      </c>
      <c r="C2915" s="89" t="s">
        <v>470</v>
      </c>
      <c r="D2915" s="141">
        <v>3.0000000000000001E-3</v>
      </c>
      <c r="E2915" s="89" t="s">
        <v>458</v>
      </c>
    </row>
    <row r="2916" spans="1:5" x14ac:dyDescent="0.25">
      <c r="A2916" s="46">
        <v>297</v>
      </c>
      <c r="B2916" s="143" t="s">
        <v>329</v>
      </c>
      <c r="C2916" s="147" t="s">
        <v>532</v>
      </c>
      <c r="D2916" s="141">
        <v>6.0000000000000001E-3</v>
      </c>
      <c r="E2916" s="89" t="s">
        <v>458</v>
      </c>
    </row>
    <row r="2917" spans="1:5" x14ac:dyDescent="0.25">
      <c r="A2917" s="46">
        <v>297</v>
      </c>
      <c r="B2917" s="143" t="s">
        <v>329</v>
      </c>
      <c r="C2917" s="89" t="s">
        <v>493</v>
      </c>
      <c r="D2917" s="141">
        <v>1.0000000000000001E-5</v>
      </c>
      <c r="E2917" s="89" t="s">
        <v>458</v>
      </c>
    </row>
    <row r="2918" spans="1:5" x14ac:dyDescent="0.25">
      <c r="A2918" s="46">
        <v>297</v>
      </c>
      <c r="B2918" s="143" t="s">
        <v>329</v>
      </c>
      <c r="C2918" s="89" t="s">
        <v>495</v>
      </c>
      <c r="D2918" s="141">
        <v>1.0000000000000001E-5</v>
      </c>
      <c r="E2918" s="89" t="s">
        <v>458</v>
      </c>
    </row>
    <row r="2919" spans="1:5" x14ac:dyDescent="0.25">
      <c r="A2919" s="46">
        <v>297</v>
      </c>
      <c r="B2919" s="143" t="s">
        <v>329</v>
      </c>
      <c r="C2919" s="89" t="s">
        <v>827</v>
      </c>
      <c r="D2919" s="141">
        <v>0.01</v>
      </c>
      <c r="E2919" s="89" t="s">
        <v>458</v>
      </c>
    </row>
    <row r="2920" spans="1:5" x14ac:dyDescent="0.25">
      <c r="A2920" s="46">
        <v>297</v>
      </c>
      <c r="B2920" s="143" t="s">
        <v>329</v>
      </c>
      <c r="C2920" s="89" t="s">
        <v>726</v>
      </c>
      <c r="D2920" s="141">
        <v>0.01</v>
      </c>
      <c r="E2920" s="89" t="s">
        <v>458</v>
      </c>
    </row>
    <row r="2921" spans="1:5" x14ac:dyDescent="0.25">
      <c r="A2921" s="46">
        <v>297</v>
      </c>
      <c r="B2921" s="143" t="s">
        <v>329</v>
      </c>
      <c r="C2921" s="89" t="s">
        <v>900</v>
      </c>
      <c r="D2921" s="141">
        <v>0.03</v>
      </c>
      <c r="E2921" s="89" t="s">
        <v>458</v>
      </c>
    </row>
    <row r="2922" spans="1:5" x14ac:dyDescent="0.25">
      <c r="A2922" s="46">
        <v>297</v>
      </c>
      <c r="B2922" s="143" t="s">
        <v>329</v>
      </c>
      <c r="C2922" s="89" t="s">
        <v>487</v>
      </c>
      <c r="D2922" s="141">
        <v>1E-4</v>
      </c>
      <c r="E2922" s="89" t="s">
        <v>458</v>
      </c>
    </row>
    <row r="2923" spans="1:5" x14ac:dyDescent="0.25">
      <c r="A2923" s="46">
        <v>38</v>
      </c>
      <c r="B2923" s="143" t="s">
        <v>174</v>
      </c>
      <c r="C2923" s="146" t="s">
        <v>633</v>
      </c>
      <c r="D2923" s="148">
        <v>7.0000000000000007E-2</v>
      </c>
      <c r="E2923" s="145" t="s">
        <v>458</v>
      </c>
    </row>
    <row r="2924" spans="1:5" x14ac:dyDescent="0.25">
      <c r="A2924" s="46">
        <v>38</v>
      </c>
      <c r="B2924" s="143" t="s">
        <v>174</v>
      </c>
      <c r="C2924" s="146" t="s">
        <v>634</v>
      </c>
      <c r="D2924" s="148">
        <v>0.05</v>
      </c>
      <c r="E2924" s="145" t="s">
        <v>458</v>
      </c>
    </row>
    <row r="2925" spans="1:5" x14ac:dyDescent="0.25">
      <c r="A2925" s="46">
        <v>38</v>
      </c>
      <c r="B2925" s="143" t="s">
        <v>174</v>
      </c>
      <c r="C2925" s="146" t="s">
        <v>635</v>
      </c>
      <c r="D2925" s="148">
        <v>0.05</v>
      </c>
      <c r="E2925" s="145" t="s">
        <v>450</v>
      </c>
    </row>
    <row r="2926" spans="1:5" x14ac:dyDescent="0.25">
      <c r="A2926" s="46">
        <v>38</v>
      </c>
      <c r="B2926" s="143" t="s">
        <v>174</v>
      </c>
      <c r="C2926" s="146" t="s">
        <v>612</v>
      </c>
      <c r="D2926" s="148">
        <v>0.02</v>
      </c>
      <c r="E2926" s="145" t="s">
        <v>450</v>
      </c>
    </row>
    <row r="2927" spans="1:5" x14ac:dyDescent="0.25">
      <c r="A2927" s="46">
        <v>38</v>
      </c>
      <c r="B2927" s="143" t="s">
        <v>174</v>
      </c>
      <c r="C2927" s="146" t="s">
        <v>489</v>
      </c>
      <c r="D2927" s="148">
        <v>1.4999999999999999E-2</v>
      </c>
      <c r="E2927" s="145" t="s">
        <v>458</v>
      </c>
    </row>
    <row r="2928" spans="1:5" x14ac:dyDescent="0.25">
      <c r="A2928" s="46">
        <v>38</v>
      </c>
      <c r="B2928" s="143" t="s">
        <v>174</v>
      </c>
      <c r="C2928" s="143" t="s">
        <v>449</v>
      </c>
      <c r="D2928" s="148">
        <v>3.0000000000000001E-3</v>
      </c>
      <c r="E2928" s="145" t="s">
        <v>458</v>
      </c>
    </row>
    <row r="2929" spans="1:6" x14ac:dyDescent="0.25">
      <c r="A2929" s="46">
        <v>38</v>
      </c>
      <c r="B2929" s="143" t="s">
        <v>174</v>
      </c>
      <c r="C2929" s="146" t="s">
        <v>490</v>
      </c>
      <c r="D2929" s="148">
        <v>0.03</v>
      </c>
      <c r="E2929" s="145" t="s">
        <v>458</v>
      </c>
    </row>
    <row r="2930" spans="1:6" x14ac:dyDescent="0.25">
      <c r="A2930" s="46">
        <v>38</v>
      </c>
      <c r="B2930" s="143" t="s">
        <v>174</v>
      </c>
      <c r="C2930" s="146" t="s">
        <v>481</v>
      </c>
      <c r="D2930" s="148">
        <v>3.0000000000000001E-3</v>
      </c>
      <c r="E2930" s="145" t="s">
        <v>458</v>
      </c>
    </row>
    <row r="2931" spans="1:6" x14ac:dyDescent="0.25">
      <c r="A2931" s="46">
        <v>38</v>
      </c>
      <c r="B2931" s="143" t="s">
        <v>174</v>
      </c>
      <c r="C2931" s="146" t="s">
        <v>636</v>
      </c>
      <c r="D2931" s="148">
        <v>1E-3</v>
      </c>
      <c r="E2931" s="145" t="s">
        <v>450</v>
      </c>
    </row>
    <row r="2932" spans="1:6" x14ac:dyDescent="0.25">
      <c r="A2932" s="46">
        <v>38</v>
      </c>
      <c r="B2932" s="143" t="s">
        <v>174</v>
      </c>
      <c r="C2932" s="146" t="s">
        <v>637</v>
      </c>
      <c r="D2932" s="148">
        <v>2E-3</v>
      </c>
      <c r="E2932" s="145" t="s">
        <v>458</v>
      </c>
    </row>
    <row r="2933" spans="1:6" x14ac:dyDescent="0.25">
      <c r="A2933" s="46">
        <v>38</v>
      </c>
      <c r="B2933" s="143" t="s">
        <v>174</v>
      </c>
      <c r="C2933" s="146" t="s">
        <v>614</v>
      </c>
      <c r="D2933" s="148">
        <v>2E-3</v>
      </c>
      <c r="E2933" s="145" t="s">
        <v>458</v>
      </c>
    </row>
    <row r="2934" spans="1:6" x14ac:dyDescent="0.25">
      <c r="A2934" s="46">
        <v>38</v>
      </c>
      <c r="B2934" s="143" t="s">
        <v>174</v>
      </c>
      <c r="C2934" s="146" t="s">
        <v>488</v>
      </c>
      <c r="D2934" s="148">
        <v>1.5E-3</v>
      </c>
      <c r="E2934" s="145" t="s">
        <v>458</v>
      </c>
    </row>
    <row r="2935" spans="1:6" x14ac:dyDescent="0.25">
      <c r="A2935" s="51"/>
      <c r="B2935" s="97"/>
      <c r="C2935" s="50"/>
      <c r="D2935" s="44"/>
      <c r="E2935" s="52"/>
      <c r="F2935" s="138"/>
    </row>
  </sheetData>
  <dataValidations count="1">
    <dataValidation type="list" allowBlank="1" showInputMessage="1" showErrorMessage="1" sqref="C2379:C2380 C2382:C2393">
      <formula1>$B$2:$B$548</formula1>
    </dataValidation>
  </dataValidations>
  <pageMargins left="0.7" right="0.7" top="0.75" bottom="0.75" header="0.3" footer="0.3"/>
  <pageSetup paperSize="9" orientation="portrait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'C:\Users\Luiz Calfa\Desktop\Programacao Cardapios\[Plano Cardapio GreenUp - Revisado 10_Mar.xlsx]Ingrediente Master Lista'!#REF!</xm:f>
          </x14:formula1>
          <xm:sqref>C2330:C2377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9"/>
  </sheetPr>
  <dimension ref="A1:E185"/>
  <sheetViews>
    <sheetView topLeftCell="B44" workbookViewId="0">
      <selection activeCell="B63" sqref="B63"/>
    </sheetView>
  </sheetViews>
  <sheetFormatPr defaultColWidth="8.85546875" defaultRowHeight="15" x14ac:dyDescent="0.25"/>
  <cols>
    <col min="1" max="1" width="7" style="40" bestFit="1" customWidth="1"/>
    <col min="2" max="2" width="58.140625" customWidth="1"/>
    <col min="3" max="3" width="13.85546875" bestFit="1" customWidth="1"/>
  </cols>
  <sheetData>
    <row r="1" spans="1:5" x14ac:dyDescent="0.25">
      <c r="A1" s="25" t="s">
        <v>146</v>
      </c>
      <c r="B1" s="26" t="s">
        <v>147</v>
      </c>
      <c r="C1" s="26" t="s">
        <v>429</v>
      </c>
      <c r="D1" s="81" t="s">
        <v>1464</v>
      </c>
      <c r="E1" s="81" t="s">
        <v>1465</v>
      </c>
    </row>
    <row r="2" spans="1:5" x14ac:dyDescent="0.25">
      <c r="A2" s="32">
        <v>275</v>
      </c>
      <c r="B2" s="35" t="s">
        <v>305</v>
      </c>
      <c r="C2" s="29" t="s">
        <v>306</v>
      </c>
    </row>
    <row r="3" spans="1:5" x14ac:dyDescent="0.25">
      <c r="A3" s="32">
        <v>278</v>
      </c>
      <c r="B3" s="35" t="s">
        <v>309</v>
      </c>
      <c r="C3" s="29" t="s">
        <v>306</v>
      </c>
    </row>
    <row r="4" spans="1:5" x14ac:dyDescent="0.25">
      <c r="A4" s="32">
        <v>279</v>
      </c>
      <c r="B4" s="35" t="s">
        <v>310</v>
      </c>
      <c r="C4" s="29" t="s">
        <v>306</v>
      </c>
    </row>
    <row r="5" spans="1:5" x14ac:dyDescent="0.25">
      <c r="A5" s="32">
        <v>283</v>
      </c>
      <c r="B5" s="35" t="s">
        <v>314</v>
      </c>
      <c r="C5" s="29" t="s">
        <v>306</v>
      </c>
    </row>
    <row r="6" spans="1:5" x14ac:dyDescent="0.25">
      <c r="A6" s="32">
        <v>290</v>
      </c>
      <c r="B6" s="35" t="s">
        <v>322</v>
      </c>
      <c r="C6" s="29" t="s">
        <v>306</v>
      </c>
    </row>
    <row r="7" spans="1:5" x14ac:dyDescent="0.25">
      <c r="A7" s="32">
        <v>292</v>
      </c>
      <c r="B7" s="35" t="s">
        <v>324</v>
      </c>
      <c r="C7" s="29" t="s">
        <v>306</v>
      </c>
    </row>
    <row r="8" spans="1:5" x14ac:dyDescent="0.25">
      <c r="A8" s="32">
        <v>295</v>
      </c>
      <c r="B8" s="35" t="s">
        <v>327</v>
      </c>
      <c r="C8" s="29" t="s">
        <v>306</v>
      </c>
    </row>
    <row r="9" spans="1:5" x14ac:dyDescent="0.25">
      <c r="A9" s="32">
        <v>289</v>
      </c>
      <c r="B9" s="35" t="s">
        <v>321</v>
      </c>
      <c r="C9" s="29" t="s">
        <v>306</v>
      </c>
    </row>
    <row r="10" spans="1:5" x14ac:dyDescent="0.25">
      <c r="A10" s="36">
        <v>314</v>
      </c>
      <c r="B10" s="37" t="s">
        <v>1473</v>
      </c>
      <c r="C10" s="33" t="s">
        <v>176</v>
      </c>
    </row>
    <row r="11" spans="1:5" x14ac:dyDescent="0.25">
      <c r="A11" s="27">
        <v>39</v>
      </c>
      <c r="B11" s="28" t="s">
        <v>1472</v>
      </c>
      <c r="C11" s="29" t="s">
        <v>176</v>
      </c>
    </row>
    <row r="12" spans="1:5" x14ac:dyDescent="0.25">
      <c r="A12" s="27">
        <v>41</v>
      </c>
      <c r="B12" s="28" t="s">
        <v>131</v>
      </c>
      <c r="C12" s="29" t="s">
        <v>176</v>
      </c>
    </row>
    <row r="13" spans="1:5" x14ac:dyDescent="0.25">
      <c r="A13" s="27">
        <v>42</v>
      </c>
      <c r="B13" s="28" t="s">
        <v>71</v>
      </c>
      <c r="C13" s="29" t="s">
        <v>176</v>
      </c>
    </row>
    <row r="14" spans="1:5" x14ac:dyDescent="0.25">
      <c r="A14" s="27">
        <v>44</v>
      </c>
      <c r="B14" s="28" t="s">
        <v>177</v>
      </c>
      <c r="C14" s="29" t="s">
        <v>176</v>
      </c>
    </row>
    <row r="15" spans="1:5" x14ac:dyDescent="0.25">
      <c r="A15" s="27">
        <v>45</v>
      </c>
      <c r="B15" s="28" t="s">
        <v>178</v>
      </c>
      <c r="C15" s="29" t="s">
        <v>176</v>
      </c>
    </row>
    <row r="16" spans="1:5" x14ac:dyDescent="0.25">
      <c r="A16" s="27">
        <v>46</v>
      </c>
      <c r="B16" s="28" t="s">
        <v>179</v>
      </c>
      <c r="C16" s="29" t="s">
        <v>176</v>
      </c>
    </row>
    <row r="17" spans="1:5" x14ac:dyDescent="0.25">
      <c r="A17" s="27">
        <v>47</v>
      </c>
      <c r="B17" s="28" t="s">
        <v>217</v>
      </c>
      <c r="C17" s="29" t="s">
        <v>176</v>
      </c>
    </row>
    <row r="18" spans="1:5" x14ac:dyDescent="0.25">
      <c r="A18" s="27">
        <v>50</v>
      </c>
      <c r="B18" s="28" t="s">
        <v>182</v>
      </c>
      <c r="C18" s="29" t="s">
        <v>176</v>
      </c>
    </row>
    <row r="19" spans="1:5" x14ac:dyDescent="0.25">
      <c r="A19" s="27">
        <v>51</v>
      </c>
      <c r="B19" s="28" t="s">
        <v>56</v>
      </c>
      <c r="C19" s="29" t="s">
        <v>176</v>
      </c>
    </row>
    <row r="20" spans="1:5" x14ac:dyDescent="0.25">
      <c r="A20" s="27">
        <v>118</v>
      </c>
      <c r="B20" s="28" t="s">
        <v>213</v>
      </c>
      <c r="C20" s="29" t="s">
        <v>176</v>
      </c>
    </row>
    <row r="21" spans="1:5" x14ac:dyDescent="0.25">
      <c r="A21" s="27">
        <v>119</v>
      </c>
      <c r="B21" s="28" t="s">
        <v>214</v>
      </c>
      <c r="C21" s="29" t="s">
        <v>176</v>
      </c>
    </row>
    <row r="22" spans="1:5" x14ac:dyDescent="0.25">
      <c r="A22" s="27">
        <v>122</v>
      </c>
      <c r="B22" s="28" t="s">
        <v>216</v>
      </c>
      <c r="C22" s="29" t="s">
        <v>176</v>
      </c>
    </row>
    <row r="23" spans="1:5" x14ac:dyDescent="0.25">
      <c r="A23" s="27">
        <v>129</v>
      </c>
      <c r="B23" s="28" t="s">
        <v>57</v>
      </c>
      <c r="C23" s="29" t="s">
        <v>176</v>
      </c>
    </row>
    <row r="24" spans="1:5" x14ac:dyDescent="0.25">
      <c r="A24" s="27">
        <v>130</v>
      </c>
      <c r="B24" s="28" t="s">
        <v>65</v>
      </c>
      <c r="C24" s="29" t="s">
        <v>176</v>
      </c>
    </row>
    <row r="25" spans="1:5" x14ac:dyDescent="0.25">
      <c r="A25" s="27">
        <v>168</v>
      </c>
      <c r="B25" s="28" t="s">
        <v>66</v>
      </c>
      <c r="C25" s="29" t="s">
        <v>176</v>
      </c>
    </row>
    <row r="26" spans="1:5" x14ac:dyDescent="0.25">
      <c r="A26" s="27">
        <v>169</v>
      </c>
      <c r="B26" s="28" t="s">
        <v>59</v>
      </c>
      <c r="C26" s="29" t="s">
        <v>176</v>
      </c>
    </row>
    <row r="27" spans="1:5" x14ac:dyDescent="0.25">
      <c r="A27" s="27">
        <v>170</v>
      </c>
      <c r="B27" s="28" t="s">
        <v>67</v>
      </c>
      <c r="C27" s="29" t="s">
        <v>176</v>
      </c>
    </row>
    <row r="28" spans="1:5" x14ac:dyDescent="0.25">
      <c r="A28" s="27">
        <v>171</v>
      </c>
      <c r="B28" s="28" t="s">
        <v>61</v>
      </c>
      <c r="C28" s="29" t="s">
        <v>176</v>
      </c>
      <c r="D28" t="s">
        <v>1469</v>
      </c>
      <c r="E28" t="s">
        <v>1466</v>
      </c>
    </row>
    <row r="29" spans="1:5" x14ac:dyDescent="0.25">
      <c r="A29" s="32">
        <v>198</v>
      </c>
      <c r="B29" s="28" t="s">
        <v>62</v>
      </c>
      <c r="C29" s="29" t="s">
        <v>176</v>
      </c>
    </row>
    <row r="30" spans="1:5" x14ac:dyDescent="0.25">
      <c r="A30" s="32">
        <v>199</v>
      </c>
      <c r="B30" s="28" t="s">
        <v>69</v>
      </c>
      <c r="C30" s="29" t="s">
        <v>176</v>
      </c>
    </row>
    <row r="31" spans="1:5" x14ac:dyDescent="0.25">
      <c r="A31" s="32">
        <v>200</v>
      </c>
      <c r="B31" s="28" t="s">
        <v>261</v>
      </c>
      <c r="C31" s="29" t="s">
        <v>176</v>
      </c>
    </row>
    <row r="32" spans="1:5" x14ac:dyDescent="0.25">
      <c r="A32" s="32">
        <v>201</v>
      </c>
      <c r="B32" s="28" t="s">
        <v>262</v>
      </c>
      <c r="C32" s="29" t="s">
        <v>176</v>
      </c>
    </row>
    <row r="33" spans="1:4" x14ac:dyDescent="0.25">
      <c r="A33" s="32">
        <v>204</v>
      </c>
      <c r="B33" s="28" t="s">
        <v>263</v>
      </c>
      <c r="C33" s="29" t="s">
        <v>176</v>
      </c>
    </row>
    <row r="34" spans="1:4" x14ac:dyDescent="0.25">
      <c r="A34" s="32">
        <v>217</v>
      </c>
      <c r="B34" s="28" t="s">
        <v>270</v>
      </c>
      <c r="C34" s="33" t="s">
        <v>176</v>
      </c>
    </row>
    <row r="35" spans="1:4" x14ac:dyDescent="0.25">
      <c r="A35" s="32">
        <v>218</v>
      </c>
      <c r="B35" s="34" t="s">
        <v>271</v>
      </c>
      <c r="C35" s="33" t="s">
        <v>176</v>
      </c>
    </row>
    <row r="36" spans="1:4" x14ac:dyDescent="0.25">
      <c r="A36" s="32">
        <v>257</v>
      </c>
      <c r="B36" s="28" t="s">
        <v>289</v>
      </c>
      <c r="C36" s="33" t="s">
        <v>176</v>
      </c>
    </row>
    <row r="37" spans="1:4" x14ac:dyDescent="0.25">
      <c r="A37" s="32">
        <v>259</v>
      </c>
      <c r="B37" s="28" t="s">
        <v>1441</v>
      </c>
      <c r="C37" s="33" t="s">
        <v>176</v>
      </c>
      <c r="D37" t="s">
        <v>1442</v>
      </c>
    </row>
    <row r="38" spans="1:4" x14ac:dyDescent="0.25">
      <c r="A38" s="36">
        <v>304</v>
      </c>
      <c r="B38" s="37" t="s">
        <v>60</v>
      </c>
      <c r="C38" s="33" t="s">
        <v>176</v>
      </c>
    </row>
    <row r="39" spans="1:4" x14ac:dyDescent="0.25">
      <c r="A39" s="27">
        <v>28</v>
      </c>
      <c r="B39" s="28" t="s">
        <v>88</v>
      </c>
      <c r="C39" s="29" t="s">
        <v>166</v>
      </c>
    </row>
    <row r="40" spans="1:4" x14ac:dyDescent="0.25">
      <c r="A40" s="27">
        <v>29</v>
      </c>
      <c r="B40" s="28" t="s">
        <v>443</v>
      </c>
      <c r="C40" s="29" t="s">
        <v>166</v>
      </c>
    </row>
    <row r="41" spans="1:4" x14ac:dyDescent="0.25">
      <c r="A41" s="27">
        <v>32</v>
      </c>
      <c r="B41" s="28" t="s">
        <v>74</v>
      </c>
      <c r="C41" s="29" t="s">
        <v>166</v>
      </c>
    </row>
    <row r="42" spans="1:4" x14ac:dyDescent="0.25">
      <c r="A42" s="27">
        <v>34</v>
      </c>
      <c r="B42" s="28" t="s">
        <v>171</v>
      </c>
      <c r="C42" s="29" t="s">
        <v>166</v>
      </c>
    </row>
    <row r="43" spans="1:4" x14ac:dyDescent="0.25">
      <c r="A43" s="27">
        <v>35</v>
      </c>
      <c r="B43" s="28" t="s">
        <v>442</v>
      </c>
      <c r="C43" s="29" t="s">
        <v>166</v>
      </c>
    </row>
    <row r="44" spans="1:4" x14ac:dyDescent="0.25">
      <c r="A44" s="27">
        <v>36</v>
      </c>
      <c r="B44" s="28" t="s">
        <v>172</v>
      </c>
      <c r="C44" s="29" t="s">
        <v>166</v>
      </c>
    </row>
    <row r="45" spans="1:4" x14ac:dyDescent="0.25">
      <c r="A45" s="27">
        <v>37</v>
      </c>
      <c r="B45" s="28" t="s">
        <v>432</v>
      </c>
      <c r="C45" s="29" t="s">
        <v>166</v>
      </c>
    </row>
    <row r="46" spans="1:4" x14ac:dyDescent="0.25">
      <c r="A46" s="27">
        <v>38</v>
      </c>
      <c r="B46" s="28" t="s">
        <v>428</v>
      </c>
      <c r="C46" s="29" t="s">
        <v>166</v>
      </c>
    </row>
    <row r="47" spans="1:4" x14ac:dyDescent="0.25">
      <c r="A47" s="27">
        <v>53</v>
      </c>
      <c r="B47" s="28" t="s">
        <v>183</v>
      </c>
      <c r="C47" s="29" t="s">
        <v>166</v>
      </c>
    </row>
    <row r="48" spans="1:4" x14ac:dyDescent="0.25">
      <c r="A48" s="27">
        <v>121</v>
      </c>
      <c r="B48" s="28" t="s">
        <v>215</v>
      </c>
      <c r="C48" s="29" t="s">
        <v>166</v>
      </c>
    </row>
    <row r="49" spans="1:5" x14ac:dyDescent="0.25">
      <c r="A49" s="27">
        <v>124</v>
      </c>
      <c r="B49" s="28" t="s">
        <v>218</v>
      </c>
      <c r="C49" s="29" t="s">
        <v>166</v>
      </c>
    </row>
    <row r="50" spans="1:5" x14ac:dyDescent="0.25">
      <c r="A50" s="27">
        <v>133</v>
      </c>
      <c r="B50" s="28" t="s">
        <v>219</v>
      </c>
      <c r="C50" s="29" t="s">
        <v>166</v>
      </c>
    </row>
    <row r="51" spans="1:5" x14ac:dyDescent="0.25">
      <c r="A51" s="27">
        <v>137</v>
      </c>
      <c r="B51" s="28" t="s">
        <v>80</v>
      </c>
      <c r="C51" s="29" t="s">
        <v>166</v>
      </c>
    </row>
    <row r="52" spans="1:5" x14ac:dyDescent="0.25">
      <c r="A52" s="27">
        <v>138</v>
      </c>
      <c r="B52" s="28" t="s">
        <v>221</v>
      </c>
      <c r="C52" s="29" t="s">
        <v>166</v>
      </c>
    </row>
    <row r="53" spans="1:5" x14ac:dyDescent="0.25">
      <c r="A53" s="27">
        <v>139</v>
      </c>
      <c r="B53" s="28" t="s">
        <v>444</v>
      </c>
      <c r="C53" s="29" t="s">
        <v>166</v>
      </c>
    </row>
    <row r="54" spans="1:5" x14ac:dyDescent="0.25">
      <c r="A54" s="27">
        <v>141</v>
      </c>
      <c r="B54" s="28" t="s">
        <v>224</v>
      </c>
      <c r="C54" s="29" t="s">
        <v>166</v>
      </c>
    </row>
    <row r="55" spans="1:5" x14ac:dyDescent="0.25">
      <c r="A55" s="27">
        <v>142</v>
      </c>
      <c r="B55" s="28" t="s">
        <v>225</v>
      </c>
      <c r="C55" s="29" t="s">
        <v>166</v>
      </c>
    </row>
    <row r="56" spans="1:5" x14ac:dyDescent="0.25">
      <c r="A56" s="27">
        <v>144</v>
      </c>
      <c r="B56" s="28" t="s">
        <v>76</v>
      </c>
      <c r="C56" s="29" t="s">
        <v>166</v>
      </c>
      <c r="D56" t="s">
        <v>1469</v>
      </c>
      <c r="E56" t="s">
        <v>1466</v>
      </c>
    </row>
    <row r="57" spans="1:5" x14ac:dyDescent="0.25">
      <c r="A57" s="32">
        <v>202</v>
      </c>
      <c r="B57" s="28" t="s">
        <v>170</v>
      </c>
      <c r="C57" s="29" t="s">
        <v>166</v>
      </c>
    </row>
    <row r="58" spans="1:5" x14ac:dyDescent="0.25">
      <c r="A58" s="32">
        <v>203</v>
      </c>
      <c r="B58" s="28" t="s">
        <v>77</v>
      </c>
      <c r="C58" s="29" t="s">
        <v>166</v>
      </c>
    </row>
    <row r="59" spans="1:5" x14ac:dyDescent="0.25">
      <c r="A59" s="32">
        <v>212</v>
      </c>
      <c r="B59" s="28" t="s">
        <v>268</v>
      </c>
      <c r="C59" s="33" t="s">
        <v>166</v>
      </c>
    </row>
    <row r="60" spans="1:5" x14ac:dyDescent="0.25">
      <c r="A60" s="32">
        <v>213</v>
      </c>
      <c r="B60" s="28" t="s">
        <v>89</v>
      </c>
      <c r="C60" s="33" t="s">
        <v>166</v>
      </c>
    </row>
    <row r="61" spans="1:5" x14ac:dyDescent="0.25">
      <c r="A61" s="32">
        <v>214</v>
      </c>
      <c r="B61" s="28" t="s">
        <v>84</v>
      </c>
      <c r="C61" s="33" t="s">
        <v>166</v>
      </c>
    </row>
    <row r="62" spans="1:5" x14ac:dyDescent="0.25">
      <c r="A62" s="32">
        <v>246</v>
      </c>
      <c r="B62" s="34" t="s">
        <v>81</v>
      </c>
      <c r="C62" s="33" t="s">
        <v>166</v>
      </c>
    </row>
    <row r="63" spans="1:5" x14ac:dyDescent="0.25">
      <c r="A63" s="32">
        <v>248</v>
      </c>
      <c r="B63" s="37" t="s">
        <v>1494</v>
      </c>
      <c r="C63" s="33" t="s">
        <v>166</v>
      </c>
      <c r="D63" t="s">
        <v>1466</v>
      </c>
    </row>
    <row r="64" spans="1:5" x14ac:dyDescent="0.25">
      <c r="A64" s="32">
        <v>264</v>
      </c>
      <c r="B64" s="28" t="s">
        <v>295</v>
      </c>
      <c r="C64" s="33" t="s">
        <v>166</v>
      </c>
    </row>
    <row r="65" spans="1:3" x14ac:dyDescent="0.25">
      <c r="A65" s="32">
        <v>266</v>
      </c>
      <c r="B65" s="28" t="s">
        <v>297</v>
      </c>
      <c r="C65" s="33" t="s">
        <v>166</v>
      </c>
    </row>
    <row r="66" spans="1:3" x14ac:dyDescent="0.25">
      <c r="A66" s="32">
        <v>267</v>
      </c>
      <c r="B66" s="28" t="s">
        <v>85</v>
      </c>
      <c r="C66" s="33" t="s">
        <v>166</v>
      </c>
    </row>
    <row r="67" spans="1:3" x14ac:dyDescent="0.25">
      <c r="A67" s="36">
        <v>298</v>
      </c>
      <c r="B67" s="37" t="s">
        <v>330</v>
      </c>
      <c r="C67" s="33" t="s">
        <v>166</v>
      </c>
    </row>
    <row r="68" spans="1:3" x14ac:dyDescent="0.25">
      <c r="A68" s="36">
        <v>309</v>
      </c>
      <c r="B68" s="37" t="s">
        <v>340</v>
      </c>
      <c r="C68" s="33" t="s">
        <v>166</v>
      </c>
    </row>
    <row r="69" spans="1:3" x14ac:dyDescent="0.25">
      <c r="A69" s="36">
        <v>311</v>
      </c>
      <c r="B69" s="37" t="s">
        <v>342</v>
      </c>
      <c r="C69" s="33" t="s">
        <v>166</v>
      </c>
    </row>
    <row r="70" spans="1:3" x14ac:dyDescent="0.25">
      <c r="A70" s="36">
        <v>313</v>
      </c>
      <c r="B70" s="37" t="s">
        <v>344</v>
      </c>
      <c r="C70" s="33" t="s">
        <v>166</v>
      </c>
    </row>
    <row r="71" spans="1:3" x14ac:dyDescent="0.25">
      <c r="A71" s="36">
        <v>316</v>
      </c>
      <c r="B71" s="37" t="s">
        <v>346</v>
      </c>
      <c r="C71" s="33" t="s">
        <v>166</v>
      </c>
    </row>
    <row r="72" spans="1:3" x14ac:dyDescent="0.25">
      <c r="A72" s="36">
        <v>317</v>
      </c>
      <c r="B72" s="37" t="s">
        <v>347</v>
      </c>
      <c r="C72" s="33" t="s">
        <v>166</v>
      </c>
    </row>
    <row r="73" spans="1:3" x14ac:dyDescent="0.25">
      <c r="A73" s="36">
        <v>319</v>
      </c>
      <c r="B73" s="37" t="s">
        <v>348</v>
      </c>
      <c r="C73" s="33" t="s">
        <v>166</v>
      </c>
    </row>
    <row r="74" spans="1:3" x14ac:dyDescent="0.25">
      <c r="A74" s="36">
        <v>320</v>
      </c>
      <c r="B74" s="37" t="s">
        <v>78</v>
      </c>
      <c r="C74" s="33" t="s">
        <v>166</v>
      </c>
    </row>
    <row r="75" spans="1:3" x14ac:dyDescent="0.25">
      <c r="A75" s="36">
        <v>321</v>
      </c>
      <c r="B75" s="37" t="s">
        <v>349</v>
      </c>
      <c r="C75" s="33" t="s">
        <v>166</v>
      </c>
    </row>
    <row r="76" spans="1:3" x14ac:dyDescent="0.25">
      <c r="A76" s="36">
        <v>323</v>
      </c>
      <c r="B76" s="37" t="s">
        <v>351</v>
      </c>
      <c r="C76" s="33" t="s">
        <v>166</v>
      </c>
    </row>
    <row r="77" spans="1:3" x14ac:dyDescent="0.25">
      <c r="A77" s="36">
        <v>327</v>
      </c>
      <c r="B77" s="34" t="s">
        <v>75</v>
      </c>
      <c r="C77" s="33" t="s">
        <v>166</v>
      </c>
    </row>
    <row r="78" spans="1:3" x14ac:dyDescent="0.25">
      <c r="A78" s="36">
        <v>328</v>
      </c>
      <c r="B78" s="28" t="s">
        <v>354</v>
      </c>
      <c r="C78" s="33" t="s">
        <v>166</v>
      </c>
    </row>
    <row r="79" spans="1:3" x14ac:dyDescent="0.25">
      <c r="A79" s="36">
        <v>331</v>
      </c>
      <c r="B79" s="28" t="s">
        <v>357</v>
      </c>
      <c r="C79" s="33" t="s">
        <v>166</v>
      </c>
    </row>
    <row r="80" spans="1:3" x14ac:dyDescent="0.25">
      <c r="A80" s="36">
        <v>332</v>
      </c>
      <c r="B80" s="28" t="s">
        <v>358</v>
      </c>
      <c r="C80" s="33" t="s">
        <v>166</v>
      </c>
    </row>
    <row r="81" spans="1:3" x14ac:dyDescent="0.25">
      <c r="A81" s="36">
        <v>334</v>
      </c>
      <c r="B81" s="28" t="s">
        <v>360</v>
      </c>
      <c r="C81" s="33" t="s">
        <v>166</v>
      </c>
    </row>
    <row r="82" spans="1:3" x14ac:dyDescent="0.25">
      <c r="A82" s="36">
        <v>337</v>
      </c>
      <c r="B82" s="28" t="s">
        <v>361</v>
      </c>
      <c r="C82" s="33" t="s">
        <v>166</v>
      </c>
    </row>
    <row r="83" spans="1:3" x14ac:dyDescent="0.25">
      <c r="A83" s="36">
        <v>349</v>
      </c>
      <c r="B83" s="28" t="s">
        <v>370</v>
      </c>
      <c r="C83" s="33" t="s">
        <v>166</v>
      </c>
    </row>
    <row r="84" spans="1:3" x14ac:dyDescent="0.25">
      <c r="A84" s="36">
        <v>351</v>
      </c>
      <c r="B84" s="37" t="s">
        <v>372</v>
      </c>
      <c r="C84" s="33" t="s">
        <v>166</v>
      </c>
    </row>
    <row r="85" spans="1:3" x14ac:dyDescent="0.25">
      <c r="A85" s="36">
        <v>357</v>
      </c>
      <c r="B85" s="28" t="s">
        <v>375</v>
      </c>
      <c r="C85" s="33" t="s">
        <v>166</v>
      </c>
    </row>
    <row r="86" spans="1:3" x14ac:dyDescent="0.25">
      <c r="A86" s="27">
        <v>73</v>
      </c>
      <c r="B86" s="28" t="s">
        <v>194</v>
      </c>
      <c r="C86" s="29" t="s">
        <v>195</v>
      </c>
    </row>
    <row r="87" spans="1:3" x14ac:dyDescent="0.25">
      <c r="A87" s="27">
        <v>74</v>
      </c>
      <c r="B87" s="28" t="s">
        <v>196</v>
      </c>
      <c r="C87" s="29" t="s">
        <v>195</v>
      </c>
    </row>
    <row r="88" spans="1:3" x14ac:dyDescent="0.25">
      <c r="A88" s="27">
        <v>75</v>
      </c>
      <c r="B88" s="73" t="s">
        <v>1229</v>
      </c>
      <c r="C88" s="29" t="s">
        <v>195</v>
      </c>
    </row>
    <row r="89" spans="1:3" x14ac:dyDescent="0.25">
      <c r="A89" s="27">
        <v>114</v>
      </c>
      <c r="B89" s="73" t="s">
        <v>209</v>
      </c>
      <c r="C89" s="29" t="s">
        <v>195</v>
      </c>
    </row>
    <row r="90" spans="1:3" x14ac:dyDescent="0.25">
      <c r="A90" s="27">
        <v>115</v>
      </c>
      <c r="B90" s="73" t="s">
        <v>210</v>
      </c>
      <c r="C90" s="29" t="s">
        <v>195</v>
      </c>
    </row>
    <row r="91" spans="1:3" x14ac:dyDescent="0.25">
      <c r="A91" s="32">
        <v>271</v>
      </c>
      <c r="B91" s="74" t="s">
        <v>1228</v>
      </c>
      <c r="C91" s="29" t="s">
        <v>195</v>
      </c>
    </row>
    <row r="92" spans="1:3" x14ac:dyDescent="0.25">
      <c r="A92" s="32">
        <v>272</v>
      </c>
      <c r="B92" s="74" t="s">
        <v>302</v>
      </c>
      <c r="C92" s="29" t="s">
        <v>195</v>
      </c>
    </row>
    <row r="93" spans="1:3" x14ac:dyDescent="0.25">
      <c r="A93" s="32">
        <v>273</v>
      </c>
      <c r="B93" s="74" t="s">
        <v>303</v>
      </c>
      <c r="C93" s="29" t="s">
        <v>195</v>
      </c>
    </row>
    <row r="94" spans="1:3" x14ac:dyDescent="0.25">
      <c r="A94" s="32">
        <v>274</v>
      </c>
      <c r="B94" s="74" t="s">
        <v>304</v>
      </c>
      <c r="C94" s="29" t="s">
        <v>195</v>
      </c>
    </row>
    <row r="95" spans="1:3" x14ac:dyDescent="0.25">
      <c r="A95" s="32">
        <v>281</v>
      </c>
      <c r="B95" s="74" t="s">
        <v>312</v>
      </c>
      <c r="C95" s="29" t="s">
        <v>195</v>
      </c>
    </row>
    <row r="96" spans="1:3" x14ac:dyDescent="0.25">
      <c r="A96" s="32">
        <v>291</v>
      </c>
      <c r="B96" s="35" t="s">
        <v>323</v>
      </c>
      <c r="C96" s="29" t="s">
        <v>195</v>
      </c>
    </row>
    <row r="97" spans="1:5" x14ac:dyDescent="0.25">
      <c r="A97" s="32">
        <v>293</v>
      </c>
      <c r="B97" s="35" t="s">
        <v>325</v>
      </c>
      <c r="C97" s="29" t="s">
        <v>195</v>
      </c>
    </row>
    <row r="98" spans="1:5" x14ac:dyDescent="0.25">
      <c r="A98" s="40">
        <v>500</v>
      </c>
      <c r="B98" s="38" t="s">
        <v>1444</v>
      </c>
      <c r="C98" s="39" t="s">
        <v>166</v>
      </c>
    </row>
    <row r="99" spans="1:5" x14ac:dyDescent="0.25">
      <c r="A99" s="40">
        <v>501</v>
      </c>
      <c r="B99" s="38" t="s">
        <v>1461</v>
      </c>
      <c r="C99" s="39" t="s">
        <v>176</v>
      </c>
    </row>
    <row r="100" spans="1:5" x14ac:dyDescent="0.25">
      <c r="A100" s="40">
        <v>502</v>
      </c>
      <c r="B100" s="38" t="s">
        <v>1445</v>
      </c>
      <c r="C100" s="39" t="s">
        <v>176</v>
      </c>
    </row>
    <row r="101" spans="1:5" x14ac:dyDescent="0.25">
      <c r="A101" s="40">
        <v>503</v>
      </c>
      <c r="B101" s="38" t="s">
        <v>1446</v>
      </c>
      <c r="C101" s="39" t="s">
        <v>166</v>
      </c>
      <c r="E101" t="s">
        <v>1466</v>
      </c>
    </row>
    <row r="102" spans="1:5" x14ac:dyDescent="0.25">
      <c r="A102" s="40">
        <v>504</v>
      </c>
      <c r="B102" s="38" t="s">
        <v>1447</v>
      </c>
      <c r="C102" s="39" t="s">
        <v>166</v>
      </c>
      <c r="E102" t="s">
        <v>1466</v>
      </c>
    </row>
    <row r="103" spans="1:5" x14ac:dyDescent="0.25">
      <c r="A103" s="40">
        <v>505</v>
      </c>
      <c r="B103" s="38" t="s">
        <v>1448</v>
      </c>
      <c r="C103" s="39" t="s">
        <v>176</v>
      </c>
    </row>
    <row r="104" spans="1:5" x14ac:dyDescent="0.25">
      <c r="A104" s="40">
        <v>506</v>
      </c>
      <c r="B104" s="38" t="s">
        <v>1449</v>
      </c>
      <c r="C104" s="39" t="s">
        <v>176</v>
      </c>
    </row>
    <row r="105" spans="1:5" x14ac:dyDescent="0.25">
      <c r="A105" s="40">
        <v>507</v>
      </c>
      <c r="B105" s="38" t="s">
        <v>1460</v>
      </c>
      <c r="C105" s="39" t="s">
        <v>176</v>
      </c>
      <c r="E105" t="s">
        <v>1466</v>
      </c>
    </row>
    <row r="106" spans="1:5" x14ac:dyDescent="0.25">
      <c r="A106" s="40">
        <v>508</v>
      </c>
      <c r="B106" s="38" t="s">
        <v>1450</v>
      </c>
      <c r="C106" s="39" t="s">
        <v>166</v>
      </c>
    </row>
    <row r="107" spans="1:5" x14ac:dyDescent="0.25">
      <c r="A107" s="40">
        <v>509</v>
      </c>
      <c r="B107" s="38" t="s">
        <v>1471</v>
      </c>
      <c r="C107" s="39" t="s">
        <v>176</v>
      </c>
      <c r="E107" t="s">
        <v>1466</v>
      </c>
    </row>
    <row r="108" spans="1:5" x14ac:dyDescent="0.25">
      <c r="A108" s="40">
        <v>510</v>
      </c>
      <c r="B108" s="38" t="s">
        <v>1451</v>
      </c>
      <c r="C108" s="39" t="s">
        <v>176</v>
      </c>
    </row>
    <row r="109" spans="1:5" x14ac:dyDescent="0.25">
      <c r="A109" s="40">
        <v>511</v>
      </c>
      <c r="B109" s="38" t="s">
        <v>1457</v>
      </c>
      <c r="C109" s="85" t="s">
        <v>166</v>
      </c>
      <c r="E109" t="s">
        <v>1466</v>
      </c>
    </row>
    <row r="110" spans="1:5" x14ac:dyDescent="0.25">
      <c r="A110" s="40">
        <v>512</v>
      </c>
      <c r="B110" s="38" t="s">
        <v>1456</v>
      </c>
      <c r="C110" s="39" t="s">
        <v>176</v>
      </c>
    </row>
    <row r="111" spans="1:5" x14ac:dyDescent="0.25">
      <c r="A111" s="40">
        <v>513</v>
      </c>
      <c r="B111" s="38" t="s">
        <v>1455</v>
      </c>
      <c r="C111" s="39" t="s">
        <v>176</v>
      </c>
      <c r="E111" t="s">
        <v>1466</v>
      </c>
    </row>
    <row r="112" spans="1:5" x14ac:dyDescent="0.25">
      <c r="A112" s="40">
        <v>514</v>
      </c>
      <c r="B112" t="s">
        <v>1452</v>
      </c>
      <c r="C112" s="85" t="s">
        <v>166</v>
      </c>
      <c r="E112" t="s">
        <v>1466</v>
      </c>
    </row>
    <row r="113" spans="1:5" x14ac:dyDescent="0.25">
      <c r="A113" s="40">
        <v>515</v>
      </c>
      <c r="B113" s="94" t="s">
        <v>1454</v>
      </c>
      <c r="C113" s="85" t="s">
        <v>166</v>
      </c>
    </row>
    <row r="114" spans="1:5" x14ac:dyDescent="0.25">
      <c r="A114" s="40">
        <v>516</v>
      </c>
      <c r="B114" s="94" t="s">
        <v>1453</v>
      </c>
      <c r="C114" s="85" t="s">
        <v>166</v>
      </c>
    </row>
    <row r="115" spans="1:5" x14ac:dyDescent="0.25">
      <c r="A115" s="40">
        <v>517</v>
      </c>
      <c r="B115" s="94" t="s">
        <v>1458</v>
      </c>
      <c r="C115" s="39" t="s">
        <v>176</v>
      </c>
    </row>
    <row r="116" spans="1:5" x14ac:dyDescent="0.25">
      <c r="A116" s="40">
        <v>518</v>
      </c>
      <c r="B116" s="94" t="s">
        <v>1459</v>
      </c>
      <c r="C116" s="39" t="s">
        <v>176</v>
      </c>
    </row>
    <row r="117" spans="1:5" x14ac:dyDescent="0.25">
      <c r="A117" s="40">
        <v>519</v>
      </c>
      <c r="B117" s="28" t="s">
        <v>445</v>
      </c>
      <c r="C117" s="33" t="s">
        <v>166</v>
      </c>
      <c r="E117" t="s">
        <v>1466</v>
      </c>
    </row>
    <row r="118" spans="1:5" x14ac:dyDescent="0.25">
      <c r="A118" s="40">
        <v>520</v>
      </c>
      <c r="B118" s="28" t="s">
        <v>1462</v>
      </c>
      <c r="C118" s="33" t="s">
        <v>166</v>
      </c>
      <c r="E118" t="s">
        <v>1466</v>
      </c>
    </row>
    <row r="119" spans="1:5" x14ac:dyDescent="0.25">
      <c r="A119" s="40">
        <v>521</v>
      </c>
      <c r="B119" s="28" t="s">
        <v>1463</v>
      </c>
      <c r="C119" s="33" t="s">
        <v>166</v>
      </c>
      <c r="E119" t="s">
        <v>1466</v>
      </c>
    </row>
    <row r="120" spans="1:5" x14ac:dyDescent="0.25">
      <c r="A120" s="40">
        <v>522</v>
      </c>
      <c r="B120" s="28" t="s">
        <v>439</v>
      </c>
      <c r="C120" s="33" t="s">
        <v>166</v>
      </c>
    </row>
    <row r="121" spans="1:5" x14ac:dyDescent="0.25">
      <c r="A121" s="95">
        <v>523</v>
      </c>
      <c r="B121" s="28" t="s">
        <v>440</v>
      </c>
      <c r="C121" s="33" t="s">
        <v>166</v>
      </c>
    </row>
    <row r="122" spans="1:5" x14ac:dyDescent="0.25">
      <c r="A122" s="95">
        <v>524</v>
      </c>
      <c r="B122" s="28" t="s">
        <v>441</v>
      </c>
      <c r="C122" s="33" t="s">
        <v>166</v>
      </c>
    </row>
    <row r="123" spans="1:5" x14ac:dyDescent="0.25">
      <c r="A123" s="36">
        <v>525</v>
      </c>
      <c r="B123" s="37" t="s">
        <v>436</v>
      </c>
      <c r="C123" s="33" t="s">
        <v>176</v>
      </c>
    </row>
    <row r="124" spans="1:5" x14ac:dyDescent="0.25">
      <c r="A124" s="36">
        <v>526</v>
      </c>
      <c r="B124" s="37" t="s">
        <v>437</v>
      </c>
      <c r="C124" s="33" t="s">
        <v>176</v>
      </c>
    </row>
    <row r="125" spans="1:5" x14ac:dyDescent="0.25">
      <c r="A125" s="36">
        <v>527</v>
      </c>
      <c r="B125" s="37" t="s">
        <v>438</v>
      </c>
      <c r="C125" s="33" t="s">
        <v>176</v>
      </c>
    </row>
    <row r="126" spans="1:5" x14ac:dyDescent="0.25">
      <c r="A126" s="96">
        <v>528</v>
      </c>
      <c r="B126" s="35" t="s">
        <v>119</v>
      </c>
      <c r="C126" s="39" t="s">
        <v>118</v>
      </c>
    </row>
    <row r="127" spans="1:5" x14ac:dyDescent="0.25">
      <c r="A127" s="96">
        <v>529</v>
      </c>
      <c r="B127" s="35" t="s">
        <v>121</v>
      </c>
      <c r="C127" s="39" t="s">
        <v>118</v>
      </c>
    </row>
    <row r="128" spans="1:5" x14ac:dyDescent="0.25">
      <c r="A128" s="96">
        <v>530</v>
      </c>
      <c r="B128" s="35" t="s">
        <v>120</v>
      </c>
      <c r="C128" s="39" t="s">
        <v>118</v>
      </c>
    </row>
    <row r="129" spans="1:5" x14ac:dyDescent="0.25">
      <c r="A129" s="40">
        <v>531</v>
      </c>
      <c r="B129" s="38" t="s">
        <v>1470</v>
      </c>
      <c r="C129" s="39" t="s">
        <v>166</v>
      </c>
      <c r="E129" t="s">
        <v>1466</v>
      </c>
    </row>
    <row r="130" spans="1:5" x14ac:dyDescent="0.25">
      <c r="A130" s="96">
        <v>532</v>
      </c>
      <c r="B130" s="35" t="s">
        <v>433</v>
      </c>
      <c r="C130" s="39" t="s">
        <v>435</v>
      </c>
    </row>
    <row r="131" spans="1:5" x14ac:dyDescent="0.25">
      <c r="A131" s="96">
        <v>533</v>
      </c>
      <c r="B131" s="35" t="s">
        <v>434</v>
      </c>
      <c r="C131" s="39" t="s">
        <v>435</v>
      </c>
    </row>
    <row r="132" spans="1:5" x14ac:dyDescent="0.25">
      <c r="A132" s="96">
        <v>534</v>
      </c>
      <c r="B132" s="35" t="s">
        <v>423</v>
      </c>
      <c r="C132" s="39" t="s">
        <v>446</v>
      </c>
    </row>
    <row r="133" spans="1:5" x14ac:dyDescent="0.25">
      <c r="A133" s="40">
        <v>535</v>
      </c>
      <c r="B133" s="35" t="s">
        <v>424</v>
      </c>
      <c r="C133" s="39" t="s">
        <v>446</v>
      </c>
    </row>
    <row r="134" spans="1:5" x14ac:dyDescent="0.25">
      <c r="A134" s="96">
        <v>536</v>
      </c>
      <c r="B134" s="35" t="s">
        <v>425</v>
      </c>
      <c r="C134" s="39" t="s">
        <v>446</v>
      </c>
    </row>
    <row r="135" spans="1:5" x14ac:dyDescent="0.25">
      <c r="A135" s="96">
        <v>537</v>
      </c>
      <c r="B135" s="35" t="s">
        <v>426</v>
      </c>
      <c r="C135" s="39" t="s">
        <v>446</v>
      </c>
    </row>
    <row r="136" spans="1:5" x14ac:dyDescent="0.25">
      <c r="A136" s="96">
        <v>538</v>
      </c>
      <c r="B136" s="35" t="s">
        <v>427</v>
      </c>
      <c r="C136" s="39" t="s">
        <v>446</v>
      </c>
    </row>
    <row r="137" spans="1:5" x14ac:dyDescent="0.25">
      <c r="A137" s="40">
        <v>539</v>
      </c>
      <c r="B137" s="28" t="s">
        <v>376</v>
      </c>
      <c r="C137" s="29" t="s">
        <v>16</v>
      </c>
    </row>
    <row r="138" spans="1:5" x14ac:dyDescent="0.25">
      <c r="A138" s="96">
        <v>540</v>
      </c>
      <c r="B138" s="28" t="s">
        <v>377</v>
      </c>
      <c r="C138" s="29" t="s">
        <v>16</v>
      </c>
    </row>
    <row r="139" spans="1:5" x14ac:dyDescent="0.25">
      <c r="A139" s="96">
        <v>541</v>
      </c>
      <c r="B139" s="28" t="s">
        <v>378</v>
      </c>
      <c r="C139" s="29" t="s">
        <v>16</v>
      </c>
    </row>
    <row r="140" spans="1:5" x14ac:dyDescent="0.25">
      <c r="A140" s="96">
        <v>542</v>
      </c>
      <c r="B140" s="28" t="s">
        <v>379</v>
      </c>
      <c r="C140" s="29" t="s">
        <v>16</v>
      </c>
    </row>
    <row r="141" spans="1:5" x14ac:dyDescent="0.25">
      <c r="A141" s="40">
        <v>543</v>
      </c>
      <c r="B141" s="28" t="s">
        <v>380</v>
      </c>
      <c r="C141" s="29" t="s">
        <v>16</v>
      </c>
    </row>
    <row r="142" spans="1:5" x14ac:dyDescent="0.25">
      <c r="A142" s="96">
        <v>544</v>
      </c>
      <c r="B142" s="28" t="s">
        <v>381</v>
      </c>
      <c r="C142" s="29" t="s">
        <v>16</v>
      </c>
    </row>
    <row r="143" spans="1:5" x14ac:dyDescent="0.25">
      <c r="A143" s="96">
        <v>545</v>
      </c>
      <c r="B143" s="28" t="s">
        <v>382</v>
      </c>
      <c r="C143" s="29" t="s">
        <v>421</v>
      </c>
    </row>
    <row r="144" spans="1:5" x14ac:dyDescent="0.25">
      <c r="A144" s="96">
        <v>546</v>
      </c>
      <c r="B144" s="28" t="s">
        <v>383</v>
      </c>
      <c r="C144" s="29" t="s">
        <v>421</v>
      </c>
    </row>
    <row r="145" spans="1:3" x14ac:dyDescent="0.25">
      <c r="A145" s="40">
        <v>547</v>
      </c>
      <c r="B145" s="28" t="s">
        <v>384</v>
      </c>
      <c r="C145" s="29" t="s">
        <v>421</v>
      </c>
    </row>
    <row r="146" spans="1:3" x14ac:dyDescent="0.25">
      <c r="A146" s="96">
        <v>548</v>
      </c>
      <c r="B146" s="28" t="s">
        <v>385</v>
      </c>
      <c r="C146" s="29" t="s">
        <v>421</v>
      </c>
    </row>
    <row r="147" spans="1:3" x14ac:dyDescent="0.25">
      <c r="A147" s="96">
        <v>549</v>
      </c>
      <c r="B147" s="28" t="s">
        <v>386</v>
      </c>
      <c r="C147" s="29" t="s">
        <v>421</v>
      </c>
    </row>
    <row r="148" spans="1:3" x14ac:dyDescent="0.25">
      <c r="A148" s="96">
        <v>550</v>
      </c>
      <c r="B148" s="28" t="s">
        <v>387</v>
      </c>
      <c r="C148" s="29" t="s">
        <v>421</v>
      </c>
    </row>
    <row r="149" spans="1:3" x14ac:dyDescent="0.25">
      <c r="A149" s="40">
        <v>551</v>
      </c>
      <c r="B149" s="28" t="s">
        <v>388</v>
      </c>
      <c r="C149" s="29" t="s">
        <v>421</v>
      </c>
    </row>
    <row r="150" spans="1:3" x14ac:dyDescent="0.25">
      <c r="A150" s="96">
        <v>552</v>
      </c>
      <c r="B150" s="28" t="s">
        <v>389</v>
      </c>
      <c r="C150" s="29" t="s">
        <v>421</v>
      </c>
    </row>
    <row r="151" spans="1:3" x14ac:dyDescent="0.25">
      <c r="A151" s="96">
        <v>553</v>
      </c>
      <c r="B151" s="28" t="s">
        <v>390</v>
      </c>
      <c r="C151" s="29" t="s">
        <v>421</v>
      </c>
    </row>
    <row r="152" spans="1:3" x14ac:dyDescent="0.25">
      <c r="A152" s="96">
        <v>554</v>
      </c>
      <c r="B152" s="28" t="s">
        <v>391</v>
      </c>
      <c r="C152" s="29" t="s">
        <v>421</v>
      </c>
    </row>
    <row r="153" spans="1:3" x14ac:dyDescent="0.25">
      <c r="A153" s="40">
        <v>555</v>
      </c>
      <c r="B153" s="28" t="s">
        <v>392</v>
      </c>
      <c r="C153" s="29" t="s">
        <v>421</v>
      </c>
    </row>
    <row r="154" spans="1:3" x14ac:dyDescent="0.25">
      <c r="A154" s="96">
        <v>556</v>
      </c>
      <c r="B154" s="28" t="s">
        <v>393</v>
      </c>
      <c r="C154" s="29" t="s">
        <v>421</v>
      </c>
    </row>
    <row r="155" spans="1:3" x14ac:dyDescent="0.25">
      <c r="A155" s="96">
        <v>557</v>
      </c>
      <c r="B155" s="28" t="s">
        <v>394</v>
      </c>
      <c r="C155" s="29" t="s">
        <v>421</v>
      </c>
    </row>
    <row r="156" spans="1:3" x14ac:dyDescent="0.25">
      <c r="A156" s="96">
        <v>558</v>
      </c>
      <c r="B156" s="28" t="s">
        <v>395</v>
      </c>
      <c r="C156" s="29" t="s">
        <v>421</v>
      </c>
    </row>
    <row r="157" spans="1:3" x14ac:dyDescent="0.25">
      <c r="A157" s="40">
        <v>559</v>
      </c>
      <c r="B157" s="28" t="s">
        <v>396</v>
      </c>
      <c r="C157" s="29" t="s">
        <v>421</v>
      </c>
    </row>
    <row r="158" spans="1:3" x14ac:dyDescent="0.25">
      <c r="A158" s="96">
        <v>560</v>
      </c>
      <c r="B158" s="28" t="s">
        <v>397</v>
      </c>
      <c r="C158" s="29" t="s">
        <v>421</v>
      </c>
    </row>
    <row r="159" spans="1:3" x14ac:dyDescent="0.25">
      <c r="A159" s="96">
        <v>561</v>
      </c>
      <c r="B159" s="28" t="s">
        <v>398</v>
      </c>
      <c r="C159" s="29" t="s">
        <v>421</v>
      </c>
    </row>
    <row r="160" spans="1:3" x14ac:dyDescent="0.25">
      <c r="A160" s="96">
        <v>562</v>
      </c>
      <c r="B160" s="28" t="s">
        <v>399</v>
      </c>
      <c r="C160" s="29" t="s">
        <v>421</v>
      </c>
    </row>
    <row r="161" spans="1:3" x14ac:dyDescent="0.25">
      <c r="A161" s="40">
        <v>563</v>
      </c>
      <c r="B161" s="28" t="s">
        <v>400</v>
      </c>
      <c r="C161" s="29" t="s">
        <v>421</v>
      </c>
    </row>
    <row r="162" spans="1:3" x14ac:dyDescent="0.25">
      <c r="A162" s="96">
        <v>564</v>
      </c>
      <c r="B162" s="28" t="s">
        <v>401</v>
      </c>
      <c r="C162" s="29" t="s">
        <v>421</v>
      </c>
    </row>
    <row r="163" spans="1:3" x14ac:dyDescent="0.25">
      <c r="A163" s="96">
        <v>565</v>
      </c>
      <c r="B163" s="28" t="s">
        <v>402</v>
      </c>
      <c r="C163" s="29" t="s">
        <v>421</v>
      </c>
    </row>
    <row r="164" spans="1:3" x14ac:dyDescent="0.25">
      <c r="A164" s="96">
        <v>566</v>
      </c>
      <c r="B164" s="28" t="s">
        <v>403</v>
      </c>
      <c r="C164" s="29" t="s">
        <v>421</v>
      </c>
    </row>
    <row r="165" spans="1:3" x14ac:dyDescent="0.25">
      <c r="A165" s="40">
        <v>567</v>
      </c>
      <c r="B165" s="28" t="s">
        <v>404</v>
      </c>
      <c r="C165" s="29" t="s">
        <v>421</v>
      </c>
    </row>
    <row r="166" spans="1:3" x14ac:dyDescent="0.25">
      <c r="A166" s="96">
        <v>568</v>
      </c>
      <c r="B166" s="28" t="s">
        <v>1467</v>
      </c>
      <c r="C166" s="29" t="s">
        <v>421</v>
      </c>
    </row>
    <row r="167" spans="1:3" x14ac:dyDescent="0.25">
      <c r="A167" s="96">
        <v>569</v>
      </c>
      <c r="B167" s="28" t="s">
        <v>1468</v>
      </c>
      <c r="C167" s="29" t="s">
        <v>421</v>
      </c>
    </row>
    <row r="168" spans="1:3" x14ac:dyDescent="0.25">
      <c r="A168" s="96">
        <v>570</v>
      </c>
      <c r="B168" s="28" t="s">
        <v>405</v>
      </c>
      <c r="C168" s="29" t="s">
        <v>421</v>
      </c>
    </row>
    <row r="169" spans="1:3" x14ac:dyDescent="0.25">
      <c r="A169" s="40">
        <v>571</v>
      </c>
      <c r="B169" s="28" t="s">
        <v>406</v>
      </c>
      <c r="C169" s="29" t="s">
        <v>422</v>
      </c>
    </row>
    <row r="170" spans="1:3" x14ac:dyDescent="0.25">
      <c r="A170" s="96">
        <v>572</v>
      </c>
      <c r="B170" s="28" t="s">
        <v>407</v>
      </c>
      <c r="C170" s="29" t="s">
        <v>422</v>
      </c>
    </row>
    <row r="171" spans="1:3" x14ac:dyDescent="0.25">
      <c r="A171" s="96">
        <v>573</v>
      </c>
      <c r="B171" s="28" t="s">
        <v>408</v>
      </c>
      <c r="C171" s="29" t="s">
        <v>422</v>
      </c>
    </row>
    <row r="172" spans="1:3" x14ac:dyDescent="0.25">
      <c r="A172" s="96">
        <v>574</v>
      </c>
      <c r="B172" s="28" t="s">
        <v>409</v>
      </c>
      <c r="C172" s="29" t="s">
        <v>422</v>
      </c>
    </row>
    <row r="173" spans="1:3" x14ac:dyDescent="0.25">
      <c r="A173" s="40">
        <v>575</v>
      </c>
      <c r="B173" s="28" t="s">
        <v>410</v>
      </c>
      <c r="C173" s="29" t="s">
        <v>422</v>
      </c>
    </row>
    <row r="174" spans="1:3" x14ac:dyDescent="0.25">
      <c r="A174" s="96">
        <v>576</v>
      </c>
      <c r="B174" s="28" t="s">
        <v>1493</v>
      </c>
      <c r="C174" s="29" t="s">
        <v>422</v>
      </c>
    </row>
    <row r="175" spans="1:3" x14ac:dyDescent="0.25">
      <c r="A175" s="96">
        <v>577</v>
      </c>
      <c r="B175" s="28" t="s">
        <v>411</v>
      </c>
      <c r="C175" s="29" t="s">
        <v>422</v>
      </c>
    </row>
    <row r="176" spans="1:3" x14ac:dyDescent="0.25">
      <c r="A176" s="96">
        <v>578</v>
      </c>
      <c r="B176" s="28" t="s">
        <v>412</v>
      </c>
      <c r="C176" s="29" t="s">
        <v>422</v>
      </c>
    </row>
    <row r="177" spans="1:3" x14ac:dyDescent="0.25">
      <c r="A177" s="40">
        <v>579</v>
      </c>
      <c r="B177" s="28" t="s">
        <v>413</v>
      </c>
      <c r="C177" s="29" t="s">
        <v>422</v>
      </c>
    </row>
    <row r="178" spans="1:3" x14ac:dyDescent="0.25">
      <c r="A178" s="96">
        <v>580</v>
      </c>
      <c r="B178" s="28" t="s">
        <v>414</v>
      </c>
      <c r="C178" s="29" t="s">
        <v>113</v>
      </c>
    </row>
    <row r="179" spans="1:3" x14ac:dyDescent="0.25">
      <c r="A179" s="96">
        <v>581</v>
      </c>
      <c r="B179" s="28" t="s">
        <v>415</v>
      </c>
      <c r="C179" s="29" t="s">
        <v>113</v>
      </c>
    </row>
    <row r="180" spans="1:3" x14ac:dyDescent="0.25">
      <c r="A180" s="96">
        <v>582</v>
      </c>
      <c r="B180" s="28" t="s">
        <v>416</v>
      </c>
      <c r="C180" s="29" t="s">
        <v>113</v>
      </c>
    </row>
    <row r="181" spans="1:3" x14ac:dyDescent="0.25">
      <c r="A181" s="40">
        <v>583</v>
      </c>
      <c r="B181" s="28" t="s">
        <v>417</v>
      </c>
      <c r="C181" s="29" t="s">
        <v>113</v>
      </c>
    </row>
    <row r="182" spans="1:3" x14ac:dyDescent="0.25">
      <c r="A182" s="96">
        <v>585</v>
      </c>
      <c r="B182" s="28" t="s">
        <v>418</v>
      </c>
      <c r="C182" s="29" t="s">
        <v>113</v>
      </c>
    </row>
    <row r="183" spans="1:3" x14ac:dyDescent="0.25">
      <c r="A183" s="96">
        <v>586</v>
      </c>
      <c r="B183" s="28" t="s">
        <v>419</v>
      </c>
      <c r="C183" s="29" t="s">
        <v>113</v>
      </c>
    </row>
    <row r="184" spans="1:3" x14ac:dyDescent="0.25">
      <c r="A184" s="40">
        <v>587</v>
      </c>
      <c r="B184" s="28" t="s">
        <v>420</v>
      </c>
      <c r="C184" s="29" t="s">
        <v>113</v>
      </c>
    </row>
    <row r="185" spans="1:3" x14ac:dyDescent="0.25">
      <c r="A185" s="96">
        <v>588</v>
      </c>
      <c r="B185" s="38" t="s">
        <v>1443</v>
      </c>
      <c r="C185" s="39" t="s">
        <v>446</v>
      </c>
    </row>
  </sheetData>
  <autoFilter ref="A1:C97"/>
  <sortState ref="A2:C97">
    <sortCondition ref="C2:C97"/>
  </sortState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9"/>
  </sheetPr>
  <dimension ref="A1:E208"/>
  <sheetViews>
    <sheetView topLeftCell="A16" workbookViewId="0">
      <selection activeCell="C33" sqref="C33"/>
    </sheetView>
  </sheetViews>
  <sheetFormatPr defaultColWidth="8.85546875" defaultRowHeight="15" x14ac:dyDescent="0.25"/>
  <cols>
    <col min="1" max="1" width="7" style="40" bestFit="1" customWidth="1"/>
    <col min="2" max="2" width="58.140625" customWidth="1"/>
    <col min="3" max="3" width="13.85546875" bestFit="1" customWidth="1"/>
  </cols>
  <sheetData>
    <row r="1" spans="1:5" x14ac:dyDescent="0.25">
      <c r="A1" s="25" t="s">
        <v>1509</v>
      </c>
      <c r="B1" s="101" t="s">
        <v>147</v>
      </c>
      <c r="C1" s="26" t="s">
        <v>429</v>
      </c>
      <c r="D1" s="81" t="s">
        <v>1464</v>
      </c>
      <c r="E1" s="81" t="s">
        <v>1465</v>
      </c>
    </row>
    <row r="2" spans="1:5" x14ac:dyDescent="0.25">
      <c r="A2" s="102">
        <v>275</v>
      </c>
      <c r="B2" s="103" t="s">
        <v>305</v>
      </c>
      <c r="C2" s="104" t="s">
        <v>306</v>
      </c>
    </row>
    <row r="3" spans="1:5" x14ac:dyDescent="0.25">
      <c r="A3" s="102">
        <v>278</v>
      </c>
      <c r="B3" s="103" t="s">
        <v>309</v>
      </c>
      <c r="C3" s="104" t="s">
        <v>306</v>
      </c>
    </row>
    <row r="4" spans="1:5" x14ac:dyDescent="0.25">
      <c r="A4" s="102">
        <v>279</v>
      </c>
      <c r="B4" s="103" t="s">
        <v>310</v>
      </c>
      <c r="C4" s="104" t="s">
        <v>306</v>
      </c>
    </row>
    <row r="5" spans="1:5" x14ac:dyDescent="0.25">
      <c r="A5" s="102">
        <v>283</v>
      </c>
      <c r="B5" s="103" t="s">
        <v>314</v>
      </c>
      <c r="C5" s="104" t="s">
        <v>306</v>
      </c>
    </row>
    <row r="6" spans="1:5" x14ac:dyDescent="0.25">
      <c r="A6" s="102">
        <v>290</v>
      </c>
      <c r="B6" s="103" t="s">
        <v>322</v>
      </c>
      <c r="C6" s="104" t="s">
        <v>306</v>
      </c>
    </row>
    <row r="7" spans="1:5" x14ac:dyDescent="0.25">
      <c r="A7" s="102">
        <v>292</v>
      </c>
      <c r="B7" s="103" t="s">
        <v>324</v>
      </c>
      <c r="C7" s="104" t="s">
        <v>306</v>
      </c>
    </row>
    <row r="8" spans="1:5" x14ac:dyDescent="0.25">
      <c r="A8" s="102">
        <v>295</v>
      </c>
      <c r="B8" s="103" t="s">
        <v>327</v>
      </c>
      <c r="C8" s="104" t="s">
        <v>306</v>
      </c>
    </row>
    <row r="9" spans="1:5" x14ac:dyDescent="0.25">
      <c r="A9" s="102">
        <v>289</v>
      </c>
      <c r="B9" s="103" t="s">
        <v>321</v>
      </c>
      <c r="C9" s="104" t="s">
        <v>306</v>
      </c>
    </row>
    <row r="10" spans="1:5" x14ac:dyDescent="0.25">
      <c r="A10" s="105">
        <v>314</v>
      </c>
      <c r="B10" s="106" t="s">
        <v>1473</v>
      </c>
      <c r="C10" s="104" t="s">
        <v>176</v>
      </c>
      <c r="D10" t="s">
        <v>1466</v>
      </c>
    </row>
    <row r="11" spans="1:5" x14ac:dyDescent="0.25">
      <c r="A11" s="102">
        <v>39</v>
      </c>
      <c r="B11" s="106" t="s">
        <v>175</v>
      </c>
      <c r="C11" s="104" t="s">
        <v>176</v>
      </c>
      <c r="D11" t="s">
        <v>1466</v>
      </c>
    </row>
    <row r="12" spans="1:5" x14ac:dyDescent="0.25">
      <c r="A12" s="102">
        <v>41</v>
      </c>
      <c r="B12" s="107" t="s">
        <v>131</v>
      </c>
      <c r="C12" s="104" t="s">
        <v>176</v>
      </c>
      <c r="D12" t="s">
        <v>1466</v>
      </c>
    </row>
    <row r="13" spans="1:5" x14ac:dyDescent="0.25">
      <c r="A13" s="102">
        <v>42</v>
      </c>
      <c r="B13" s="107" t="s">
        <v>71</v>
      </c>
      <c r="C13" s="104" t="s">
        <v>176</v>
      </c>
      <c r="D13" t="s">
        <v>1466</v>
      </c>
    </row>
    <row r="14" spans="1:5" x14ac:dyDescent="0.25">
      <c r="A14" s="102">
        <v>44</v>
      </c>
      <c r="B14" s="107" t="s">
        <v>177</v>
      </c>
      <c r="C14" s="104" t="s">
        <v>176</v>
      </c>
      <c r="D14" t="s">
        <v>1466</v>
      </c>
    </row>
    <row r="15" spans="1:5" x14ac:dyDescent="0.25">
      <c r="A15" s="102">
        <v>45</v>
      </c>
      <c r="B15" s="107" t="s">
        <v>178</v>
      </c>
      <c r="C15" s="104" t="s">
        <v>176</v>
      </c>
      <c r="D15" t="s">
        <v>1466</v>
      </c>
    </row>
    <row r="16" spans="1:5" x14ac:dyDescent="0.25">
      <c r="A16" s="102">
        <v>46</v>
      </c>
      <c r="B16" s="107" t="s">
        <v>179</v>
      </c>
      <c r="C16" s="104" t="s">
        <v>176</v>
      </c>
      <c r="D16" t="s">
        <v>1466</v>
      </c>
    </row>
    <row r="17" spans="1:5" x14ac:dyDescent="0.25">
      <c r="A17" s="102">
        <v>47</v>
      </c>
      <c r="B17" s="107" t="s">
        <v>217</v>
      </c>
      <c r="C17" s="104" t="s">
        <v>176</v>
      </c>
      <c r="D17" t="s">
        <v>1466</v>
      </c>
    </row>
    <row r="18" spans="1:5" x14ac:dyDescent="0.25">
      <c r="A18" s="102">
        <v>50</v>
      </c>
      <c r="B18" s="107" t="s">
        <v>182</v>
      </c>
      <c r="C18" s="104" t="s">
        <v>176</v>
      </c>
      <c r="D18" t="s">
        <v>1466</v>
      </c>
    </row>
    <row r="19" spans="1:5" x14ac:dyDescent="0.25">
      <c r="A19" s="102">
        <v>51</v>
      </c>
      <c r="B19" s="107" t="s">
        <v>56</v>
      </c>
      <c r="C19" s="104" t="s">
        <v>176</v>
      </c>
      <c r="D19" t="s">
        <v>1466</v>
      </c>
    </row>
    <row r="20" spans="1:5" x14ac:dyDescent="0.25">
      <c r="A20" s="102">
        <v>118</v>
      </c>
      <c r="B20" s="107" t="s">
        <v>213</v>
      </c>
      <c r="C20" s="104" t="s">
        <v>176</v>
      </c>
      <c r="D20" t="s">
        <v>1466</v>
      </c>
    </row>
    <row r="21" spans="1:5" x14ac:dyDescent="0.25">
      <c r="A21" s="102">
        <v>119</v>
      </c>
      <c r="B21" s="107" t="s">
        <v>214</v>
      </c>
      <c r="C21" s="104" t="s">
        <v>176</v>
      </c>
      <c r="D21" t="s">
        <v>1466</v>
      </c>
    </row>
    <row r="22" spans="1:5" x14ac:dyDescent="0.25">
      <c r="A22" s="102">
        <v>122</v>
      </c>
      <c r="B22" s="107" t="s">
        <v>216</v>
      </c>
      <c r="C22" s="104" t="s">
        <v>176</v>
      </c>
      <c r="D22" t="s">
        <v>1466</v>
      </c>
    </row>
    <row r="23" spans="1:5" x14ac:dyDescent="0.25">
      <c r="A23" s="102">
        <v>129</v>
      </c>
      <c r="B23" s="107" t="s">
        <v>57</v>
      </c>
      <c r="C23" s="104" t="s">
        <v>176</v>
      </c>
      <c r="D23" t="s">
        <v>1466</v>
      </c>
    </row>
    <row r="24" spans="1:5" x14ac:dyDescent="0.25">
      <c r="A24" s="102">
        <v>130</v>
      </c>
      <c r="B24" s="107" t="s">
        <v>65</v>
      </c>
      <c r="C24" s="104" t="s">
        <v>176</v>
      </c>
      <c r="D24" t="s">
        <v>1466</v>
      </c>
    </row>
    <row r="25" spans="1:5" x14ac:dyDescent="0.25">
      <c r="A25" s="102">
        <v>168</v>
      </c>
      <c r="B25" s="107" t="s">
        <v>66</v>
      </c>
      <c r="C25" s="104" t="s">
        <v>176</v>
      </c>
      <c r="D25" t="s">
        <v>1466</v>
      </c>
    </row>
    <row r="26" spans="1:5" x14ac:dyDescent="0.25">
      <c r="A26" s="102">
        <v>169</v>
      </c>
      <c r="B26" s="107" t="s">
        <v>59</v>
      </c>
      <c r="C26" s="104" t="s">
        <v>176</v>
      </c>
      <c r="D26" t="s">
        <v>1466</v>
      </c>
    </row>
    <row r="27" spans="1:5" x14ac:dyDescent="0.25">
      <c r="A27" s="102">
        <v>171</v>
      </c>
      <c r="B27" s="107" t="s">
        <v>61</v>
      </c>
      <c r="C27" s="104" t="s">
        <v>176</v>
      </c>
      <c r="D27" t="s">
        <v>1466</v>
      </c>
      <c r="E27" t="s">
        <v>1466</v>
      </c>
    </row>
    <row r="28" spans="1:5" x14ac:dyDescent="0.25">
      <c r="A28" s="102">
        <v>198</v>
      </c>
      <c r="B28" s="107" t="s">
        <v>62</v>
      </c>
      <c r="C28" s="104" t="s">
        <v>176</v>
      </c>
      <c r="D28" t="s">
        <v>1466</v>
      </c>
    </row>
    <row r="29" spans="1:5" x14ac:dyDescent="0.25">
      <c r="A29" s="102">
        <v>199</v>
      </c>
      <c r="B29" s="107" t="s">
        <v>69</v>
      </c>
      <c r="C29" s="104" t="s">
        <v>176</v>
      </c>
      <c r="D29" t="s">
        <v>1466</v>
      </c>
    </row>
    <row r="30" spans="1:5" x14ac:dyDescent="0.25">
      <c r="A30" s="102">
        <v>200</v>
      </c>
      <c r="B30" s="107" t="s">
        <v>261</v>
      </c>
      <c r="C30" s="104" t="s">
        <v>176</v>
      </c>
      <c r="D30" t="s">
        <v>1466</v>
      </c>
    </row>
    <row r="31" spans="1:5" x14ac:dyDescent="0.25">
      <c r="A31" s="102">
        <v>201</v>
      </c>
      <c r="B31" s="107" t="s">
        <v>262</v>
      </c>
      <c r="C31" s="104" t="s">
        <v>176</v>
      </c>
      <c r="D31" t="s">
        <v>1466</v>
      </c>
    </row>
    <row r="32" spans="1:5" x14ac:dyDescent="0.25">
      <c r="A32" s="102">
        <v>204</v>
      </c>
      <c r="B32" s="107" t="s">
        <v>263</v>
      </c>
      <c r="C32" s="104" t="s">
        <v>176</v>
      </c>
      <c r="D32" t="s">
        <v>1466</v>
      </c>
    </row>
    <row r="33" spans="1:4" x14ac:dyDescent="0.25">
      <c r="A33" s="102">
        <v>217</v>
      </c>
      <c r="B33" s="107" t="s">
        <v>270</v>
      </c>
      <c r="C33" s="104" t="s">
        <v>176</v>
      </c>
      <c r="D33" t="s">
        <v>1466</v>
      </c>
    </row>
    <row r="34" spans="1:4" x14ac:dyDescent="0.25">
      <c r="A34" s="102">
        <v>218</v>
      </c>
      <c r="B34" s="107" t="s">
        <v>271</v>
      </c>
      <c r="C34" s="104" t="s">
        <v>176</v>
      </c>
      <c r="D34" t="s">
        <v>1466</v>
      </c>
    </row>
    <row r="35" spans="1:4" x14ac:dyDescent="0.25">
      <c r="A35" s="102">
        <v>257</v>
      </c>
      <c r="B35" s="107" t="s">
        <v>289</v>
      </c>
      <c r="C35" s="104" t="s">
        <v>176</v>
      </c>
      <c r="D35" t="s">
        <v>1466</v>
      </c>
    </row>
    <row r="36" spans="1:4" x14ac:dyDescent="0.25">
      <c r="A36" s="102">
        <v>259</v>
      </c>
      <c r="B36" s="107" t="s">
        <v>1441</v>
      </c>
      <c r="C36" s="104" t="s">
        <v>176</v>
      </c>
      <c r="D36" t="s">
        <v>1466</v>
      </c>
    </row>
    <row r="37" spans="1:4" x14ac:dyDescent="0.25">
      <c r="A37" s="105">
        <v>304</v>
      </c>
      <c r="B37" s="106" t="s">
        <v>60</v>
      </c>
      <c r="C37" s="104" t="s">
        <v>176</v>
      </c>
      <c r="D37" t="s">
        <v>1466</v>
      </c>
    </row>
    <row r="38" spans="1:4" x14ac:dyDescent="0.25">
      <c r="A38" s="102">
        <v>28</v>
      </c>
      <c r="B38" s="107" t="s">
        <v>88</v>
      </c>
      <c r="C38" s="104" t="s">
        <v>166</v>
      </c>
      <c r="D38" t="s">
        <v>1466</v>
      </c>
    </row>
    <row r="39" spans="1:4" x14ac:dyDescent="0.25">
      <c r="A39" s="102">
        <v>29</v>
      </c>
      <c r="B39" s="107" t="s">
        <v>1495</v>
      </c>
      <c r="C39" s="104" t="s">
        <v>166</v>
      </c>
      <c r="D39" t="s">
        <v>1466</v>
      </c>
    </row>
    <row r="40" spans="1:4" x14ac:dyDescent="0.25">
      <c r="A40" s="102">
        <v>32</v>
      </c>
      <c r="B40" s="107" t="s">
        <v>74</v>
      </c>
      <c r="C40" s="104" t="s">
        <v>166</v>
      </c>
      <c r="D40" t="s">
        <v>1466</v>
      </c>
    </row>
    <row r="41" spans="1:4" x14ac:dyDescent="0.25">
      <c r="A41" s="102">
        <v>34</v>
      </c>
      <c r="B41" s="107" t="s">
        <v>171</v>
      </c>
      <c r="C41" s="104" t="s">
        <v>166</v>
      </c>
      <c r="D41" t="s">
        <v>1466</v>
      </c>
    </row>
    <row r="42" spans="1:4" x14ac:dyDescent="0.25">
      <c r="A42" s="102">
        <v>35</v>
      </c>
      <c r="B42" s="106" t="s">
        <v>1496</v>
      </c>
      <c r="C42" s="104" t="s">
        <v>166</v>
      </c>
      <c r="D42" t="s">
        <v>1466</v>
      </c>
    </row>
    <row r="43" spans="1:4" x14ac:dyDescent="0.25">
      <c r="A43" s="102">
        <v>36</v>
      </c>
      <c r="B43" s="107" t="s">
        <v>172</v>
      </c>
      <c r="C43" s="104" t="s">
        <v>166</v>
      </c>
      <c r="D43" t="s">
        <v>1466</v>
      </c>
    </row>
    <row r="44" spans="1:4" x14ac:dyDescent="0.25">
      <c r="A44" s="102">
        <v>53</v>
      </c>
      <c r="B44" s="107" t="s">
        <v>183</v>
      </c>
      <c r="C44" s="104" t="s">
        <v>166</v>
      </c>
      <c r="D44" t="s">
        <v>1466</v>
      </c>
    </row>
    <row r="45" spans="1:4" x14ac:dyDescent="0.25">
      <c r="A45" s="102">
        <v>121</v>
      </c>
      <c r="B45" s="107" t="s">
        <v>215</v>
      </c>
      <c r="C45" s="104" t="s">
        <v>166</v>
      </c>
      <c r="D45" t="s">
        <v>1466</v>
      </c>
    </row>
    <row r="46" spans="1:4" x14ac:dyDescent="0.25">
      <c r="A46" s="102">
        <v>124</v>
      </c>
      <c r="B46" s="107" t="s">
        <v>218</v>
      </c>
      <c r="C46" s="104" t="s">
        <v>166</v>
      </c>
      <c r="D46" t="s">
        <v>1466</v>
      </c>
    </row>
    <row r="47" spans="1:4" x14ac:dyDescent="0.25">
      <c r="A47" s="102">
        <v>133</v>
      </c>
      <c r="B47" s="107" t="s">
        <v>219</v>
      </c>
      <c r="C47" s="104" t="s">
        <v>166</v>
      </c>
      <c r="D47" t="s">
        <v>1466</v>
      </c>
    </row>
    <row r="48" spans="1:4" x14ac:dyDescent="0.25">
      <c r="A48" s="102">
        <v>137</v>
      </c>
      <c r="B48" s="107" t="s">
        <v>80</v>
      </c>
      <c r="C48" s="104" t="s">
        <v>166</v>
      </c>
      <c r="D48" t="s">
        <v>1466</v>
      </c>
    </row>
    <row r="49" spans="1:4" x14ac:dyDescent="0.25">
      <c r="A49" s="102">
        <v>138</v>
      </c>
      <c r="B49" s="107" t="s">
        <v>221</v>
      </c>
      <c r="C49" s="104" t="s">
        <v>166</v>
      </c>
      <c r="D49" t="s">
        <v>1466</v>
      </c>
    </row>
    <row r="50" spans="1:4" x14ac:dyDescent="0.25">
      <c r="A50" s="102">
        <v>139</v>
      </c>
      <c r="B50" s="107" t="s">
        <v>444</v>
      </c>
      <c r="C50" s="104" t="s">
        <v>166</v>
      </c>
      <c r="D50" t="s">
        <v>1466</v>
      </c>
    </row>
    <row r="51" spans="1:4" x14ac:dyDescent="0.25">
      <c r="A51" s="102">
        <v>141</v>
      </c>
      <c r="B51" s="107" t="s">
        <v>224</v>
      </c>
      <c r="C51" s="104" t="s">
        <v>166</v>
      </c>
      <c r="D51" t="s">
        <v>1466</v>
      </c>
    </row>
    <row r="52" spans="1:4" x14ac:dyDescent="0.25">
      <c r="A52" s="102">
        <v>142</v>
      </c>
      <c r="B52" s="107" t="s">
        <v>225</v>
      </c>
      <c r="C52" s="104" t="s">
        <v>166</v>
      </c>
      <c r="D52" t="s">
        <v>1466</v>
      </c>
    </row>
    <row r="53" spans="1:4" x14ac:dyDescent="0.25">
      <c r="A53" s="102">
        <v>144</v>
      </c>
      <c r="B53" s="107" t="s">
        <v>76</v>
      </c>
      <c r="C53" s="104" t="s">
        <v>166</v>
      </c>
      <c r="D53" t="s">
        <v>1466</v>
      </c>
    </row>
    <row r="54" spans="1:4" x14ac:dyDescent="0.25">
      <c r="A54" s="102">
        <v>202</v>
      </c>
      <c r="B54" s="107" t="s">
        <v>170</v>
      </c>
      <c r="C54" s="104" t="s">
        <v>166</v>
      </c>
      <c r="D54" t="s">
        <v>1466</v>
      </c>
    </row>
    <row r="55" spans="1:4" x14ac:dyDescent="0.25">
      <c r="A55" s="102">
        <v>203</v>
      </c>
      <c r="B55" s="107" t="s">
        <v>77</v>
      </c>
      <c r="C55" s="104" t="s">
        <v>166</v>
      </c>
      <c r="D55" t="s">
        <v>1466</v>
      </c>
    </row>
    <row r="56" spans="1:4" x14ac:dyDescent="0.25">
      <c r="A56" s="102">
        <v>212</v>
      </c>
      <c r="B56" s="107" t="s">
        <v>268</v>
      </c>
      <c r="C56" s="104" t="s">
        <v>166</v>
      </c>
      <c r="D56" t="s">
        <v>1466</v>
      </c>
    </row>
    <row r="57" spans="1:4" x14ac:dyDescent="0.25">
      <c r="A57" s="102">
        <v>213</v>
      </c>
      <c r="B57" s="107" t="s">
        <v>89</v>
      </c>
      <c r="C57" s="104" t="s">
        <v>166</v>
      </c>
      <c r="D57" t="s">
        <v>1466</v>
      </c>
    </row>
    <row r="58" spans="1:4" x14ac:dyDescent="0.25">
      <c r="A58" s="102">
        <v>214</v>
      </c>
      <c r="B58" s="107" t="s">
        <v>84</v>
      </c>
      <c r="C58" s="104" t="s">
        <v>166</v>
      </c>
      <c r="D58" t="s">
        <v>1466</v>
      </c>
    </row>
    <row r="59" spans="1:4" x14ac:dyDescent="0.25">
      <c r="A59" s="102">
        <v>246</v>
      </c>
      <c r="B59" s="107" t="s">
        <v>81</v>
      </c>
      <c r="C59" s="104" t="s">
        <v>166</v>
      </c>
      <c r="D59" t="s">
        <v>1466</v>
      </c>
    </row>
    <row r="60" spans="1:4" x14ac:dyDescent="0.25">
      <c r="A60" s="102">
        <v>248</v>
      </c>
      <c r="B60" s="106" t="s">
        <v>1494</v>
      </c>
      <c r="C60" s="104" t="s">
        <v>166</v>
      </c>
      <c r="D60" t="s">
        <v>1466</v>
      </c>
    </row>
    <row r="61" spans="1:4" x14ac:dyDescent="0.25">
      <c r="A61" s="102">
        <v>264</v>
      </c>
      <c r="B61" s="107" t="s">
        <v>295</v>
      </c>
      <c r="C61" s="104" t="s">
        <v>166</v>
      </c>
      <c r="D61" t="s">
        <v>1466</v>
      </c>
    </row>
    <row r="62" spans="1:4" x14ac:dyDescent="0.25">
      <c r="A62" s="102">
        <v>266</v>
      </c>
      <c r="B62" s="107" t="s">
        <v>297</v>
      </c>
      <c r="C62" s="104" t="s">
        <v>166</v>
      </c>
      <c r="D62" t="s">
        <v>1466</v>
      </c>
    </row>
    <row r="63" spans="1:4" x14ac:dyDescent="0.25">
      <c r="A63" s="102">
        <v>267</v>
      </c>
      <c r="B63" s="107" t="s">
        <v>85</v>
      </c>
      <c r="C63" s="104" t="s">
        <v>166</v>
      </c>
      <c r="D63" t="s">
        <v>1466</v>
      </c>
    </row>
    <row r="64" spans="1:4" x14ac:dyDescent="0.25">
      <c r="A64" s="105">
        <v>298</v>
      </c>
      <c r="B64" s="106" t="s">
        <v>330</v>
      </c>
      <c r="C64" s="104" t="s">
        <v>166</v>
      </c>
      <c r="D64" t="s">
        <v>1466</v>
      </c>
    </row>
    <row r="65" spans="1:4" x14ac:dyDescent="0.25">
      <c r="A65" s="105">
        <v>309</v>
      </c>
      <c r="B65" s="106" t="s">
        <v>340</v>
      </c>
      <c r="C65" s="104" t="s">
        <v>166</v>
      </c>
      <c r="D65" t="s">
        <v>1466</v>
      </c>
    </row>
    <row r="66" spans="1:4" x14ac:dyDescent="0.25">
      <c r="A66" s="105">
        <v>311</v>
      </c>
      <c r="B66" s="106" t="s">
        <v>342</v>
      </c>
      <c r="C66" s="104" t="s">
        <v>166</v>
      </c>
      <c r="D66" t="s">
        <v>1466</v>
      </c>
    </row>
    <row r="67" spans="1:4" x14ac:dyDescent="0.25">
      <c r="A67" s="105">
        <v>313</v>
      </c>
      <c r="B67" s="106" t="s">
        <v>344</v>
      </c>
      <c r="C67" s="104" t="s">
        <v>166</v>
      </c>
      <c r="D67" t="s">
        <v>1466</v>
      </c>
    </row>
    <row r="68" spans="1:4" x14ac:dyDescent="0.25">
      <c r="A68" s="105">
        <v>319</v>
      </c>
      <c r="B68" s="106" t="s">
        <v>348</v>
      </c>
      <c r="C68" s="104" t="s">
        <v>166</v>
      </c>
      <c r="D68" t="s">
        <v>1466</v>
      </c>
    </row>
    <row r="69" spans="1:4" x14ac:dyDescent="0.25">
      <c r="A69" s="105">
        <v>320</v>
      </c>
      <c r="B69" s="106" t="s">
        <v>78</v>
      </c>
      <c r="C69" s="104" t="s">
        <v>166</v>
      </c>
      <c r="D69" t="s">
        <v>1466</v>
      </c>
    </row>
    <row r="70" spans="1:4" x14ac:dyDescent="0.25">
      <c r="A70" s="105">
        <v>321</v>
      </c>
      <c r="B70" s="106" t="s">
        <v>349</v>
      </c>
      <c r="C70" s="104" t="s">
        <v>166</v>
      </c>
      <c r="D70" t="s">
        <v>1466</v>
      </c>
    </row>
    <row r="71" spans="1:4" x14ac:dyDescent="0.25">
      <c r="A71" s="105">
        <v>323</v>
      </c>
      <c r="B71" s="106" t="s">
        <v>351</v>
      </c>
      <c r="C71" s="104" t="s">
        <v>166</v>
      </c>
      <c r="D71" t="s">
        <v>1466</v>
      </c>
    </row>
    <row r="72" spans="1:4" x14ac:dyDescent="0.25">
      <c r="A72" s="105">
        <v>327</v>
      </c>
      <c r="B72" s="107" t="s">
        <v>75</v>
      </c>
      <c r="C72" s="104" t="s">
        <v>166</v>
      </c>
      <c r="D72" t="s">
        <v>1466</v>
      </c>
    </row>
    <row r="73" spans="1:4" x14ac:dyDescent="0.25">
      <c r="A73" s="105">
        <v>328</v>
      </c>
      <c r="B73" s="107" t="s">
        <v>354</v>
      </c>
      <c r="C73" s="104" t="s">
        <v>166</v>
      </c>
      <c r="D73" t="s">
        <v>1466</v>
      </c>
    </row>
    <row r="74" spans="1:4" x14ac:dyDescent="0.25">
      <c r="A74" s="105">
        <v>331</v>
      </c>
      <c r="B74" s="107" t="s">
        <v>357</v>
      </c>
      <c r="C74" s="104" t="s">
        <v>166</v>
      </c>
      <c r="D74" t="s">
        <v>1466</v>
      </c>
    </row>
    <row r="75" spans="1:4" x14ac:dyDescent="0.25">
      <c r="A75" s="105">
        <v>332</v>
      </c>
      <c r="B75" s="107" t="s">
        <v>358</v>
      </c>
      <c r="C75" s="104" t="s">
        <v>166</v>
      </c>
      <c r="D75" t="s">
        <v>1466</v>
      </c>
    </row>
    <row r="76" spans="1:4" x14ac:dyDescent="0.25">
      <c r="A76" s="105">
        <v>334</v>
      </c>
      <c r="B76" s="107" t="s">
        <v>360</v>
      </c>
      <c r="C76" s="104" t="s">
        <v>166</v>
      </c>
      <c r="D76" t="s">
        <v>1466</v>
      </c>
    </row>
    <row r="77" spans="1:4" x14ac:dyDescent="0.25">
      <c r="A77" s="105">
        <v>337</v>
      </c>
      <c r="B77" s="107" t="s">
        <v>361</v>
      </c>
      <c r="C77" s="104" t="s">
        <v>166</v>
      </c>
      <c r="D77" t="s">
        <v>1466</v>
      </c>
    </row>
    <row r="78" spans="1:4" x14ac:dyDescent="0.25">
      <c r="A78" s="105">
        <v>349</v>
      </c>
      <c r="B78" s="107" t="s">
        <v>370</v>
      </c>
      <c r="C78" s="104" t="s">
        <v>166</v>
      </c>
      <c r="D78" t="s">
        <v>1466</v>
      </c>
    </row>
    <row r="79" spans="1:4" x14ac:dyDescent="0.25">
      <c r="A79" s="105">
        <v>351</v>
      </c>
      <c r="B79" s="106" t="s">
        <v>372</v>
      </c>
      <c r="C79" s="104" t="s">
        <v>166</v>
      </c>
      <c r="D79" t="s">
        <v>1466</v>
      </c>
    </row>
    <row r="80" spans="1:4" x14ac:dyDescent="0.25">
      <c r="A80" s="105">
        <v>357</v>
      </c>
      <c r="B80" s="107" t="s">
        <v>375</v>
      </c>
      <c r="C80" s="104" t="s">
        <v>166</v>
      </c>
      <c r="D80" t="s">
        <v>1466</v>
      </c>
    </row>
    <row r="81" spans="1:3" x14ac:dyDescent="0.25">
      <c r="A81" s="102">
        <v>73</v>
      </c>
      <c r="B81" s="107" t="s">
        <v>194</v>
      </c>
      <c r="C81" s="104" t="s">
        <v>195</v>
      </c>
    </row>
    <row r="82" spans="1:3" x14ac:dyDescent="0.25">
      <c r="A82" s="102">
        <v>74</v>
      </c>
      <c r="B82" s="107" t="s">
        <v>196</v>
      </c>
      <c r="C82" s="104" t="s">
        <v>195</v>
      </c>
    </row>
    <row r="83" spans="1:3" x14ac:dyDescent="0.25">
      <c r="A83" s="102">
        <v>75</v>
      </c>
      <c r="B83" s="107" t="s">
        <v>1229</v>
      </c>
      <c r="C83" s="104" t="s">
        <v>195</v>
      </c>
    </row>
    <row r="84" spans="1:3" x14ac:dyDescent="0.25">
      <c r="A84" s="102">
        <v>114</v>
      </c>
      <c r="B84" s="107" t="s">
        <v>209</v>
      </c>
      <c r="C84" s="104" t="s">
        <v>195</v>
      </c>
    </row>
    <row r="85" spans="1:3" x14ac:dyDescent="0.25">
      <c r="A85" s="102">
        <v>115</v>
      </c>
      <c r="B85" s="107" t="s">
        <v>210</v>
      </c>
      <c r="C85" s="104" t="s">
        <v>195</v>
      </c>
    </row>
    <row r="86" spans="1:3" x14ac:dyDescent="0.25">
      <c r="A86" s="102">
        <v>271</v>
      </c>
      <c r="B86" s="103" t="s">
        <v>1228</v>
      </c>
      <c r="C86" s="104" t="s">
        <v>195</v>
      </c>
    </row>
    <row r="87" spans="1:3" x14ac:dyDescent="0.25">
      <c r="A87" s="102">
        <v>272</v>
      </c>
      <c r="B87" s="103" t="s">
        <v>302</v>
      </c>
      <c r="C87" s="104" t="s">
        <v>195</v>
      </c>
    </row>
    <row r="88" spans="1:3" x14ac:dyDescent="0.25">
      <c r="A88" s="102">
        <v>273</v>
      </c>
      <c r="B88" s="103" t="s">
        <v>303</v>
      </c>
      <c r="C88" s="104" t="s">
        <v>195</v>
      </c>
    </row>
    <row r="89" spans="1:3" x14ac:dyDescent="0.25">
      <c r="A89" s="102">
        <v>274</v>
      </c>
      <c r="B89" s="103" t="s">
        <v>304</v>
      </c>
      <c r="C89" s="104" t="s">
        <v>195</v>
      </c>
    </row>
    <row r="90" spans="1:3" x14ac:dyDescent="0.25">
      <c r="A90" s="102">
        <v>281</v>
      </c>
      <c r="B90" s="103" t="s">
        <v>312</v>
      </c>
      <c r="C90" s="104" t="s">
        <v>195</v>
      </c>
    </row>
    <row r="91" spans="1:3" x14ac:dyDescent="0.25">
      <c r="A91" s="102">
        <v>291</v>
      </c>
      <c r="B91" s="103" t="s">
        <v>323</v>
      </c>
      <c r="C91" s="104" t="s">
        <v>195</v>
      </c>
    </row>
    <row r="92" spans="1:3" x14ac:dyDescent="0.25">
      <c r="A92" s="102">
        <v>293</v>
      </c>
      <c r="B92" s="103" t="s">
        <v>325</v>
      </c>
      <c r="C92" s="104" t="s">
        <v>195</v>
      </c>
    </row>
    <row r="93" spans="1:3" x14ac:dyDescent="0.25">
      <c r="A93" s="108">
        <v>500</v>
      </c>
      <c r="B93" s="109" t="s">
        <v>1444</v>
      </c>
      <c r="C93" s="110" t="s">
        <v>166</v>
      </c>
    </row>
    <row r="94" spans="1:3" x14ac:dyDescent="0.25">
      <c r="A94" s="108">
        <v>503</v>
      </c>
      <c r="B94" s="109" t="s">
        <v>1529</v>
      </c>
      <c r="C94" s="110" t="s">
        <v>166</v>
      </c>
    </row>
    <row r="95" spans="1:3" x14ac:dyDescent="0.25">
      <c r="A95" s="108">
        <v>504</v>
      </c>
      <c r="B95" s="109" t="s">
        <v>1447</v>
      </c>
      <c r="C95" s="110" t="s">
        <v>166</v>
      </c>
    </row>
    <row r="96" spans="1:3" x14ac:dyDescent="0.25">
      <c r="A96" s="108">
        <v>505</v>
      </c>
      <c r="B96" s="109" t="s">
        <v>1448</v>
      </c>
      <c r="C96" s="110" t="s">
        <v>176</v>
      </c>
    </row>
    <row r="97" spans="1:3" x14ac:dyDescent="0.25">
      <c r="A97" s="108">
        <v>506</v>
      </c>
      <c r="B97" s="109" t="s">
        <v>1449</v>
      </c>
      <c r="C97" s="110" t="s">
        <v>176</v>
      </c>
    </row>
    <row r="98" spans="1:3" x14ac:dyDescent="0.25">
      <c r="A98" s="108">
        <v>507</v>
      </c>
      <c r="B98" s="109" t="s">
        <v>1460</v>
      </c>
      <c r="C98" s="110" t="s">
        <v>176</v>
      </c>
    </row>
    <row r="99" spans="1:3" x14ac:dyDescent="0.25">
      <c r="A99" s="108">
        <v>508</v>
      </c>
      <c r="B99" s="109" t="s">
        <v>1450</v>
      </c>
      <c r="C99" s="110" t="s">
        <v>166</v>
      </c>
    </row>
    <row r="100" spans="1:3" x14ac:dyDescent="0.25">
      <c r="A100" s="108">
        <v>509</v>
      </c>
      <c r="B100" s="109" t="s">
        <v>1471</v>
      </c>
      <c r="C100" s="110" t="s">
        <v>176</v>
      </c>
    </row>
    <row r="101" spans="1:3" x14ac:dyDescent="0.25">
      <c r="A101" s="108">
        <v>510</v>
      </c>
      <c r="B101" s="109" t="s">
        <v>1451</v>
      </c>
      <c r="C101" s="110" t="s">
        <v>176</v>
      </c>
    </row>
    <row r="102" spans="1:3" x14ac:dyDescent="0.25">
      <c r="A102" s="40">
        <v>511</v>
      </c>
      <c r="B102" s="109" t="s">
        <v>1457</v>
      </c>
      <c r="C102" s="134" t="s">
        <v>166</v>
      </c>
    </row>
    <row r="103" spans="1:3" x14ac:dyDescent="0.25">
      <c r="A103" s="40">
        <v>512</v>
      </c>
      <c r="B103" s="109" t="s">
        <v>1456</v>
      </c>
      <c r="C103" s="110" t="s">
        <v>176</v>
      </c>
    </row>
    <row r="104" spans="1:3" x14ac:dyDescent="0.25">
      <c r="A104" s="40">
        <v>513</v>
      </c>
      <c r="B104" s="109" t="s">
        <v>1455</v>
      </c>
      <c r="C104" s="110" t="s">
        <v>176</v>
      </c>
    </row>
    <row r="105" spans="1:3" x14ac:dyDescent="0.25">
      <c r="A105" s="40">
        <v>514</v>
      </c>
      <c r="B105" s="107" t="s">
        <v>1498</v>
      </c>
      <c r="C105" s="134" t="s">
        <v>166</v>
      </c>
    </row>
    <row r="106" spans="1:3" x14ac:dyDescent="0.25">
      <c r="A106" s="40">
        <v>515</v>
      </c>
      <c r="B106" s="109" t="s">
        <v>1454</v>
      </c>
      <c r="C106" s="134" t="s">
        <v>166</v>
      </c>
    </row>
    <row r="107" spans="1:3" x14ac:dyDescent="0.25">
      <c r="A107" s="40">
        <v>516</v>
      </c>
      <c r="B107" s="109" t="s">
        <v>1453</v>
      </c>
      <c r="C107" s="134" t="s">
        <v>166</v>
      </c>
    </row>
    <row r="108" spans="1:3" x14ac:dyDescent="0.25">
      <c r="A108" s="40">
        <v>517</v>
      </c>
      <c r="B108" s="109" t="s">
        <v>1458</v>
      </c>
      <c r="C108" s="110" t="s">
        <v>176</v>
      </c>
    </row>
    <row r="109" spans="1:3" x14ac:dyDescent="0.25">
      <c r="A109" s="40">
        <v>518</v>
      </c>
      <c r="B109" s="109" t="s">
        <v>1459</v>
      </c>
      <c r="C109" s="110" t="s">
        <v>176</v>
      </c>
    </row>
    <row r="110" spans="1:3" x14ac:dyDescent="0.25">
      <c r="A110" s="40">
        <v>519</v>
      </c>
      <c r="B110" s="107" t="s">
        <v>445</v>
      </c>
      <c r="C110" s="104" t="s">
        <v>166</v>
      </c>
    </row>
    <row r="111" spans="1:3" x14ac:dyDescent="0.25">
      <c r="A111" s="40">
        <v>520</v>
      </c>
      <c r="B111" s="107" t="s">
        <v>1462</v>
      </c>
      <c r="C111" s="104" t="s">
        <v>166</v>
      </c>
    </row>
    <row r="112" spans="1:3" x14ac:dyDescent="0.25">
      <c r="A112" s="40">
        <v>521</v>
      </c>
      <c r="B112" s="107" t="s">
        <v>1463</v>
      </c>
      <c r="C112" s="104" t="s">
        <v>166</v>
      </c>
    </row>
    <row r="113" spans="1:4" x14ac:dyDescent="0.25">
      <c r="A113" s="40">
        <v>522</v>
      </c>
      <c r="B113" s="107" t="s">
        <v>439</v>
      </c>
      <c r="C113" s="104" t="s">
        <v>166</v>
      </c>
    </row>
    <row r="114" spans="1:4" x14ac:dyDescent="0.25">
      <c r="A114" s="95">
        <v>523</v>
      </c>
      <c r="B114" s="107" t="s">
        <v>440</v>
      </c>
      <c r="C114" s="104" t="s">
        <v>166</v>
      </c>
    </row>
    <row r="115" spans="1:4" x14ac:dyDescent="0.25">
      <c r="A115" s="95">
        <v>524</v>
      </c>
      <c r="B115" s="107" t="s">
        <v>441</v>
      </c>
      <c r="C115" s="104" t="s">
        <v>166</v>
      </c>
    </row>
    <row r="116" spans="1:4" x14ac:dyDescent="0.25">
      <c r="A116" s="99">
        <v>525</v>
      </c>
      <c r="B116" s="106" t="s">
        <v>436</v>
      </c>
      <c r="C116" s="104" t="s">
        <v>176</v>
      </c>
      <c r="D116" t="s">
        <v>1469</v>
      </c>
    </row>
    <row r="117" spans="1:4" x14ac:dyDescent="0.25">
      <c r="A117" s="99">
        <v>526</v>
      </c>
      <c r="B117" s="106" t="s">
        <v>437</v>
      </c>
      <c r="C117" s="104" t="s">
        <v>176</v>
      </c>
      <c r="D117" t="s">
        <v>1469</v>
      </c>
    </row>
    <row r="118" spans="1:4" x14ac:dyDescent="0.25">
      <c r="A118" s="99">
        <v>527</v>
      </c>
      <c r="B118" s="106" t="s">
        <v>438</v>
      </c>
      <c r="C118" s="104" t="s">
        <v>176</v>
      </c>
      <c r="D118" t="s">
        <v>1469</v>
      </c>
    </row>
    <row r="119" spans="1:4" x14ac:dyDescent="0.25">
      <c r="A119" s="100">
        <v>528</v>
      </c>
      <c r="B119" s="103" t="s">
        <v>119</v>
      </c>
      <c r="C119" s="110" t="s">
        <v>118</v>
      </c>
    </row>
    <row r="120" spans="1:4" x14ac:dyDescent="0.25">
      <c r="A120" s="100">
        <v>529</v>
      </c>
      <c r="B120" s="103" t="s">
        <v>121</v>
      </c>
      <c r="C120" s="110" t="s">
        <v>118</v>
      </c>
    </row>
    <row r="121" spans="1:4" x14ac:dyDescent="0.25">
      <c r="A121" s="100">
        <v>530</v>
      </c>
      <c r="B121" s="103" t="s">
        <v>120</v>
      </c>
      <c r="C121" s="110" t="s">
        <v>118</v>
      </c>
    </row>
    <row r="122" spans="1:4" x14ac:dyDescent="0.25">
      <c r="A122" s="40">
        <v>531</v>
      </c>
      <c r="B122" s="109" t="s">
        <v>1470</v>
      </c>
      <c r="C122" s="110" t="s">
        <v>166</v>
      </c>
    </row>
    <row r="123" spans="1:4" x14ac:dyDescent="0.25">
      <c r="A123" s="100">
        <v>532</v>
      </c>
      <c r="B123" s="103" t="s">
        <v>433</v>
      </c>
      <c r="C123" s="110" t="s">
        <v>435</v>
      </c>
    </row>
    <row r="124" spans="1:4" x14ac:dyDescent="0.25">
      <c r="A124" s="100">
        <v>533</v>
      </c>
      <c r="B124" s="103" t="s">
        <v>434</v>
      </c>
      <c r="C124" s="110" t="s">
        <v>435</v>
      </c>
    </row>
    <row r="125" spans="1:4" x14ac:dyDescent="0.25">
      <c r="A125" s="100">
        <v>534</v>
      </c>
      <c r="B125" s="103" t="s">
        <v>423</v>
      </c>
      <c r="C125" s="110" t="s">
        <v>446</v>
      </c>
    </row>
    <row r="126" spans="1:4" x14ac:dyDescent="0.25">
      <c r="A126" s="40">
        <v>535</v>
      </c>
      <c r="B126" s="103" t="s">
        <v>424</v>
      </c>
      <c r="C126" s="110" t="s">
        <v>446</v>
      </c>
    </row>
    <row r="127" spans="1:4" x14ac:dyDescent="0.25">
      <c r="A127" s="100">
        <v>536</v>
      </c>
      <c r="B127" s="103" t="s">
        <v>425</v>
      </c>
      <c r="C127" s="110" t="s">
        <v>446</v>
      </c>
    </row>
    <row r="128" spans="1:4" x14ac:dyDescent="0.25">
      <c r="A128" s="100">
        <v>537</v>
      </c>
      <c r="B128" s="103" t="s">
        <v>426</v>
      </c>
      <c r="C128" s="110" t="s">
        <v>446</v>
      </c>
    </row>
    <row r="129" spans="1:3" x14ac:dyDescent="0.25">
      <c r="A129" s="100">
        <v>538</v>
      </c>
      <c r="B129" s="103" t="s">
        <v>427</v>
      </c>
      <c r="C129" s="110" t="s">
        <v>446</v>
      </c>
    </row>
    <row r="130" spans="1:3" x14ac:dyDescent="0.25">
      <c r="A130" s="40">
        <v>539</v>
      </c>
      <c r="B130" s="107" t="s">
        <v>376</v>
      </c>
      <c r="C130" s="104" t="s">
        <v>16</v>
      </c>
    </row>
    <row r="131" spans="1:3" x14ac:dyDescent="0.25">
      <c r="A131" s="100">
        <v>540</v>
      </c>
      <c r="B131" s="107" t="s">
        <v>377</v>
      </c>
      <c r="C131" s="104" t="s">
        <v>16</v>
      </c>
    </row>
    <row r="132" spans="1:3" x14ac:dyDescent="0.25">
      <c r="A132" s="100">
        <v>541</v>
      </c>
      <c r="B132" s="107" t="s">
        <v>378</v>
      </c>
      <c r="C132" s="104" t="s">
        <v>16</v>
      </c>
    </row>
    <row r="133" spans="1:3" x14ac:dyDescent="0.25">
      <c r="A133" s="100">
        <v>542</v>
      </c>
      <c r="B133" s="107" t="s">
        <v>379</v>
      </c>
      <c r="C133" s="104" t="s">
        <v>16</v>
      </c>
    </row>
    <row r="134" spans="1:3" x14ac:dyDescent="0.25">
      <c r="A134" s="40">
        <v>543</v>
      </c>
      <c r="B134" s="107" t="s">
        <v>380</v>
      </c>
      <c r="C134" s="104" t="s">
        <v>16</v>
      </c>
    </row>
    <row r="135" spans="1:3" x14ac:dyDescent="0.25">
      <c r="A135" s="100">
        <v>544</v>
      </c>
      <c r="B135" s="107" t="s">
        <v>381</v>
      </c>
      <c r="C135" s="104" t="s">
        <v>16</v>
      </c>
    </row>
    <row r="136" spans="1:3" x14ac:dyDescent="0.25">
      <c r="A136" s="100">
        <v>545</v>
      </c>
      <c r="B136" s="107" t="s">
        <v>382</v>
      </c>
      <c r="C136" s="104" t="s">
        <v>421</v>
      </c>
    </row>
    <row r="137" spans="1:3" x14ac:dyDescent="0.25">
      <c r="A137" s="100">
        <v>546</v>
      </c>
      <c r="B137" s="107" t="s">
        <v>383</v>
      </c>
      <c r="C137" s="104" t="s">
        <v>421</v>
      </c>
    </row>
    <row r="138" spans="1:3" x14ac:dyDescent="0.25">
      <c r="A138" s="40">
        <v>547</v>
      </c>
      <c r="B138" s="107" t="s">
        <v>384</v>
      </c>
      <c r="C138" s="104" t="s">
        <v>421</v>
      </c>
    </row>
    <row r="139" spans="1:3" x14ac:dyDescent="0.25">
      <c r="A139" s="100">
        <v>548</v>
      </c>
      <c r="B139" s="107" t="s">
        <v>385</v>
      </c>
      <c r="C139" s="104" t="s">
        <v>421</v>
      </c>
    </row>
    <row r="140" spans="1:3" x14ac:dyDescent="0.25">
      <c r="A140" s="100">
        <v>549</v>
      </c>
      <c r="B140" s="107" t="s">
        <v>386</v>
      </c>
      <c r="C140" s="104" t="s">
        <v>421</v>
      </c>
    </row>
    <row r="141" spans="1:3" x14ac:dyDescent="0.25">
      <c r="A141" s="100">
        <v>550</v>
      </c>
      <c r="B141" s="107" t="s">
        <v>387</v>
      </c>
      <c r="C141" s="104" t="s">
        <v>421</v>
      </c>
    </row>
    <row r="142" spans="1:3" x14ac:dyDescent="0.25">
      <c r="A142" s="40">
        <v>551</v>
      </c>
      <c r="B142" s="107" t="s">
        <v>388</v>
      </c>
      <c r="C142" s="104" t="s">
        <v>421</v>
      </c>
    </row>
    <row r="143" spans="1:3" x14ac:dyDescent="0.25">
      <c r="A143" s="100">
        <v>552</v>
      </c>
      <c r="B143" s="107" t="s">
        <v>389</v>
      </c>
      <c r="C143" s="104" t="s">
        <v>421</v>
      </c>
    </row>
    <row r="144" spans="1:3" x14ac:dyDescent="0.25">
      <c r="A144" s="100">
        <v>553</v>
      </c>
      <c r="B144" s="107" t="s">
        <v>390</v>
      </c>
      <c r="C144" s="104" t="s">
        <v>421</v>
      </c>
    </row>
    <row r="145" spans="1:3" x14ac:dyDescent="0.25">
      <c r="A145" s="100">
        <v>554</v>
      </c>
      <c r="B145" s="107" t="s">
        <v>391</v>
      </c>
      <c r="C145" s="104" t="s">
        <v>421</v>
      </c>
    </row>
    <row r="146" spans="1:3" x14ac:dyDescent="0.25">
      <c r="A146" s="40">
        <v>555</v>
      </c>
      <c r="B146" s="107" t="s">
        <v>392</v>
      </c>
      <c r="C146" s="104" t="s">
        <v>421</v>
      </c>
    </row>
    <row r="147" spans="1:3" x14ac:dyDescent="0.25">
      <c r="A147" s="100">
        <v>556</v>
      </c>
      <c r="B147" s="107" t="s">
        <v>393</v>
      </c>
      <c r="C147" s="104" t="s">
        <v>421</v>
      </c>
    </row>
    <row r="148" spans="1:3" x14ac:dyDescent="0.25">
      <c r="A148" s="100">
        <v>557</v>
      </c>
      <c r="B148" s="107" t="s">
        <v>394</v>
      </c>
      <c r="C148" s="104" t="s">
        <v>421</v>
      </c>
    </row>
    <row r="149" spans="1:3" x14ac:dyDescent="0.25">
      <c r="A149" s="100">
        <v>558</v>
      </c>
      <c r="B149" s="107" t="s">
        <v>395</v>
      </c>
      <c r="C149" s="104" t="s">
        <v>421</v>
      </c>
    </row>
    <row r="150" spans="1:3" x14ac:dyDescent="0.25">
      <c r="A150" s="40">
        <v>559</v>
      </c>
      <c r="B150" s="107" t="s">
        <v>396</v>
      </c>
      <c r="C150" s="104" t="s">
        <v>421</v>
      </c>
    </row>
    <row r="151" spans="1:3" x14ac:dyDescent="0.25">
      <c r="A151" s="100">
        <v>560</v>
      </c>
      <c r="B151" s="107" t="s">
        <v>397</v>
      </c>
      <c r="C151" s="104" t="s">
        <v>421</v>
      </c>
    </row>
    <row r="152" spans="1:3" x14ac:dyDescent="0.25">
      <c r="A152" s="100">
        <v>561</v>
      </c>
      <c r="B152" s="107" t="s">
        <v>398</v>
      </c>
      <c r="C152" s="104" t="s">
        <v>421</v>
      </c>
    </row>
    <row r="153" spans="1:3" x14ac:dyDescent="0.25">
      <c r="A153" s="100">
        <v>562</v>
      </c>
      <c r="B153" s="107" t="s">
        <v>399</v>
      </c>
      <c r="C153" s="104" t="s">
        <v>421</v>
      </c>
    </row>
    <row r="154" spans="1:3" x14ac:dyDescent="0.25">
      <c r="A154" s="40">
        <v>563</v>
      </c>
      <c r="B154" s="107" t="s">
        <v>400</v>
      </c>
      <c r="C154" s="104" t="s">
        <v>421</v>
      </c>
    </row>
    <row r="155" spans="1:3" x14ac:dyDescent="0.25">
      <c r="A155" s="100">
        <v>564</v>
      </c>
      <c r="B155" s="107" t="s">
        <v>401</v>
      </c>
      <c r="C155" s="104" t="s">
        <v>421</v>
      </c>
    </row>
    <row r="156" spans="1:3" x14ac:dyDescent="0.25">
      <c r="A156" s="100">
        <v>565</v>
      </c>
      <c r="B156" s="107" t="s">
        <v>402</v>
      </c>
      <c r="C156" s="104" t="s">
        <v>421</v>
      </c>
    </row>
    <row r="157" spans="1:3" x14ac:dyDescent="0.25">
      <c r="A157" s="100">
        <v>566</v>
      </c>
      <c r="B157" s="107" t="s">
        <v>403</v>
      </c>
      <c r="C157" s="104" t="s">
        <v>421</v>
      </c>
    </row>
    <row r="158" spans="1:3" x14ac:dyDescent="0.25">
      <c r="A158" s="40">
        <v>567</v>
      </c>
      <c r="B158" s="107" t="s">
        <v>404</v>
      </c>
      <c r="C158" s="104" t="s">
        <v>421</v>
      </c>
    </row>
    <row r="159" spans="1:3" x14ac:dyDescent="0.25">
      <c r="A159" s="100">
        <v>568</v>
      </c>
      <c r="B159" s="107" t="s">
        <v>1467</v>
      </c>
      <c r="C159" s="104" t="s">
        <v>421</v>
      </c>
    </row>
    <row r="160" spans="1:3" x14ac:dyDescent="0.25">
      <c r="A160" s="100">
        <v>569</v>
      </c>
      <c r="B160" s="107" t="s">
        <v>1468</v>
      </c>
      <c r="C160" s="104" t="s">
        <v>421</v>
      </c>
    </row>
    <row r="161" spans="1:3" x14ac:dyDescent="0.25">
      <c r="A161" s="100">
        <v>570</v>
      </c>
      <c r="B161" s="107" t="s">
        <v>405</v>
      </c>
      <c r="C161" s="104" t="s">
        <v>421</v>
      </c>
    </row>
    <row r="162" spans="1:3" x14ac:dyDescent="0.25">
      <c r="A162" s="40">
        <v>571</v>
      </c>
      <c r="B162" s="107" t="s">
        <v>406</v>
      </c>
      <c r="C162" s="104" t="s">
        <v>422</v>
      </c>
    </row>
    <row r="163" spans="1:3" x14ac:dyDescent="0.25">
      <c r="A163" s="100">
        <v>572</v>
      </c>
      <c r="B163" s="107" t="s">
        <v>407</v>
      </c>
      <c r="C163" s="104" t="s">
        <v>422</v>
      </c>
    </row>
    <row r="164" spans="1:3" x14ac:dyDescent="0.25">
      <c r="A164" s="100">
        <v>573</v>
      </c>
      <c r="B164" s="107" t="s">
        <v>408</v>
      </c>
      <c r="C164" s="104" t="s">
        <v>422</v>
      </c>
    </row>
    <row r="165" spans="1:3" x14ac:dyDescent="0.25">
      <c r="A165" s="100">
        <v>574</v>
      </c>
      <c r="B165" s="107" t="s">
        <v>409</v>
      </c>
      <c r="C165" s="104" t="s">
        <v>422</v>
      </c>
    </row>
    <row r="166" spans="1:3" x14ac:dyDescent="0.25">
      <c r="A166" s="40">
        <v>575</v>
      </c>
      <c r="B166" s="107" t="s">
        <v>410</v>
      </c>
      <c r="C166" s="104" t="s">
        <v>422</v>
      </c>
    </row>
    <row r="167" spans="1:3" x14ac:dyDescent="0.25">
      <c r="A167" s="100">
        <v>576</v>
      </c>
      <c r="B167" s="107" t="s">
        <v>1493</v>
      </c>
      <c r="C167" s="104" t="s">
        <v>422</v>
      </c>
    </row>
    <row r="168" spans="1:3" x14ac:dyDescent="0.25">
      <c r="A168" s="100">
        <v>577</v>
      </c>
      <c r="B168" s="107" t="s">
        <v>411</v>
      </c>
      <c r="C168" s="104" t="s">
        <v>422</v>
      </c>
    </row>
    <row r="169" spans="1:3" x14ac:dyDescent="0.25">
      <c r="A169" s="100">
        <v>578</v>
      </c>
      <c r="B169" s="107" t="s">
        <v>412</v>
      </c>
      <c r="C169" s="104" t="s">
        <v>422</v>
      </c>
    </row>
    <row r="170" spans="1:3" x14ac:dyDescent="0.25">
      <c r="A170" s="40">
        <v>579</v>
      </c>
      <c r="B170" s="107" t="s">
        <v>413</v>
      </c>
      <c r="C170" s="104" t="s">
        <v>422</v>
      </c>
    </row>
    <row r="171" spans="1:3" x14ac:dyDescent="0.25">
      <c r="A171" s="100">
        <v>580</v>
      </c>
      <c r="B171" s="107" t="s">
        <v>414</v>
      </c>
      <c r="C171" s="104" t="s">
        <v>113</v>
      </c>
    </row>
    <row r="172" spans="1:3" x14ac:dyDescent="0.25">
      <c r="A172" s="100">
        <v>581</v>
      </c>
      <c r="B172" s="107" t="s">
        <v>415</v>
      </c>
      <c r="C172" s="104" t="s">
        <v>113</v>
      </c>
    </row>
    <row r="173" spans="1:3" x14ac:dyDescent="0.25">
      <c r="A173" s="100">
        <v>582</v>
      </c>
      <c r="B173" s="107" t="s">
        <v>416</v>
      </c>
      <c r="C173" s="104" t="s">
        <v>113</v>
      </c>
    </row>
    <row r="174" spans="1:3" x14ac:dyDescent="0.25">
      <c r="A174" s="40">
        <v>583</v>
      </c>
      <c r="B174" s="107" t="s">
        <v>417</v>
      </c>
      <c r="C174" s="104" t="s">
        <v>113</v>
      </c>
    </row>
    <row r="175" spans="1:3" x14ac:dyDescent="0.25">
      <c r="A175" s="100">
        <v>585</v>
      </c>
      <c r="B175" s="107" t="s">
        <v>418</v>
      </c>
      <c r="C175" s="104" t="s">
        <v>113</v>
      </c>
    </row>
    <row r="176" spans="1:3" x14ac:dyDescent="0.25">
      <c r="A176" s="100">
        <v>586</v>
      </c>
      <c r="B176" s="107" t="s">
        <v>419</v>
      </c>
      <c r="C176" s="104" t="s">
        <v>113</v>
      </c>
    </row>
    <row r="177" spans="1:4" x14ac:dyDescent="0.25">
      <c r="A177" s="40">
        <v>587</v>
      </c>
      <c r="B177" s="107" t="s">
        <v>1534</v>
      </c>
      <c r="C177" s="104" t="s">
        <v>113</v>
      </c>
    </row>
    <row r="178" spans="1:4" x14ac:dyDescent="0.25">
      <c r="A178" s="100">
        <v>588</v>
      </c>
      <c r="B178" s="109" t="s">
        <v>1443</v>
      </c>
      <c r="C178" s="110" t="s">
        <v>446</v>
      </c>
    </row>
    <row r="179" spans="1:4" x14ac:dyDescent="0.25">
      <c r="A179" s="108"/>
      <c r="B179" s="107" t="s">
        <v>1497</v>
      </c>
      <c r="C179" s="110" t="s">
        <v>166</v>
      </c>
      <c r="D179" t="s">
        <v>1469</v>
      </c>
    </row>
    <row r="180" spans="1:4" x14ac:dyDescent="0.25">
      <c r="A180" s="108"/>
      <c r="B180" s="109" t="s">
        <v>1500</v>
      </c>
      <c r="C180" s="110" t="s">
        <v>166</v>
      </c>
      <c r="D180" t="s">
        <v>1469</v>
      </c>
    </row>
    <row r="181" spans="1:4" x14ac:dyDescent="0.25">
      <c r="A181" s="108"/>
      <c r="B181" s="107" t="s">
        <v>1499</v>
      </c>
      <c r="C181" s="110" t="s">
        <v>166</v>
      </c>
      <c r="D181" t="s">
        <v>1469</v>
      </c>
    </row>
    <row r="182" spans="1:4" x14ac:dyDescent="0.25">
      <c r="A182" s="108"/>
      <c r="B182" s="109" t="s">
        <v>1501</v>
      </c>
      <c r="C182" s="110" t="s">
        <v>166</v>
      </c>
      <c r="D182" t="s">
        <v>1469</v>
      </c>
    </row>
    <row r="183" spans="1:4" x14ac:dyDescent="0.25">
      <c r="A183" s="108"/>
      <c r="B183" s="107" t="s">
        <v>1505</v>
      </c>
      <c r="C183" s="110" t="s">
        <v>166</v>
      </c>
      <c r="D183" t="s">
        <v>1469</v>
      </c>
    </row>
    <row r="184" spans="1:4" x14ac:dyDescent="0.25">
      <c r="A184" s="108"/>
      <c r="B184" s="107" t="s">
        <v>1502</v>
      </c>
      <c r="C184" s="110" t="s">
        <v>166</v>
      </c>
      <c r="D184" t="s">
        <v>1469</v>
      </c>
    </row>
    <row r="185" spans="1:4" x14ac:dyDescent="0.25">
      <c r="A185" s="108"/>
      <c r="B185" s="107" t="s">
        <v>1503</v>
      </c>
      <c r="C185" s="110" t="s">
        <v>166</v>
      </c>
      <c r="D185" t="s">
        <v>1469</v>
      </c>
    </row>
    <row r="186" spans="1:4" x14ac:dyDescent="0.25">
      <c r="A186" s="108"/>
      <c r="B186" s="107" t="s">
        <v>1504</v>
      </c>
      <c r="C186" s="110" t="s">
        <v>166</v>
      </c>
      <c r="D186" t="s">
        <v>1469</v>
      </c>
    </row>
    <row r="187" spans="1:4" x14ac:dyDescent="0.25">
      <c r="A187" s="108"/>
      <c r="B187" s="107" t="s">
        <v>1507</v>
      </c>
      <c r="C187" s="104" t="s">
        <v>176</v>
      </c>
      <c r="D187" t="s">
        <v>1469</v>
      </c>
    </row>
    <row r="188" spans="1:4" x14ac:dyDescent="0.25">
      <c r="A188" s="108"/>
      <c r="B188" s="135" t="s">
        <v>1508</v>
      </c>
      <c r="C188" s="104" t="s">
        <v>176</v>
      </c>
      <c r="D188" t="s">
        <v>1469</v>
      </c>
    </row>
    <row r="189" spans="1:4" x14ac:dyDescent="0.25">
      <c r="A189" s="108"/>
      <c r="B189" s="107" t="s">
        <v>1509</v>
      </c>
      <c r="C189" s="104" t="s">
        <v>176</v>
      </c>
      <c r="D189" t="s">
        <v>1469</v>
      </c>
    </row>
    <row r="190" spans="1:4" x14ac:dyDescent="0.25">
      <c r="A190" s="108"/>
      <c r="B190" s="107" t="s">
        <v>1510</v>
      </c>
      <c r="C190" s="104" t="s">
        <v>176</v>
      </c>
      <c r="D190" t="s">
        <v>1469</v>
      </c>
    </row>
    <row r="191" spans="1:4" x14ac:dyDescent="0.25">
      <c r="A191" s="108"/>
      <c r="B191" s="107" t="s">
        <v>1511</v>
      </c>
      <c r="C191" s="104" t="s">
        <v>176</v>
      </c>
      <c r="D191" t="s">
        <v>1469</v>
      </c>
    </row>
    <row r="192" spans="1:4" x14ac:dyDescent="0.25">
      <c r="A192" s="108"/>
      <c r="B192" s="107" t="s">
        <v>1512</v>
      </c>
      <c r="C192" s="104" t="s">
        <v>176</v>
      </c>
      <c r="D192" t="s">
        <v>1469</v>
      </c>
    </row>
    <row r="193" spans="1:4" x14ac:dyDescent="0.25">
      <c r="A193" s="108"/>
      <c r="B193" s="107" t="s">
        <v>1513</v>
      </c>
      <c r="C193" s="104" t="s">
        <v>176</v>
      </c>
      <c r="D193" t="s">
        <v>1469</v>
      </c>
    </row>
    <row r="194" spans="1:4" x14ac:dyDescent="0.25">
      <c r="A194" s="108"/>
      <c r="B194" s="107" t="s">
        <v>1514</v>
      </c>
      <c r="C194" s="104" t="s">
        <v>176</v>
      </c>
      <c r="D194" t="s">
        <v>1469</v>
      </c>
    </row>
    <row r="195" spans="1:4" x14ac:dyDescent="0.25">
      <c r="A195" s="108"/>
      <c r="B195" s="135" t="s">
        <v>1515</v>
      </c>
      <c r="C195" s="104" t="s">
        <v>176</v>
      </c>
      <c r="D195" t="s">
        <v>1469</v>
      </c>
    </row>
    <row r="196" spans="1:4" x14ac:dyDescent="0.25">
      <c r="A196" s="108"/>
      <c r="B196" s="135" t="s">
        <v>1516</v>
      </c>
      <c r="C196" s="104" t="s">
        <v>176</v>
      </c>
      <c r="D196" t="s">
        <v>1469</v>
      </c>
    </row>
    <row r="197" spans="1:4" x14ac:dyDescent="0.25">
      <c r="A197" s="108"/>
      <c r="B197" s="135" t="s">
        <v>1517</v>
      </c>
      <c r="C197" s="104" t="s">
        <v>176</v>
      </c>
      <c r="D197" t="s">
        <v>1469</v>
      </c>
    </row>
    <row r="198" spans="1:4" x14ac:dyDescent="0.25">
      <c r="A198" s="108"/>
      <c r="B198" s="135" t="s">
        <v>1518</v>
      </c>
      <c r="C198" s="104" t="s">
        <v>176</v>
      </c>
      <c r="D198" t="s">
        <v>1469</v>
      </c>
    </row>
    <row r="199" spans="1:4" x14ac:dyDescent="0.25">
      <c r="A199" s="108"/>
      <c r="B199" s="135" t="s">
        <v>1519</v>
      </c>
      <c r="C199" s="104" t="s">
        <v>176</v>
      </c>
      <c r="D199" t="s">
        <v>1469</v>
      </c>
    </row>
    <row r="200" spans="1:4" x14ac:dyDescent="0.25">
      <c r="A200" s="108"/>
      <c r="B200" s="135" t="s">
        <v>1520</v>
      </c>
      <c r="C200" s="104" t="s">
        <v>176</v>
      </c>
      <c r="D200" t="s">
        <v>1469</v>
      </c>
    </row>
    <row r="201" spans="1:4" x14ac:dyDescent="0.25">
      <c r="A201" s="108"/>
      <c r="B201" s="135" t="s">
        <v>1521</v>
      </c>
      <c r="C201" s="104" t="s">
        <v>176</v>
      </c>
      <c r="D201" t="s">
        <v>1469</v>
      </c>
    </row>
    <row r="202" spans="1:4" x14ac:dyDescent="0.25">
      <c r="A202" s="108"/>
      <c r="B202" s="135" t="s">
        <v>1522</v>
      </c>
      <c r="C202" s="104" t="s">
        <v>176</v>
      </c>
      <c r="D202" t="s">
        <v>1469</v>
      </c>
    </row>
    <row r="203" spans="1:4" x14ac:dyDescent="0.25">
      <c r="A203" s="108"/>
      <c r="B203" s="135" t="s">
        <v>1523</v>
      </c>
      <c r="C203" s="104" t="s">
        <v>176</v>
      </c>
      <c r="D203" t="s">
        <v>1469</v>
      </c>
    </row>
    <row r="204" spans="1:4" x14ac:dyDescent="0.25">
      <c r="A204" s="108"/>
      <c r="B204" s="135" t="s">
        <v>1524</v>
      </c>
      <c r="C204" s="104" t="s">
        <v>176</v>
      </c>
      <c r="D204" t="s">
        <v>1469</v>
      </c>
    </row>
    <row r="205" spans="1:4" x14ac:dyDescent="0.25">
      <c r="A205" s="108"/>
      <c r="B205" s="107" t="s">
        <v>1525</v>
      </c>
      <c r="C205" s="104" t="s">
        <v>176</v>
      </c>
      <c r="D205" t="s">
        <v>1469</v>
      </c>
    </row>
    <row r="206" spans="1:4" x14ac:dyDescent="0.25">
      <c r="A206" s="108"/>
      <c r="B206" s="107" t="s">
        <v>1527</v>
      </c>
      <c r="C206" s="110" t="s">
        <v>166</v>
      </c>
      <c r="D206" t="s">
        <v>1469</v>
      </c>
    </row>
    <row r="207" spans="1:4" x14ac:dyDescent="0.25">
      <c r="A207" s="108"/>
      <c r="B207" s="136"/>
      <c r="C207" s="137" t="s">
        <v>166</v>
      </c>
      <c r="D207" t="s">
        <v>1469</v>
      </c>
    </row>
    <row r="208" spans="1:4" x14ac:dyDescent="0.25">
      <c r="B208" s="97"/>
      <c r="C208" s="29"/>
    </row>
  </sheetData>
  <autoFilter ref="A1:C207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9"/>
  </sheetPr>
  <dimension ref="A1:H453"/>
  <sheetViews>
    <sheetView zoomScale="96" zoomScaleNormal="96" workbookViewId="0">
      <selection activeCell="D1" sqref="D1"/>
    </sheetView>
  </sheetViews>
  <sheetFormatPr defaultColWidth="8.85546875" defaultRowHeight="15" x14ac:dyDescent="0.25"/>
  <cols>
    <col min="1" max="1" width="8.85546875" style="42"/>
    <col min="2" max="2" width="21.5703125" style="42" bestFit="1" customWidth="1"/>
    <col min="3" max="3" width="17.42578125" style="42" customWidth="1"/>
    <col min="4" max="4" width="15.5703125" style="42" bestFit="1" customWidth="1"/>
    <col min="5" max="7" width="8.85546875" style="42"/>
    <col min="8" max="8" width="16" style="42" bestFit="1" customWidth="1"/>
    <col min="9" max="16384" width="8.85546875" style="42"/>
  </cols>
  <sheetData>
    <row r="1" spans="1:8" x14ac:dyDescent="0.25">
      <c r="A1" s="57" t="s">
        <v>146</v>
      </c>
      <c r="B1" s="58" t="s">
        <v>1113</v>
      </c>
      <c r="C1" s="58" t="s">
        <v>1210</v>
      </c>
      <c r="D1" s="59" t="s">
        <v>1211</v>
      </c>
    </row>
    <row r="2" spans="1:8" x14ac:dyDescent="0.25">
      <c r="A2" s="111">
        <v>1</v>
      </c>
      <c r="B2" s="112" t="s">
        <v>909</v>
      </c>
      <c r="C2" s="113" t="s">
        <v>1215</v>
      </c>
      <c r="D2" s="114">
        <v>0.3</v>
      </c>
      <c r="H2" s="60" t="s">
        <v>1117</v>
      </c>
    </row>
    <row r="3" spans="1:8" x14ac:dyDescent="0.25">
      <c r="A3" s="111">
        <v>2</v>
      </c>
      <c r="B3" s="31" t="s">
        <v>452</v>
      </c>
      <c r="C3" s="113" t="s">
        <v>1215</v>
      </c>
      <c r="D3" s="114">
        <v>0.2</v>
      </c>
      <c r="H3" s="34" t="s">
        <v>1215</v>
      </c>
    </row>
    <row r="4" spans="1:8" x14ac:dyDescent="0.25">
      <c r="A4" s="111">
        <v>3</v>
      </c>
      <c r="B4" s="31" t="s">
        <v>491</v>
      </c>
      <c r="C4" s="113" t="s">
        <v>1215</v>
      </c>
      <c r="D4" s="114">
        <v>0.1</v>
      </c>
      <c r="H4" s="34" t="s">
        <v>166</v>
      </c>
    </row>
    <row r="5" spans="1:8" x14ac:dyDescent="0.25">
      <c r="A5" s="111">
        <v>4</v>
      </c>
      <c r="B5" s="112" t="s">
        <v>1118</v>
      </c>
      <c r="C5" s="113" t="s">
        <v>1215</v>
      </c>
      <c r="D5" s="114">
        <v>0</v>
      </c>
      <c r="H5" s="34" t="s">
        <v>1119</v>
      </c>
    </row>
    <row r="6" spans="1:8" x14ac:dyDescent="0.25">
      <c r="A6" s="111">
        <v>5</v>
      </c>
      <c r="B6" s="31" t="s">
        <v>404</v>
      </c>
      <c r="C6" s="113" t="s">
        <v>1215</v>
      </c>
      <c r="D6" s="114">
        <v>0</v>
      </c>
      <c r="H6" s="34" t="s">
        <v>1120</v>
      </c>
    </row>
    <row r="7" spans="1:8" x14ac:dyDescent="0.25">
      <c r="A7" s="111">
        <v>6</v>
      </c>
      <c r="B7" s="112" t="s">
        <v>916</v>
      </c>
      <c r="C7" s="113" t="s">
        <v>1215</v>
      </c>
      <c r="D7" s="114">
        <v>0</v>
      </c>
      <c r="H7" s="34" t="s">
        <v>35</v>
      </c>
    </row>
    <row r="8" spans="1:8" x14ac:dyDescent="0.25">
      <c r="A8" s="111">
        <v>7</v>
      </c>
      <c r="B8" s="31" t="s">
        <v>520</v>
      </c>
      <c r="C8" s="113" t="s">
        <v>431</v>
      </c>
      <c r="D8" s="114">
        <v>0</v>
      </c>
      <c r="H8" s="34" t="s">
        <v>431</v>
      </c>
    </row>
    <row r="9" spans="1:8" x14ac:dyDescent="0.25">
      <c r="A9" s="111">
        <v>8</v>
      </c>
      <c r="B9" s="115" t="s">
        <v>532</v>
      </c>
      <c r="C9" s="113" t="s">
        <v>1119</v>
      </c>
      <c r="D9" s="114">
        <v>0</v>
      </c>
    </row>
    <row r="10" spans="1:8" x14ac:dyDescent="0.25">
      <c r="A10" s="111">
        <v>9</v>
      </c>
      <c r="B10" s="112" t="s">
        <v>750</v>
      </c>
      <c r="C10" s="116" t="s">
        <v>1119</v>
      </c>
      <c r="D10" s="114">
        <v>0</v>
      </c>
    </row>
    <row r="11" spans="1:8" x14ac:dyDescent="0.25">
      <c r="A11" s="111">
        <v>10</v>
      </c>
      <c r="B11" s="117" t="s">
        <v>758</v>
      </c>
      <c r="C11" s="118" t="s">
        <v>1119</v>
      </c>
      <c r="D11" s="114">
        <v>0</v>
      </c>
    </row>
    <row r="12" spans="1:8" x14ac:dyDescent="0.25">
      <c r="A12" s="111">
        <v>11</v>
      </c>
      <c r="B12" s="31" t="s">
        <v>471</v>
      </c>
      <c r="C12" s="113" t="s">
        <v>1215</v>
      </c>
      <c r="D12" s="114">
        <v>0.2</v>
      </c>
    </row>
    <row r="13" spans="1:8" x14ac:dyDescent="0.25">
      <c r="A13" s="111">
        <v>12</v>
      </c>
      <c r="B13" s="31" t="s">
        <v>566</v>
      </c>
      <c r="C13" s="113" t="s">
        <v>431</v>
      </c>
      <c r="D13" s="114">
        <v>0</v>
      </c>
    </row>
    <row r="14" spans="1:8" x14ac:dyDescent="0.25">
      <c r="A14" s="111">
        <v>13</v>
      </c>
      <c r="B14" s="31" t="s">
        <v>710</v>
      </c>
      <c r="C14" s="113" t="s">
        <v>431</v>
      </c>
      <c r="D14" s="114">
        <v>0</v>
      </c>
    </row>
    <row r="15" spans="1:8" x14ac:dyDescent="0.25">
      <c r="A15" s="111">
        <v>14</v>
      </c>
      <c r="B15" s="31" t="s">
        <v>711</v>
      </c>
      <c r="C15" s="113" t="s">
        <v>1215</v>
      </c>
      <c r="D15" s="114">
        <v>0</v>
      </c>
    </row>
    <row r="16" spans="1:8" x14ac:dyDescent="0.25">
      <c r="A16" s="111">
        <v>15</v>
      </c>
      <c r="B16" s="31" t="s">
        <v>460</v>
      </c>
      <c r="C16" s="113" t="s">
        <v>1119</v>
      </c>
      <c r="D16" s="114">
        <v>0</v>
      </c>
    </row>
    <row r="17" spans="1:4" x14ac:dyDescent="0.25">
      <c r="A17" s="111">
        <v>16</v>
      </c>
      <c r="B17" s="31" t="s">
        <v>621</v>
      </c>
      <c r="C17" s="113" t="s">
        <v>1215</v>
      </c>
      <c r="D17" s="114">
        <v>0</v>
      </c>
    </row>
    <row r="18" spans="1:4" x14ac:dyDescent="0.25">
      <c r="A18" s="111">
        <v>17</v>
      </c>
      <c r="B18" s="31" t="s">
        <v>472</v>
      </c>
      <c r="C18" s="113" t="s">
        <v>1215</v>
      </c>
      <c r="D18" s="114">
        <v>0</v>
      </c>
    </row>
    <row r="19" spans="1:4" x14ac:dyDescent="0.25">
      <c r="A19" s="111">
        <v>18</v>
      </c>
      <c r="B19" s="119" t="s">
        <v>511</v>
      </c>
      <c r="C19" s="118" t="s">
        <v>1215</v>
      </c>
      <c r="D19" s="114">
        <v>0</v>
      </c>
    </row>
    <row r="20" spans="1:4" x14ac:dyDescent="0.25">
      <c r="A20" s="111">
        <v>19</v>
      </c>
      <c r="B20" s="112" t="s">
        <v>864</v>
      </c>
      <c r="C20" s="113" t="s">
        <v>1215</v>
      </c>
      <c r="D20" s="114">
        <v>0</v>
      </c>
    </row>
    <row r="21" spans="1:4" x14ac:dyDescent="0.25">
      <c r="A21" s="111">
        <v>20</v>
      </c>
      <c r="B21" s="119" t="s">
        <v>510</v>
      </c>
      <c r="C21" s="118" t="s">
        <v>1215</v>
      </c>
      <c r="D21" s="114">
        <v>0</v>
      </c>
    </row>
    <row r="22" spans="1:4" x14ac:dyDescent="0.25">
      <c r="A22" s="111">
        <v>21</v>
      </c>
      <c r="B22" s="117" t="s">
        <v>581</v>
      </c>
      <c r="C22" s="116" t="s">
        <v>1215</v>
      </c>
      <c r="D22" s="114">
        <v>0</v>
      </c>
    </row>
    <row r="23" spans="1:4" x14ac:dyDescent="0.25">
      <c r="A23" s="111">
        <v>22</v>
      </c>
      <c r="B23" s="115" t="s">
        <v>806</v>
      </c>
      <c r="C23" s="113" t="s">
        <v>1215</v>
      </c>
      <c r="D23" s="114">
        <v>0</v>
      </c>
    </row>
    <row r="24" spans="1:4" x14ac:dyDescent="0.25">
      <c r="A24" s="111">
        <v>23</v>
      </c>
      <c r="B24" s="120" t="s">
        <v>512</v>
      </c>
      <c r="C24" s="118" t="s">
        <v>1215</v>
      </c>
      <c r="D24" s="114">
        <v>0</v>
      </c>
    </row>
    <row r="25" spans="1:4" x14ac:dyDescent="0.25">
      <c r="A25" s="111">
        <v>24</v>
      </c>
      <c r="B25" s="112" t="s">
        <v>969</v>
      </c>
      <c r="C25" s="113" t="s">
        <v>1119</v>
      </c>
      <c r="D25" s="114">
        <v>0</v>
      </c>
    </row>
    <row r="26" spans="1:4" x14ac:dyDescent="0.25">
      <c r="A26" s="111">
        <v>25</v>
      </c>
      <c r="B26" s="31" t="s">
        <v>466</v>
      </c>
      <c r="C26" s="113" t="s">
        <v>1215</v>
      </c>
      <c r="D26" s="114">
        <v>0</v>
      </c>
    </row>
    <row r="27" spans="1:4" x14ac:dyDescent="0.25">
      <c r="A27" s="111">
        <v>26</v>
      </c>
      <c r="B27" s="120" t="s">
        <v>567</v>
      </c>
      <c r="C27" s="113" t="s">
        <v>1215</v>
      </c>
      <c r="D27" s="114">
        <v>0</v>
      </c>
    </row>
    <row r="28" spans="1:4" x14ac:dyDescent="0.25">
      <c r="A28" s="111">
        <v>27</v>
      </c>
      <c r="B28" s="31" t="s">
        <v>705</v>
      </c>
      <c r="C28" s="113" t="s">
        <v>1122</v>
      </c>
      <c r="D28" s="114">
        <v>0</v>
      </c>
    </row>
    <row r="29" spans="1:4" x14ac:dyDescent="0.25">
      <c r="A29" s="111">
        <v>28</v>
      </c>
      <c r="B29" s="115" t="s">
        <v>833</v>
      </c>
      <c r="C29" s="113" t="s">
        <v>1215</v>
      </c>
      <c r="D29" s="114">
        <v>0</v>
      </c>
    </row>
    <row r="30" spans="1:4" x14ac:dyDescent="0.25">
      <c r="A30" s="111">
        <v>29</v>
      </c>
      <c r="B30" s="31" t="s">
        <v>575</v>
      </c>
      <c r="C30" s="121" t="s">
        <v>1119</v>
      </c>
      <c r="D30" s="114">
        <v>0</v>
      </c>
    </row>
    <row r="31" spans="1:4" x14ac:dyDescent="0.25">
      <c r="A31" s="111">
        <v>30</v>
      </c>
      <c r="B31" s="115" t="s">
        <v>802</v>
      </c>
      <c r="C31" s="121" t="s">
        <v>1119</v>
      </c>
      <c r="D31" s="114">
        <v>0</v>
      </c>
    </row>
    <row r="32" spans="1:4" x14ac:dyDescent="0.25">
      <c r="A32" s="111">
        <v>31</v>
      </c>
      <c r="B32" s="120" t="s">
        <v>850</v>
      </c>
      <c r="C32" s="113" t="s">
        <v>1119</v>
      </c>
      <c r="D32" s="114">
        <v>0</v>
      </c>
    </row>
    <row r="33" spans="1:4" x14ac:dyDescent="0.25">
      <c r="A33" s="111">
        <v>32</v>
      </c>
      <c r="B33" s="112" t="s">
        <v>537</v>
      </c>
      <c r="C33" s="113" t="s">
        <v>1119</v>
      </c>
      <c r="D33" s="114">
        <v>0</v>
      </c>
    </row>
    <row r="34" spans="1:4" x14ac:dyDescent="0.25">
      <c r="A34" s="111">
        <v>33</v>
      </c>
      <c r="B34" s="115" t="s">
        <v>885</v>
      </c>
      <c r="C34" s="113" t="s">
        <v>1215</v>
      </c>
      <c r="D34" s="114">
        <v>0</v>
      </c>
    </row>
    <row r="35" spans="1:4" x14ac:dyDescent="0.25">
      <c r="A35" s="111">
        <v>34</v>
      </c>
      <c r="B35" s="31" t="s">
        <v>646</v>
      </c>
      <c r="C35" s="113" t="s">
        <v>1119</v>
      </c>
      <c r="D35" s="114">
        <v>0</v>
      </c>
    </row>
    <row r="36" spans="1:4" x14ac:dyDescent="0.25">
      <c r="A36" s="111">
        <v>35</v>
      </c>
      <c r="B36" s="31" t="s">
        <v>641</v>
      </c>
      <c r="C36" s="113" t="s">
        <v>1119</v>
      </c>
      <c r="D36" s="114">
        <v>0</v>
      </c>
    </row>
    <row r="37" spans="1:4" x14ac:dyDescent="0.25">
      <c r="A37" s="111">
        <v>36</v>
      </c>
      <c r="B37" s="120" t="s">
        <v>766</v>
      </c>
      <c r="C37" s="121" t="s">
        <v>1119</v>
      </c>
      <c r="D37" s="114">
        <v>0</v>
      </c>
    </row>
    <row r="38" spans="1:4" x14ac:dyDescent="0.25">
      <c r="A38" s="111">
        <v>37</v>
      </c>
      <c r="B38" s="120" t="s">
        <v>474</v>
      </c>
      <c r="C38" s="118" t="s">
        <v>1119</v>
      </c>
      <c r="D38" s="114">
        <v>0</v>
      </c>
    </row>
    <row r="39" spans="1:4" x14ac:dyDescent="0.25">
      <c r="A39" s="111">
        <v>38</v>
      </c>
      <c r="B39" s="112" t="s">
        <v>911</v>
      </c>
      <c r="C39" s="113" t="s">
        <v>1119</v>
      </c>
      <c r="D39" s="114">
        <v>0</v>
      </c>
    </row>
    <row r="40" spans="1:4" x14ac:dyDescent="0.25">
      <c r="A40" s="111">
        <v>39</v>
      </c>
      <c r="B40" s="112" t="s">
        <v>998</v>
      </c>
      <c r="C40" s="113" t="s">
        <v>1119</v>
      </c>
      <c r="D40" s="114">
        <v>0</v>
      </c>
    </row>
    <row r="41" spans="1:4" x14ac:dyDescent="0.25">
      <c r="A41" s="111">
        <v>40</v>
      </c>
      <c r="B41" s="120" t="s">
        <v>463</v>
      </c>
      <c r="C41" s="118" t="s">
        <v>1119</v>
      </c>
      <c r="D41" s="114">
        <v>0</v>
      </c>
    </row>
    <row r="42" spans="1:4" x14ac:dyDescent="0.25">
      <c r="A42" s="111">
        <v>41</v>
      </c>
      <c r="B42" s="31" t="s">
        <v>703</v>
      </c>
      <c r="C42" s="113" t="s">
        <v>166</v>
      </c>
      <c r="D42" s="114">
        <v>0</v>
      </c>
    </row>
    <row r="43" spans="1:4" x14ac:dyDescent="0.25">
      <c r="A43" s="111">
        <v>42</v>
      </c>
      <c r="B43" s="115" t="s">
        <v>862</v>
      </c>
      <c r="C43" s="113" t="s">
        <v>1119</v>
      </c>
      <c r="D43" s="114">
        <v>0</v>
      </c>
    </row>
    <row r="44" spans="1:4" x14ac:dyDescent="0.25">
      <c r="A44" s="111">
        <v>43</v>
      </c>
      <c r="B44" s="31" t="s">
        <v>467</v>
      </c>
      <c r="C44" s="113" t="s">
        <v>1122</v>
      </c>
      <c r="D44" s="114">
        <v>0</v>
      </c>
    </row>
    <row r="45" spans="1:4" x14ac:dyDescent="0.25">
      <c r="A45" s="111">
        <v>44</v>
      </c>
      <c r="B45" s="112" t="s">
        <v>919</v>
      </c>
      <c r="C45" s="113" t="s">
        <v>1119</v>
      </c>
      <c r="D45" s="114">
        <v>0</v>
      </c>
    </row>
    <row r="46" spans="1:4" x14ac:dyDescent="0.25">
      <c r="A46" s="111">
        <v>45</v>
      </c>
      <c r="B46" s="31" t="s">
        <v>762</v>
      </c>
      <c r="C46" s="113" t="s">
        <v>1122</v>
      </c>
      <c r="D46" s="114">
        <v>0</v>
      </c>
    </row>
    <row r="47" spans="1:4" x14ac:dyDescent="0.25">
      <c r="A47" s="111">
        <v>46</v>
      </c>
      <c r="B47" s="112" t="s">
        <v>628</v>
      </c>
      <c r="C47" s="113" t="s">
        <v>1119</v>
      </c>
      <c r="D47" s="114">
        <v>0</v>
      </c>
    </row>
    <row r="48" spans="1:4" x14ac:dyDescent="0.25">
      <c r="A48" s="111">
        <v>47</v>
      </c>
      <c r="B48" s="115" t="s">
        <v>809</v>
      </c>
      <c r="C48" s="113" t="s">
        <v>1119</v>
      </c>
      <c r="D48" s="114">
        <v>0</v>
      </c>
    </row>
    <row r="49" spans="1:4" x14ac:dyDescent="0.25">
      <c r="A49" s="111">
        <v>48</v>
      </c>
      <c r="B49" s="31" t="s">
        <v>601</v>
      </c>
      <c r="C49" s="113" t="s">
        <v>166</v>
      </c>
      <c r="D49" s="114">
        <v>0</v>
      </c>
    </row>
    <row r="50" spans="1:4" x14ac:dyDescent="0.25">
      <c r="A50" s="111">
        <v>49</v>
      </c>
      <c r="B50" s="31" t="s">
        <v>695</v>
      </c>
      <c r="C50" s="113" t="s">
        <v>166</v>
      </c>
      <c r="D50" s="114">
        <v>0</v>
      </c>
    </row>
    <row r="51" spans="1:4" x14ac:dyDescent="0.25">
      <c r="A51" s="111">
        <v>50</v>
      </c>
      <c r="B51" s="31" t="s">
        <v>611</v>
      </c>
      <c r="C51" s="113" t="s">
        <v>166</v>
      </c>
      <c r="D51" s="114">
        <v>0</v>
      </c>
    </row>
    <row r="52" spans="1:4" x14ac:dyDescent="0.25">
      <c r="A52" s="111">
        <v>51</v>
      </c>
      <c r="B52" s="31" t="s">
        <v>631</v>
      </c>
      <c r="C52" s="113" t="s">
        <v>166</v>
      </c>
      <c r="D52" s="114">
        <v>0</v>
      </c>
    </row>
    <row r="53" spans="1:4" x14ac:dyDescent="0.25">
      <c r="A53" s="111">
        <v>52</v>
      </c>
      <c r="B53" s="112" t="s">
        <v>956</v>
      </c>
      <c r="C53" s="113" t="s">
        <v>1119</v>
      </c>
      <c r="D53" s="114">
        <v>0</v>
      </c>
    </row>
    <row r="54" spans="1:4" x14ac:dyDescent="0.25">
      <c r="A54" s="111">
        <v>53</v>
      </c>
      <c r="B54" s="31" t="s">
        <v>708</v>
      </c>
      <c r="C54" s="113" t="s">
        <v>431</v>
      </c>
      <c r="D54" s="114">
        <v>0</v>
      </c>
    </row>
    <row r="55" spans="1:4" x14ac:dyDescent="0.25">
      <c r="A55" s="111">
        <v>54</v>
      </c>
      <c r="B55" s="31" t="s">
        <v>1212</v>
      </c>
      <c r="C55" s="113" t="s">
        <v>1122</v>
      </c>
      <c r="D55" s="114">
        <v>0</v>
      </c>
    </row>
    <row r="56" spans="1:4" x14ac:dyDescent="0.25">
      <c r="A56" s="111">
        <v>55</v>
      </c>
      <c r="B56" s="120" t="s">
        <v>736</v>
      </c>
      <c r="C56" s="118" t="s">
        <v>1215</v>
      </c>
      <c r="D56" s="114">
        <v>0</v>
      </c>
    </row>
    <row r="57" spans="1:4" x14ac:dyDescent="0.25">
      <c r="A57" s="111">
        <v>56</v>
      </c>
      <c r="B57" s="122" t="s">
        <v>513</v>
      </c>
      <c r="C57" s="118" t="s">
        <v>1119</v>
      </c>
      <c r="D57" s="114">
        <v>0</v>
      </c>
    </row>
    <row r="58" spans="1:4" x14ac:dyDescent="0.25">
      <c r="A58" s="111">
        <v>57</v>
      </c>
      <c r="B58" s="115" t="s">
        <v>1123</v>
      </c>
      <c r="C58" s="113" t="s">
        <v>1119</v>
      </c>
      <c r="D58" s="114">
        <v>0</v>
      </c>
    </row>
    <row r="59" spans="1:4" x14ac:dyDescent="0.25">
      <c r="A59" s="111">
        <v>58</v>
      </c>
      <c r="B59" s="115" t="s">
        <v>1124</v>
      </c>
      <c r="C59" s="113" t="s">
        <v>1215</v>
      </c>
      <c r="D59" s="114">
        <v>0</v>
      </c>
    </row>
    <row r="60" spans="1:4" x14ac:dyDescent="0.25">
      <c r="A60" s="111">
        <v>59</v>
      </c>
      <c r="B60" s="31" t="s">
        <v>1474</v>
      </c>
      <c r="C60" s="113" t="s">
        <v>1215</v>
      </c>
      <c r="D60" s="114">
        <v>0</v>
      </c>
    </row>
    <row r="61" spans="1:4" x14ac:dyDescent="0.25">
      <c r="A61" s="111">
        <v>60</v>
      </c>
      <c r="B61" s="120" t="s">
        <v>503</v>
      </c>
      <c r="C61" s="113" t="s">
        <v>1215</v>
      </c>
      <c r="D61" s="114">
        <v>0</v>
      </c>
    </row>
    <row r="62" spans="1:4" x14ac:dyDescent="0.25">
      <c r="A62" s="111">
        <v>61</v>
      </c>
      <c r="B62" s="120" t="s">
        <v>556</v>
      </c>
      <c r="C62" s="118" t="s">
        <v>1215</v>
      </c>
      <c r="D62" s="114">
        <v>0</v>
      </c>
    </row>
    <row r="63" spans="1:4" x14ac:dyDescent="0.25">
      <c r="A63" s="111">
        <v>62</v>
      </c>
      <c r="B63" s="115" t="s">
        <v>477</v>
      </c>
      <c r="C63" s="121" t="s">
        <v>1215</v>
      </c>
      <c r="D63" s="114">
        <v>0</v>
      </c>
    </row>
    <row r="64" spans="1:4" x14ac:dyDescent="0.25">
      <c r="A64" s="111">
        <v>63</v>
      </c>
      <c r="B64" s="31" t="s">
        <v>702</v>
      </c>
      <c r="C64" s="113" t="s">
        <v>1215</v>
      </c>
      <c r="D64" s="114">
        <v>0</v>
      </c>
    </row>
    <row r="65" spans="1:4" x14ac:dyDescent="0.25">
      <c r="A65" s="111">
        <v>64</v>
      </c>
      <c r="B65" s="31" t="s">
        <v>616</v>
      </c>
      <c r="C65" s="113" t="s">
        <v>1215</v>
      </c>
      <c r="D65" s="114">
        <v>0</v>
      </c>
    </row>
    <row r="66" spans="1:4" x14ac:dyDescent="0.25">
      <c r="A66" s="111">
        <v>65</v>
      </c>
      <c r="B66" s="31" t="s">
        <v>560</v>
      </c>
      <c r="C66" s="113" t="s">
        <v>1215</v>
      </c>
      <c r="D66" s="114">
        <v>0</v>
      </c>
    </row>
    <row r="67" spans="1:4" x14ac:dyDescent="0.25">
      <c r="A67" s="111">
        <v>66</v>
      </c>
      <c r="B67" s="122" t="s">
        <v>1213</v>
      </c>
      <c r="C67" s="118" t="s">
        <v>1215</v>
      </c>
      <c r="D67" s="114">
        <v>0</v>
      </c>
    </row>
    <row r="68" spans="1:4" x14ac:dyDescent="0.25">
      <c r="A68" s="111">
        <v>67</v>
      </c>
      <c r="B68" s="122" t="s">
        <v>1125</v>
      </c>
      <c r="C68" s="118" t="s">
        <v>1215</v>
      </c>
      <c r="D68" s="114">
        <v>0</v>
      </c>
    </row>
    <row r="69" spans="1:4" x14ac:dyDescent="0.25">
      <c r="A69" s="111">
        <v>68</v>
      </c>
      <c r="B69" s="31" t="s">
        <v>494</v>
      </c>
      <c r="C69" s="113" t="s">
        <v>1215</v>
      </c>
      <c r="D69" s="114">
        <v>0</v>
      </c>
    </row>
    <row r="70" spans="1:4" x14ac:dyDescent="0.25">
      <c r="A70" s="111">
        <v>69</v>
      </c>
      <c r="B70" s="115" t="s">
        <v>834</v>
      </c>
      <c r="C70" s="113" t="s">
        <v>1119</v>
      </c>
      <c r="D70" s="114">
        <v>0</v>
      </c>
    </row>
    <row r="71" spans="1:4" x14ac:dyDescent="0.25">
      <c r="A71" s="111">
        <v>70</v>
      </c>
      <c r="B71" s="31" t="s">
        <v>589</v>
      </c>
      <c r="C71" s="113" t="s">
        <v>1215</v>
      </c>
      <c r="D71" s="114">
        <v>0</v>
      </c>
    </row>
    <row r="72" spans="1:4" x14ac:dyDescent="0.25">
      <c r="A72" s="111">
        <v>71</v>
      </c>
      <c r="B72" s="31" t="s">
        <v>517</v>
      </c>
      <c r="C72" s="113" t="s">
        <v>1215</v>
      </c>
      <c r="D72" s="114">
        <v>0</v>
      </c>
    </row>
    <row r="73" spans="1:4" x14ac:dyDescent="0.25">
      <c r="A73" s="111">
        <v>72</v>
      </c>
      <c r="B73" s="120" t="s">
        <v>782</v>
      </c>
      <c r="C73" s="121" t="s">
        <v>166</v>
      </c>
      <c r="D73" s="114">
        <v>0</v>
      </c>
    </row>
    <row r="74" spans="1:4" x14ac:dyDescent="0.25">
      <c r="A74" s="111">
        <v>73</v>
      </c>
      <c r="B74" s="31" t="s">
        <v>1126</v>
      </c>
      <c r="C74" s="113" t="s">
        <v>1215</v>
      </c>
      <c r="D74" s="114">
        <v>0</v>
      </c>
    </row>
    <row r="75" spans="1:4" x14ac:dyDescent="0.25">
      <c r="A75" s="111">
        <v>74</v>
      </c>
      <c r="B75" s="31" t="s">
        <v>1476</v>
      </c>
      <c r="C75" s="113" t="s">
        <v>1121</v>
      </c>
      <c r="D75" s="114">
        <v>0</v>
      </c>
    </row>
    <row r="76" spans="1:4" x14ac:dyDescent="0.25">
      <c r="A76" s="111">
        <v>75</v>
      </c>
      <c r="B76" s="31" t="s">
        <v>403</v>
      </c>
      <c r="C76" s="113" t="s">
        <v>1215</v>
      </c>
      <c r="D76" s="114">
        <v>0</v>
      </c>
    </row>
    <row r="77" spans="1:4" x14ac:dyDescent="0.25">
      <c r="A77" s="111">
        <v>76</v>
      </c>
      <c r="B77" s="31" t="s">
        <v>643</v>
      </c>
      <c r="C77" s="113" t="s">
        <v>1215</v>
      </c>
      <c r="D77" s="114">
        <v>0</v>
      </c>
    </row>
    <row r="78" spans="1:4" x14ac:dyDescent="0.25">
      <c r="A78" s="111">
        <v>77</v>
      </c>
      <c r="B78" s="115" t="s">
        <v>562</v>
      </c>
      <c r="C78" s="113" t="s">
        <v>1215</v>
      </c>
      <c r="D78" s="114">
        <v>0</v>
      </c>
    </row>
    <row r="79" spans="1:4" x14ac:dyDescent="0.25">
      <c r="A79" s="111">
        <v>78</v>
      </c>
      <c r="B79" s="31" t="s">
        <v>514</v>
      </c>
      <c r="C79" s="113" t="s">
        <v>1121</v>
      </c>
      <c r="D79" s="114">
        <v>0</v>
      </c>
    </row>
    <row r="80" spans="1:4" x14ac:dyDescent="0.25">
      <c r="A80" s="111">
        <v>79</v>
      </c>
      <c r="B80" s="120" t="s">
        <v>731</v>
      </c>
      <c r="C80" s="118" t="s">
        <v>431</v>
      </c>
      <c r="D80" s="114">
        <v>0</v>
      </c>
    </row>
    <row r="81" spans="1:4" x14ac:dyDescent="0.25">
      <c r="A81" s="111">
        <v>80</v>
      </c>
      <c r="B81" s="31" t="s">
        <v>1020</v>
      </c>
      <c r="C81" s="113" t="s">
        <v>1122</v>
      </c>
      <c r="D81" s="114">
        <v>0</v>
      </c>
    </row>
    <row r="82" spans="1:4" x14ac:dyDescent="0.25">
      <c r="A82" s="111">
        <v>81</v>
      </c>
      <c r="B82" s="112" t="s">
        <v>781</v>
      </c>
      <c r="C82" s="121" t="s">
        <v>166</v>
      </c>
      <c r="D82" s="114">
        <v>0</v>
      </c>
    </row>
    <row r="83" spans="1:4" x14ac:dyDescent="0.25">
      <c r="A83" s="111">
        <v>82</v>
      </c>
      <c r="B83" s="31" t="s">
        <v>1475</v>
      </c>
      <c r="C83" s="113" t="s">
        <v>1121</v>
      </c>
      <c r="D83" s="114">
        <v>0</v>
      </c>
    </row>
    <row r="84" spans="1:4" x14ac:dyDescent="0.25">
      <c r="A84" s="111">
        <v>83</v>
      </c>
      <c r="B84" s="31" t="s">
        <v>607</v>
      </c>
      <c r="C84" s="113" t="s">
        <v>1122</v>
      </c>
      <c r="D84" s="114">
        <v>0</v>
      </c>
    </row>
    <row r="85" spans="1:4" x14ac:dyDescent="0.25">
      <c r="A85" s="111">
        <v>84</v>
      </c>
      <c r="B85" s="115" t="s">
        <v>951</v>
      </c>
      <c r="C85" s="113" t="s">
        <v>1119</v>
      </c>
      <c r="D85" s="114">
        <v>0</v>
      </c>
    </row>
    <row r="86" spans="1:4" x14ac:dyDescent="0.25">
      <c r="A86" s="111">
        <v>85</v>
      </c>
      <c r="B86" s="31" t="s">
        <v>666</v>
      </c>
      <c r="C86" s="113" t="s">
        <v>1119</v>
      </c>
      <c r="D86" s="114">
        <v>0</v>
      </c>
    </row>
    <row r="87" spans="1:4" x14ac:dyDescent="0.25">
      <c r="A87" s="111">
        <v>86</v>
      </c>
      <c r="B87" s="112" t="s">
        <v>978</v>
      </c>
      <c r="C87" s="113" t="s">
        <v>1119</v>
      </c>
      <c r="D87" s="114">
        <v>0</v>
      </c>
    </row>
    <row r="88" spans="1:4" x14ac:dyDescent="0.25">
      <c r="A88" s="111">
        <v>87</v>
      </c>
      <c r="B88" s="115" t="s">
        <v>1127</v>
      </c>
      <c r="C88" s="113" t="s">
        <v>1215</v>
      </c>
      <c r="D88" s="114">
        <v>0</v>
      </c>
    </row>
    <row r="89" spans="1:4" x14ac:dyDescent="0.25">
      <c r="A89" s="111">
        <v>88</v>
      </c>
      <c r="B89" s="112" t="s">
        <v>979</v>
      </c>
      <c r="C89" s="113" t="s">
        <v>1119</v>
      </c>
      <c r="D89" s="114">
        <v>0</v>
      </c>
    </row>
    <row r="90" spans="1:4" x14ac:dyDescent="0.25">
      <c r="A90" s="111">
        <v>89</v>
      </c>
      <c r="B90" s="31" t="s">
        <v>786</v>
      </c>
      <c r="C90" s="113" t="s">
        <v>166</v>
      </c>
      <c r="D90" s="114">
        <v>0</v>
      </c>
    </row>
    <row r="91" spans="1:4" x14ac:dyDescent="0.25">
      <c r="A91" s="111">
        <v>90</v>
      </c>
      <c r="B91" s="112" t="s">
        <v>1128</v>
      </c>
      <c r="C91" s="113" t="s">
        <v>1215</v>
      </c>
      <c r="D91" s="114">
        <v>0</v>
      </c>
    </row>
    <row r="92" spans="1:4" x14ac:dyDescent="0.25">
      <c r="A92" s="111">
        <v>91</v>
      </c>
      <c r="B92" s="112" t="s">
        <v>1129</v>
      </c>
      <c r="C92" s="113" t="s">
        <v>166</v>
      </c>
      <c r="D92" s="114">
        <v>0</v>
      </c>
    </row>
    <row r="93" spans="1:4" x14ac:dyDescent="0.25">
      <c r="A93" s="111">
        <v>92</v>
      </c>
      <c r="B93" s="123" t="s">
        <v>583</v>
      </c>
      <c r="C93" s="124" t="s">
        <v>1119</v>
      </c>
      <c r="D93" s="114">
        <v>0</v>
      </c>
    </row>
    <row r="94" spans="1:4" x14ac:dyDescent="0.25">
      <c r="A94" s="111">
        <v>93</v>
      </c>
      <c r="B94" s="123" t="s">
        <v>479</v>
      </c>
      <c r="C94" s="124" t="s">
        <v>1122</v>
      </c>
      <c r="D94" s="114">
        <v>0</v>
      </c>
    </row>
    <row r="95" spans="1:4" x14ac:dyDescent="0.25">
      <c r="A95" s="111">
        <v>94</v>
      </c>
      <c r="B95" s="125" t="s">
        <v>796</v>
      </c>
      <c r="C95" s="126" t="s">
        <v>1119</v>
      </c>
      <c r="D95" s="114">
        <v>0</v>
      </c>
    </row>
    <row r="96" spans="1:4" x14ac:dyDescent="0.25">
      <c r="A96" s="111">
        <v>95</v>
      </c>
      <c r="B96" s="125" t="s">
        <v>1130</v>
      </c>
      <c r="C96" s="124" t="s">
        <v>1119</v>
      </c>
      <c r="D96" s="114">
        <v>0</v>
      </c>
    </row>
    <row r="97" spans="1:4" x14ac:dyDescent="0.25">
      <c r="A97" s="111">
        <v>96</v>
      </c>
      <c r="B97" s="31" t="s">
        <v>498</v>
      </c>
      <c r="C97" s="113" t="s">
        <v>1215</v>
      </c>
      <c r="D97" s="114">
        <v>0</v>
      </c>
    </row>
    <row r="98" spans="1:4" x14ac:dyDescent="0.25">
      <c r="A98" s="111">
        <v>97</v>
      </c>
      <c r="B98" s="31" t="s">
        <v>617</v>
      </c>
      <c r="C98" s="113" t="s">
        <v>1215</v>
      </c>
      <c r="D98" s="114">
        <v>0</v>
      </c>
    </row>
    <row r="99" spans="1:4" x14ac:dyDescent="0.25">
      <c r="A99" s="111">
        <v>98</v>
      </c>
      <c r="B99" s="123" t="s">
        <v>584</v>
      </c>
      <c r="C99" s="124" t="s">
        <v>1215</v>
      </c>
      <c r="D99" s="114">
        <v>0</v>
      </c>
    </row>
    <row r="100" spans="1:4" x14ac:dyDescent="0.25">
      <c r="A100" s="111">
        <v>99</v>
      </c>
      <c r="B100" s="31" t="s">
        <v>639</v>
      </c>
      <c r="C100" s="113" t="s">
        <v>1215</v>
      </c>
      <c r="D100" s="114">
        <v>0</v>
      </c>
    </row>
    <row r="101" spans="1:4" x14ac:dyDescent="0.25">
      <c r="A101" s="111">
        <v>100</v>
      </c>
      <c r="B101" s="31" t="s">
        <v>502</v>
      </c>
      <c r="C101" s="113" t="s">
        <v>1215</v>
      </c>
      <c r="D101" s="114">
        <v>0</v>
      </c>
    </row>
    <row r="102" spans="1:4" x14ac:dyDescent="0.25">
      <c r="A102" s="111">
        <v>101</v>
      </c>
      <c r="B102" s="123" t="s">
        <v>451</v>
      </c>
      <c r="C102" s="124" t="s">
        <v>1215</v>
      </c>
      <c r="D102" s="114">
        <v>0</v>
      </c>
    </row>
    <row r="103" spans="1:4" x14ac:dyDescent="0.25">
      <c r="A103" s="111">
        <v>102</v>
      </c>
      <c r="B103" s="125" t="s">
        <v>1131</v>
      </c>
      <c r="C103" s="124" t="s">
        <v>1120</v>
      </c>
      <c r="D103" s="114">
        <v>0</v>
      </c>
    </row>
    <row r="104" spans="1:4" x14ac:dyDescent="0.25">
      <c r="A104" s="111">
        <v>103</v>
      </c>
      <c r="B104" s="125" t="s">
        <v>790</v>
      </c>
      <c r="C104" s="124" t="s">
        <v>1120</v>
      </c>
      <c r="D104" s="114">
        <v>0</v>
      </c>
    </row>
    <row r="105" spans="1:4" x14ac:dyDescent="0.25">
      <c r="A105" s="111">
        <v>104</v>
      </c>
      <c r="B105" s="127" t="s">
        <v>838</v>
      </c>
      <c r="C105" s="128" t="s">
        <v>1119</v>
      </c>
      <c r="D105" s="114">
        <v>0</v>
      </c>
    </row>
    <row r="106" spans="1:4" x14ac:dyDescent="0.25">
      <c r="A106" s="111">
        <v>105</v>
      </c>
      <c r="B106" s="123" t="s">
        <v>667</v>
      </c>
      <c r="C106" s="124" t="s">
        <v>431</v>
      </c>
      <c r="D106" s="114">
        <v>0</v>
      </c>
    </row>
    <row r="107" spans="1:4" x14ac:dyDescent="0.25">
      <c r="A107" s="111">
        <v>106</v>
      </c>
      <c r="B107" s="123" t="s">
        <v>714</v>
      </c>
      <c r="C107" s="124" t="s">
        <v>431</v>
      </c>
      <c r="D107" s="114">
        <v>0</v>
      </c>
    </row>
    <row r="108" spans="1:4" x14ac:dyDescent="0.25">
      <c r="A108" s="111">
        <v>107</v>
      </c>
      <c r="B108" s="123" t="s">
        <v>718</v>
      </c>
      <c r="C108" s="124" t="s">
        <v>431</v>
      </c>
      <c r="D108" s="114">
        <v>0</v>
      </c>
    </row>
    <row r="109" spans="1:4" x14ac:dyDescent="0.25">
      <c r="A109" s="111">
        <v>108</v>
      </c>
      <c r="B109" s="125" t="s">
        <v>981</v>
      </c>
      <c r="C109" s="124" t="s">
        <v>1119</v>
      </c>
      <c r="D109" s="114">
        <v>0</v>
      </c>
    </row>
    <row r="110" spans="1:4" x14ac:dyDescent="0.25">
      <c r="A110" s="111">
        <v>109</v>
      </c>
      <c r="B110" s="31" t="s">
        <v>481</v>
      </c>
      <c r="C110" s="124" t="s">
        <v>1119</v>
      </c>
      <c r="D110" s="114">
        <v>0</v>
      </c>
    </row>
    <row r="111" spans="1:4" x14ac:dyDescent="0.25">
      <c r="A111" s="111">
        <v>110</v>
      </c>
      <c r="B111" s="129" t="s">
        <v>1132</v>
      </c>
      <c r="C111" s="124" t="s">
        <v>1119</v>
      </c>
      <c r="D111" s="114">
        <v>0</v>
      </c>
    </row>
    <row r="112" spans="1:4" x14ac:dyDescent="0.25">
      <c r="A112" s="111">
        <v>111</v>
      </c>
      <c r="B112" s="125" t="s">
        <v>792</v>
      </c>
      <c r="C112" s="124" t="s">
        <v>1119</v>
      </c>
      <c r="D112" s="114">
        <v>0</v>
      </c>
    </row>
    <row r="113" spans="1:4" x14ac:dyDescent="0.25">
      <c r="A113" s="111">
        <v>112</v>
      </c>
      <c r="B113" s="123" t="s">
        <v>759</v>
      </c>
      <c r="C113" s="124" t="s">
        <v>431</v>
      </c>
      <c r="D113" s="114">
        <v>0</v>
      </c>
    </row>
    <row r="114" spans="1:4" x14ac:dyDescent="0.25">
      <c r="A114" s="111">
        <v>113</v>
      </c>
      <c r="B114" s="31" t="s">
        <v>886</v>
      </c>
      <c r="C114" s="118" t="s">
        <v>1119</v>
      </c>
      <c r="D114" s="114">
        <v>0</v>
      </c>
    </row>
    <row r="115" spans="1:4" x14ac:dyDescent="0.25">
      <c r="A115" s="111">
        <v>114</v>
      </c>
      <c r="B115" s="125" t="s">
        <v>1488</v>
      </c>
      <c r="C115" s="124" t="s">
        <v>1215</v>
      </c>
      <c r="D115" s="114">
        <v>0</v>
      </c>
    </row>
    <row r="116" spans="1:4" x14ac:dyDescent="0.25">
      <c r="A116" s="111">
        <v>115</v>
      </c>
      <c r="B116" s="123" t="s">
        <v>668</v>
      </c>
      <c r="C116" s="124" t="s">
        <v>431</v>
      </c>
      <c r="D116" s="114">
        <v>0</v>
      </c>
    </row>
    <row r="117" spans="1:4" x14ac:dyDescent="0.25">
      <c r="A117" s="111">
        <v>116</v>
      </c>
      <c r="B117" s="123" t="s">
        <v>96</v>
      </c>
      <c r="C117" s="124" t="s">
        <v>1215</v>
      </c>
      <c r="D117" s="114">
        <v>0</v>
      </c>
    </row>
    <row r="118" spans="1:4" x14ac:dyDescent="0.25">
      <c r="A118" s="111">
        <v>117</v>
      </c>
      <c r="B118" s="125" t="s">
        <v>813</v>
      </c>
      <c r="C118" s="124" t="s">
        <v>1119</v>
      </c>
      <c r="D118" s="114">
        <v>0</v>
      </c>
    </row>
    <row r="119" spans="1:4" x14ac:dyDescent="0.25">
      <c r="A119" s="111">
        <v>118</v>
      </c>
      <c r="B119" s="125" t="s">
        <v>914</v>
      </c>
      <c r="C119" s="124" t="s">
        <v>1119</v>
      </c>
      <c r="D119" s="114">
        <v>0</v>
      </c>
    </row>
    <row r="120" spans="1:4" x14ac:dyDescent="0.25">
      <c r="A120" s="111">
        <v>119</v>
      </c>
      <c r="B120" s="123" t="s">
        <v>614</v>
      </c>
      <c r="C120" s="124" t="s">
        <v>1215</v>
      </c>
      <c r="D120" s="114">
        <v>0</v>
      </c>
    </row>
    <row r="121" spans="1:4" x14ac:dyDescent="0.25">
      <c r="A121" s="111">
        <v>120</v>
      </c>
      <c r="B121" s="123" t="s">
        <v>648</v>
      </c>
      <c r="C121" s="124" t="s">
        <v>1215</v>
      </c>
      <c r="D121" s="114">
        <v>0</v>
      </c>
    </row>
    <row r="122" spans="1:4" x14ac:dyDescent="0.25">
      <c r="A122" s="111">
        <v>121</v>
      </c>
      <c r="B122" s="125" t="s">
        <v>797</v>
      </c>
      <c r="C122" s="130" t="s">
        <v>1215</v>
      </c>
      <c r="D122" s="114">
        <v>0</v>
      </c>
    </row>
    <row r="123" spans="1:4" x14ac:dyDescent="0.25">
      <c r="A123" s="111">
        <v>122</v>
      </c>
      <c r="B123" s="112" t="s">
        <v>1489</v>
      </c>
      <c r="C123" s="130" t="s">
        <v>1215</v>
      </c>
      <c r="D123" s="114">
        <v>0</v>
      </c>
    </row>
    <row r="124" spans="1:4" x14ac:dyDescent="0.25">
      <c r="A124" s="111">
        <v>123</v>
      </c>
      <c r="B124" s="112" t="s">
        <v>1490</v>
      </c>
      <c r="C124" s="130" t="s">
        <v>1215</v>
      </c>
      <c r="D124" s="114">
        <v>0</v>
      </c>
    </row>
    <row r="125" spans="1:4" x14ac:dyDescent="0.25">
      <c r="A125" s="111">
        <v>124</v>
      </c>
      <c r="B125" s="112" t="s">
        <v>1491</v>
      </c>
      <c r="C125" s="130" t="s">
        <v>1215</v>
      </c>
      <c r="D125" s="114">
        <v>0</v>
      </c>
    </row>
    <row r="126" spans="1:4" x14ac:dyDescent="0.25">
      <c r="A126" s="111">
        <v>125</v>
      </c>
      <c r="B126" s="125" t="s">
        <v>793</v>
      </c>
      <c r="C126" s="130" t="s">
        <v>1119</v>
      </c>
      <c r="D126" s="114">
        <v>0</v>
      </c>
    </row>
    <row r="127" spans="1:4" x14ac:dyDescent="0.25">
      <c r="A127" s="111">
        <v>126</v>
      </c>
      <c r="B127" s="123" t="s">
        <v>576</v>
      </c>
      <c r="C127" s="124" t="s">
        <v>1215</v>
      </c>
      <c r="D127" s="114">
        <v>0</v>
      </c>
    </row>
    <row r="128" spans="1:4" x14ac:dyDescent="0.25">
      <c r="A128" s="111">
        <v>127</v>
      </c>
      <c r="B128" s="127" t="s">
        <v>649</v>
      </c>
      <c r="C128" s="130" t="s">
        <v>1119</v>
      </c>
      <c r="D128" s="114">
        <v>0</v>
      </c>
    </row>
    <row r="129" spans="1:4" x14ac:dyDescent="0.25">
      <c r="A129" s="111">
        <v>128</v>
      </c>
      <c r="B129" s="123" t="s">
        <v>654</v>
      </c>
      <c r="C129" s="124" t="s">
        <v>35</v>
      </c>
      <c r="D129" s="114">
        <v>0</v>
      </c>
    </row>
    <row r="130" spans="1:4" x14ac:dyDescent="0.25">
      <c r="A130" s="111">
        <v>129</v>
      </c>
      <c r="B130" s="125" t="s">
        <v>795</v>
      </c>
      <c r="C130" s="130" t="s">
        <v>1120</v>
      </c>
      <c r="D130" s="114">
        <v>0</v>
      </c>
    </row>
    <row r="131" spans="1:4" x14ac:dyDescent="0.25">
      <c r="A131" s="111">
        <v>130</v>
      </c>
      <c r="B131" s="125" t="s">
        <v>1024</v>
      </c>
      <c r="C131" s="130" t="s">
        <v>166</v>
      </c>
      <c r="D131" s="114">
        <v>0</v>
      </c>
    </row>
    <row r="132" spans="1:4" x14ac:dyDescent="0.25">
      <c r="A132" s="111">
        <v>131</v>
      </c>
      <c r="B132" s="125" t="s">
        <v>949</v>
      </c>
      <c r="C132" s="124" t="s">
        <v>1120</v>
      </c>
      <c r="D132" s="114">
        <v>0</v>
      </c>
    </row>
    <row r="133" spans="1:4" x14ac:dyDescent="0.25">
      <c r="A133" s="111">
        <v>132</v>
      </c>
      <c r="B133" s="129" t="s">
        <v>1214</v>
      </c>
      <c r="C133" s="124" t="s">
        <v>166</v>
      </c>
      <c r="D133" s="114">
        <v>0</v>
      </c>
    </row>
    <row r="134" spans="1:4" x14ac:dyDescent="0.25">
      <c r="A134" s="111">
        <v>133</v>
      </c>
      <c r="B134" s="123" t="s">
        <v>574</v>
      </c>
      <c r="C134" s="124" t="s">
        <v>1119</v>
      </c>
      <c r="D134" s="114">
        <v>0</v>
      </c>
    </row>
    <row r="135" spans="1:4" x14ac:dyDescent="0.25">
      <c r="A135" s="111">
        <v>134</v>
      </c>
      <c r="B135" s="123" t="s">
        <v>677</v>
      </c>
      <c r="C135" s="124" t="s">
        <v>1215</v>
      </c>
      <c r="D135" s="114">
        <v>0</v>
      </c>
    </row>
    <row r="136" spans="1:4" x14ac:dyDescent="0.25">
      <c r="A136" s="111">
        <v>135</v>
      </c>
      <c r="B136" s="127" t="s">
        <v>868</v>
      </c>
      <c r="C136" s="124" t="s">
        <v>1215</v>
      </c>
      <c r="D136" s="114">
        <v>0</v>
      </c>
    </row>
    <row r="137" spans="1:4" x14ac:dyDescent="0.25">
      <c r="A137" s="111">
        <v>136</v>
      </c>
      <c r="B137" s="123" t="s">
        <v>402</v>
      </c>
      <c r="C137" s="124" t="s">
        <v>1215</v>
      </c>
      <c r="D137" s="114">
        <v>0</v>
      </c>
    </row>
    <row r="138" spans="1:4" x14ac:dyDescent="0.25">
      <c r="A138" s="111">
        <v>137</v>
      </c>
      <c r="B138" s="127" t="s">
        <v>1133</v>
      </c>
      <c r="C138" s="124" t="s">
        <v>1215</v>
      </c>
      <c r="D138" s="114">
        <v>0</v>
      </c>
    </row>
    <row r="139" spans="1:4" x14ac:dyDescent="0.25">
      <c r="A139" s="111">
        <v>138</v>
      </c>
      <c r="B139" s="123" t="s">
        <v>717</v>
      </c>
      <c r="C139" s="124" t="s">
        <v>1119</v>
      </c>
      <c r="D139" s="114">
        <v>0</v>
      </c>
    </row>
    <row r="140" spans="1:4" x14ac:dyDescent="0.25">
      <c r="A140" s="111">
        <v>139</v>
      </c>
      <c r="B140" s="120" t="s">
        <v>1134</v>
      </c>
      <c r="C140" s="121" t="s">
        <v>1119</v>
      </c>
      <c r="D140" s="114">
        <v>0</v>
      </c>
    </row>
    <row r="141" spans="1:4" x14ac:dyDescent="0.25">
      <c r="A141" s="111">
        <v>140</v>
      </c>
      <c r="B141" s="129" t="s">
        <v>858</v>
      </c>
      <c r="C141" s="124" t="s">
        <v>1121</v>
      </c>
      <c r="D141" s="114">
        <v>0</v>
      </c>
    </row>
    <row r="142" spans="1:4" x14ac:dyDescent="0.25">
      <c r="A142" s="111">
        <v>141</v>
      </c>
      <c r="B142" s="31" t="s">
        <v>612</v>
      </c>
      <c r="C142" s="113" t="s">
        <v>1121</v>
      </c>
      <c r="D142" s="114">
        <v>0</v>
      </c>
    </row>
    <row r="143" spans="1:4" x14ac:dyDescent="0.25">
      <c r="A143" s="111">
        <v>142</v>
      </c>
      <c r="B143" s="31" t="s">
        <v>1477</v>
      </c>
      <c r="C143" s="113" t="s">
        <v>1121</v>
      </c>
      <c r="D143" s="114">
        <v>0</v>
      </c>
    </row>
    <row r="144" spans="1:4" x14ac:dyDescent="0.25">
      <c r="A144" s="111">
        <v>143</v>
      </c>
      <c r="B144" s="31" t="s">
        <v>1050</v>
      </c>
      <c r="C144" s="118" t="s">
        <v>1121</v>
      </c>
      <c r="D144" s="114">
        <v>0</v>
      </c>
    </row>
    <row r="145" spans="1:4" x14ac:dyDescent="0.25">
      <c r="A145" s="111">
        <v>144</v>
      </c>
      <c r="B145" s="123" t="s">
        <v>685</v>
      </c>
      <c r="C145" s="124" t="s">
        <v>1215</v>
      </c>
      <c r="D145" s="114">
        <v>0</v>
      </c>
    </row>
    <row r="146" spans="1:4" x14ac:dyDescent="0.25">
      <c r="A146" s="111">
        <v>145</v>
      </c>
      <c r="B146" s="127" t="s">
        <v>1135</v>
      </c>
      <c r="C146" s="124" t="s">
        <v>166</v>
      </c>
      <c r="D146" s="114">
        <v>0</v>
      </c>
    </row>
    <row r="147" spans="1:4" x14ac:dyDescent="0.25">
      <c r="A147" s="111">
        <v>146</v>
      </c>
      <c r="B147" s="31" t="s">
        <v>455</v>
      </c>
      <c r="C147" s="113" t="s">
        <v>1119</v>
      </c>
      <c r="D147" s="114">
        <v>0</v>
      </c>
    </row>
    <row r="148" spans="1:4" x14ac:dyDescent="0.25">
      <c r="A148" s="111">
        <v>147</v>
      </c>
      <c r="B148" s="131" t="s">
        <v>1136</v>
      </c>
      <c r="C148" s="128" t="s">
        <v>1119</v>
      </c>
      <c r="D148" s="114">
        <v>0</v>
      </c>
    </row>
    <row r="149" spans="1:4" x14ac:dyDescent="0.25">
      <c r="A149" s="111">
        <v>148</v>
      </c>
      <c r="B149" s="123" t="s">
        <v>465</v>
      </c>
      <c r="C149" s="128" t="s">
        <v>1119</v>
      </c>
      <c r="D149" s="114">
        <v>0</v>
      </c>
    </row>
    <row r="150" spans="1:4" x14ac:dyDescent="0.25">
      <c r="A150" s="111">
        <v>149</v>
      </c>
      <c r="B150" s="127" t="s">
        <v>1137</v>
      </c>
      <c r="C150" s="128" t="s">
        <v>1119</v>
      </c>
      <c r="D150" s="114">
        <v>0</v>
      </c>
    </row>
    <row r="151" spans="1:4" x14ac:dyDescent="0.25">
      <c r="A151" s="111">
        <v>150</v>
      </c>
      <c r="B151" s="125" t="s">
        <v>1478</v>
      </c>
      <c r="C151" s="124" t="s">
        <v>1215</v>
      </c>
      <c r="D151" s="114">
        <v>0</v>
      </c>
    </row>
    <row r="152" spans="1:4" x14ac:dyDescent="0.25">
      <c r="A152" s="111">
        <v>151</v>
      </c>
      <c r="B152" s="125" t="s">
        <v>1479</v>
      </c>
      <c r="C152" s="128" t="s">
        <v>1119</v>
      </c>
      <c r="D152" s="114">
        <v>0</v>
      </c>
    </row>
    <row r="153" spans="1:4" x14ac:dyDescent="0.25">
      <c r="A153" s="111">
        <v>152</v>
      </c>
      <c r="B153" s="123" t="s">
        <v>642</v>
      </c>
      <c r="C153" s="124" t="s">
        <v>1215</v>
      </c>
      <c r="D153" s="114">
        <v>0</v>
      </c>
    </row>
    <row r="154" spans="1:4" x14ac:dyDescent="0.25">
      <c r="A154" s="111">
        <v>153</v>
      </c>
      <c r="B154" s="125" t="s">
        <v>1138</v>
      </c>
      <c r="C154" s="128" t="s">
        <v>1119</v>
      </c>
      <c r="D154" s="114">
        <v>0</v>
      </c>
    </row>
    <row r="155" spans="1:4" x14ac:dyDescent="0.25">
      <c r="A155" s="111">
        <v>154</v>
      </c>
      <c r="B155" s="123" t="s">
        <v>573</v>
      </c>
      <c r="C155" s="124" t="s">
        <v>1215</v>
      </c>
      <c r="D155" s="114">
        <v>0</v>
      </c>
    </row>
    <row r="156" spans="1:4" x14ac:dyDescent="0.25">
      <c r="A156" s="111">
        <v>155</v>
      </c>
      <c r="B156" s="125" t="s">
        <v>1139</v>
      </c>
      <c r="C156" s="124" t="s">
        <v>1119</v>
      </c>
      <c r="D156" s="114">
        <v>0</v>
      </c>
    </row>
    <row r="157" spans="1:4" x14ac:dyDescent="0.25">
      <c r="A157" s="111">
        <v>156</v>
      </c>
      <c r="B157" s="123" t="s">
        <v>457</v>
      </c>
      <c r="C157" s="124" t="s">
        <v>166</v>
      </c>
      <c r="D157" s="114">
        <v>0</v>
      </c>
    </row>
    <row r="158" spans="1:4" x14ac:dyDescent="0.25">
      <c r="A158" s="111">
        <v>157</v>
      </c>
      <c r="B158" s="129" t="s">
        <v>1140</v>
      </c>
      <c r="C158" s="128" t="s">
        <v>1215</v>
      </c>
      <c r="D158" s="114">
        <v>0</v>
      </c>
    </row>
    <row r="159" spans="1:4" x14ac:dyDescent="0.25">
      <c r="A159" s="111">
        <v>158</v>
      </c>
      <c r="B159" s="123" t="s">
        <v>704</v>
      </c>
      <c r="C159" s="124" t="s">
        <v>1215</v>
      </c>
      <c r="D159" s="114">
        <v>0</v>
      </c>
    </row>
    <row r="160" spans="1:4" x14ac:dyDescent="0.25">
      <c r="A160" s="111">
        <v>159</v>
      </c>
      <c r="B160" s="120" t="s">
        <v>647</v>
      </c>
      <c r="C160" s="121" t="s">
        <v>1215</v>
      </c>
      <c r="D160" s="114">
        <v>0</v>
      </c>
    </row>
    <row r="161" spans="1:4" x14ac:dyDescent="0.25">
      <c r="A161" s="111">
        <v>160</v>
      </c>
      <c r="B161" s="125" t="s">
        <v>1480</v>
      </c>
      <c r="C161" s="124" t="s">
        <v>1215</v>
      </c>
      <c r="D161" s="114">
        <v>0</v>
      </c>
    </row>
    <row r="162" spans="1:4" x14ac:dyDescent="0.25">
      <c r="A162" s="111">
        <v>161</v>
      </c>
      <c r="B162" s="123" t="s">
        <v>1027</v>
      </c>
      <c r="C162" s="124" t="s">
        <v>35</v>
      </c>
      <c r="D162" s="114">
        <v>0</v>
      </c>
    </row>
    <row r="163" spans="1:4" x14ac:dyDescent="0.25">
      <c r="A163" s="111">
        <v>162</v>
      </c>
      <c r="B163" s="125" t="s">
        <v>808</v>
      </c>
      <c r="C163" s="124" t="s">
        <v>1215</v>
      </c>
      <c r="D163" s="114">
        <v>0</v>
      </c>
    </row>
    <row r="164" spans="1:4" x14ac:dyDescent="0.25">
      <c r="A164" s="111">
        <v>163</v>
      </c>
      <c r="B164" s="123" t="s">
        <v>656</v>
      </c>
      <c r="C164" s="124" t="s">
        <v>1215</v>
      </c>
      <c r="D164" s="114">
        <v>0.2</v>
      </c>
    </row>
    <row r="165" spans="1:4" x14ac:dyDescent="0.25">
      <c r="A165" s="111">
        <v>164</v>
      </c>
      <c r="B165" s="129" t="s">
        <v>857</v>
      </c>
      <c r="C165" s="124" t="s">
        <v>1119</v>
      </c>
      <c r="D165" s="114">
        <v>0</v>
      </c>
    </row>
    <row r="166" spans="1:4" x14ac:dyDescent="0.25">
      <c r="A166" s="111">
        <v>165</v>
      </c>
      <c r="B166" s="129" t="s">
        <v>691</v>
      </c>
      <c r="C166" s="130" t="s">
        <v>35</v>
      </c>
      <c r="D166" s="114">
        <v>0</v>
      </c>
    </row>
    <row r="167" spans="1:4" x14ac:dyDescent="0.25">
      <c r="A167" s="111">
        <v>166</v>
      </c>
      <c r="B167" s="31" t="s">
        <v>753</v>
      </c>
      <c r="C167" s="118" t="s">
        <v>1119</v>
      </c>
      <c r="D167" s="114">
        <v>0</v>
      </c>
    </row>
    <row r="168" spans="1:4" x14ac:dyDescent="0.25">
      <c r="A168" s="111">
        <v>167</v>
      </c>
      <c r="B168" s="31" t="s">
        <v>987</v>
      </c>
      <c r="C168" s="113" t="s">
        <v>1119</v>
      </c>
      <c r="D168" s="114">
        <v>0</v>
      </c>
    </row>
    <row r="169" spans="1:4" x14ac:dyDescent="0.25">
      <c r="A169" s="111">
        <v>168</v>
      </c>
      <c r="B169" s="112" t="s">
        <v>524</v>
      </c>
      <c r="C169" s="113" t="s">
        <v>1119</v>
      </c>
      <c r="D169" s="114">
        <v>0</v>
      </c>
    </row>
    <row r="170" spans="1:4" x14ac:dyDescent="0.25">
      <c r="A170" s="111">
        <v>169</v>
      </c>
      <c r="B170" s="129" t="s">
        <v>1141</v>
      </c>
      <c r="C170" s="130" t="s">
        <v>1119</v>
      </c>
      <c r="D170" s="114">
        <v>0</v>
      </c>
    </row>
    <row r="171" spans="1:4" x14ac:dyDescent="0.25">
      <c r="A171" s="111">
        <v>170</v>
      </c>
      <c r="B171" s="112" t="s">
        <v>903</v>
      </c>
      <c r="C171" s="113" t="s">
        <v>1119</v>
      </c>
      <c r="D171" s="114">
        <v>0</v>
      </c>
    </row>
    <row r="172" spans="1:4" x14ac:dyDescent="0.25">
      <c r="A172" s="111">
        <v>171</v>
      </c>
      <c r="B172" s="123" t="s">
        <v>591</v>
      </c>
      <c r="C172" s="124" t="s">
        <v>1119</v>
      </c>
      <c r="D172" s="114">
        <v>0</v>
      </c>
    </row>
    <row r="173" spans="1:4" x14ac:dyDescent="0.25">
      <c r="A173" s="111">
        <v>172</v>
      </c>
      <c r="B173" s="129" t="s">
        <v>1481</v>
      </c>
      <c r="C173" s="124" t="s">
        <v>1119</v>
      </c>
      <c r="D173" s="114">
        <v>0</v>
      </c>
    </row>
    <row r="174" spans="1:4" x14ac:dyDescent="0.25">
      <c r="A174" s="111">
        <v>173</v>
      </c>
      <c r="B174" s="31" t="s">
        <v>640</v>
      </c>
      <c r="C174" s="113" t="s">
        <v>1119</v>
      </c>
      <c r="D174" s="114">
        <v>0</v>
      </c>
    </row>
    <row r="175" spans="1:4" x14ac:dyDescent="0.25">
      <c r="A175" s="111">
        <v>174</v>
      </c>
      <c r="B175" s="125" t="s">
        <v>817</v>
      </c>
      <c r="C175" s="124" t="s">
        <v>1119</v>
      </c>
      <c r="D175" s="114">
        <v>0</v>
      </c>
    </row>
    <row r="176" spans="1:4" x14ac:dyDescent="0.25">
      <c r="A176" s="111">
        <v>175</v>
      </c>
      <c r="B176" s="127" t="s">
        <v>765</v>
      </c>
      <c r="C176" s="130" t="s">
        <v>1215</v>
      </c>
      <c r="D176" s="114">
        <v>0</v>
      </c>
    </row>
    <row r="177" spans="1:4" x14ac:dyDescent="0.25">
      <c r="A177" s="111">
        <v>176</v>
      </c>
      <c r="B177" s="127" t="s">
        <v>1142</v>
      </c>
      <c r="C177" s="126" t="s">
        <v>1119</v>
      </c>
      <c r="D177" s="114">
        <v>0</v>
      </c>
    </row>
    <row r="178" spans="1:4" x14ac:dyDescent="0.25">
      <c r="A178" s="111">
        <v>177</v>
      </c>
      <c r="B178" s="125" t="s">
        <v>803</v>
      </c>
      <c r="C178" s="130" t="s">
        <v>166</v>
      </c>
      <c r="D178" s="114">
        <v>0</v>
      </c>
    </row>
    <row r="179" spans="1:4" x14ac:dyDescent="0.25">
      <c r="A179" s="111">
        <v>178</v>
      </c>
      <c r="B179" s="125" t="s">
        <v>775</v>
      </c>
      <c r="C179" s="126" t="s">
        <v>1119</v>
      </c>
      <c r="D179" s="114">
        <v>0</v>
      </c>
    </row>
    <row r="180" spans="1:4" x14ac:dyDescent="0.25">
      <c r="A180" s="111">
        <v>179</v>
      </c>
      <c r="B180" s="131" t="s">
        <v>518</v>
      </c>
      <c r="C180" s="124" t="s">
        <v>1215</v>
      </c>
      <c r="D180" s="114">
        <v>0</v>
      </c>
    </row>
    <row r="181" spans="1:4" x14ac:dyDescent="0.25">
      <c r="A181" s="111">
        <v>180</v>
      </c>
      <c r="B181" s="123" t="s">
        <v>698</v>
      </c>
      <c r="C181" s="124" t="s">
        <v>1215</v>
      </c>
      <c r="D181" s="114">
        <v>0</v>
      </c>
    </row>
    <row r="182" spans="1:4" x14ac:dyDescent="0.25">
      <c r="A182" s="111">
        <v>181</v>
      </c>
      <c r="B182" s="125" t="s">
        <v>1482</v>
      </c>
      <c r="C182" s="124" t="s">
        <v>166</v>
      </c>
      <c r="D182" s="114">
        <v>0</v>
      </c>
    </row>
    <row r="183" spans="1:4" x14ac:dyDescent="0.25">
      <c r="A183" s="111">
        <v>182</v>
      </c>
      <c r="B183" s="123" t="s">
        <v>541</v>
      </c>
      <c r="C183" s="124" t="s">
        <v>166</v>
      </c>
      <c r="D183" s="114">
        <v>0</v>
      </c>
    </row>
    <row r="184" spans="1:4" x14ac:dyDescent="0.25">
      <c r="A184" s="111">
        <v>183</v>
      </c>
      <c r="B184" s="123" t="s">
        <v>1143</v>
      </c>
      <c r="C184" s="124" t="s">
        <v>1215</v>
      </c>
      <c r="D184" s="114">
        <v>0</v>
      </c>
    </row>
    <row r="185" spans="1:4" x14ac:dyDescent="0.25">
      <c r="A185" s="111">
        <v>184</v>
      </c>
      <c r="B185" s="127" t="s">
        <v>883</v>
      </c>
      <c r="C185" s="124" t="s">
        <v>1119</v>
      </c>
      <c r="D185" s="114">
        <v>0</v>
      </c>
    </row>
    <row r="186" spans="1:4" x14ac:dyDescent="0.25">
      <c r="A186" s="111">
        <v>185</v>
      </c>
      <c r="B186" s="31" t="s">
        <v>119</v>
      </c>
      <c r="C186" s="113" t="s">
        <v>166</v>
      </c>
      <c r="D186" s="114">
        <v>0</v>
      </c>
    </row>
    <row r="187" spans="1:4" x14ac:dyDescent="0.25">
      <c r="A187" s="111">
        <v>186</v>
      </c>
      <c r="B187" s="112" t="s">
        <v>508</v>
      </c>
      <c r="C187" s="113" t="s">
        <v>1119</v>
      </c>
      <c r="D187" s="114">
        <v>0</v>
      </c>
    </row>
    <row r="188" spans="1:4" x14ac:dyDescent="0.25">
      <c r="A188" s="111">
        <v>187</v>
      </c>
      <c r="B188" s="125" t="s">
        <v>1144</v>
      </c>
      <c r="C188" s="124" t="s">
        <v>431</v>
      </c>
      <c r="D188" s="114">
        <v>0</v>
      </c>
    </row>
    <row r="189" spans="1:4" x14ac:dyDescent="0.25">
      <c r="A189" s="111">
        <v>188</v>
      </c>
      <c r="B189" s="125" t="s">
        <v>812</v>
      </c>
      <c r="C189" s="124" t="s">
        <v>1215</v>
      </c>
      <c r="D189" s="114">
        <v>0</v>
      </c>
    </row>
    <row r="190" spans="1:4" x14ac:dyDescent="0.25">
      <c r="A190" s="111">
        <v>189</v>
      </c>
      <c r="B190" s="129" t="s">
        <v>1001</v>
      </c>
      <c r="C190" s="124" t="s">
        <v>1119</v>
      </c>
      <c r="D190" s="114">
        <v>0</v>
      </c>
    </row>
    <row r="191" spans="1:4" x14ac:dyDescent="0.25">
      <c r="A191" s="111">
        <v>190</v>
      </c>
      <c r="B191" s="123" t="s">
        <v>681</v>
      </c>
      <c r="C191" s="124" t="s">
        <v>35</v>
      </c>
      <c r="D191" s="114">
        <v>0</v>
      </c>
    </row>
    <row r="192" spans="1:4" x14ac:dyDescent="0.25">
      <c r="A192" s="111">
        <v>191</v>
      </c>
      <c r="B192" s="127" t="s">
        <v>1145</v>
      </c>
      <c r="C192" s="124" t="s">
        <v>35</v>
      </c>
      <c r="D192" s="114">
        <v>0</v>
      </c>
    </row>
    <row r="193" spans="1:4" x14ac:dyDescent="0.25">
      <c r="A193" s="111">
        <v>192</v>
      </c>
      <c r="B193" s="112" t="s">
        <v>1146</v>
      </c>
      <c r="C193" s="113" t="s">
        <v>431</v>
      </c>
      <c r="D193" s="114">
        <v>0</v>
      </c>
    </row>
    <row r="194" spans="1:4" x14ac:dyDescent="0.25">
      <c r="A194" s="111">
        <v>193</v>
      </c>
      <c r="B194" s="112" t="s">
        <v>1147</v>
      </c>
      <c r="C194" s="113" t="s">
        <v>1119</v>
      </c>
      <c r="D194" s="114">
        <v>0</v>
      </c>
    </row>
    <row r="195" spans="1:4" x14ac:dyDescent="0.25">
      <c r="A195" s="111">
        <v>194</v>
      </c>
      <c r="B195" s="123" t="s">
        <v>453</v>
      </c>
      <c r="C195" s="124" t="s">
        <v>1215</v>
      </c>
      <c r="D195" s="114">
        <v>0</v>
      </c>
    </row>
    <row r="196" spans="1:4" x14ac:dyDescent="0.25">
      <c r="A196" s="111">
        <v>195</v>
      </c>
      <c r="B196" s="31" t="s">
        <v>482</v>
      </c>
      <c r="C196" s="113" t="s">
        <v>1122</v>
      </c>
      <c r="D196" s="114">
        <v>0</v>
      </c>
    </row>
    <row r="197" spans="1:4" x14ac:dyDescent="0.25">
      <c r="A197" s="111">
        <v>196</v>
      </c>
      <c r="B197" s="123" t="s">
        <v>600</v>
      </c>
      <c r="C197" s="124" t="s">
        <v>1122</v>
      </c>
      <c r="D197" s="114">
        <v>0</v>
      </c>
    </row>
    <row r="198" spans="1:4" x14ac:dyDescent="0.25">
      <c r="A198" s="111">
        <v>197</v>
      </c>
      <c r="B198" s="31" t="s">
        <v>1148</v>
      </c>
      <c r="C198" s="113" t="s">
        <v>1119</v>
      </c>
      <c r="D198" s="114">
        <v>0</v>
      </c>
    </row>
    <row r="199" spans="1:4" x14ac:dyDescent="0.25">
      <c r="A199" s="111">
        <v>198</v>
      </c>
      <c r="B199" s="31" t="s">
        <v>986</v>
      </c>
      <c r="C199" s="113" t="s">
        <v>1121</v>
      </c>
      <c r="D199" s="114">
        <v>0</v>
      </c>
    </row>
    <row r="200" spans="1:4" x14ac:dyDescent="0.25">
      <c r="A200" s="111">
        <v>199</v>
      </c>
      <c r="B200" s="123" t="s">
        <v>1149</v>
      </c>
      <c r="C200" s="124" t="s">
        <v>35</v>
      </c>
      <c r="D200" s="114">
        <v>0</v>
      </c>
    </row>
    <row r="201" spans="1:4" x14ac:dyDescent="0.25">
      <c r="A201" s="111">
        <v>200</v>
      </c>
      <c r="B201" s="112" t="s">
        <v>845</v>
      </c>
      <c r="C201" s="113" t="s">
        <v>1215</v>
      </c>
      <c r="D201" s="114">
        <v>0</v>
      </c>
    </row>
    <row r="202" spans="1:4" x14ac:dyDescent="0.25">
      <c r="A202" s="111">
        <v>201</v>
      </c>
      <c r="B202" s="125" t="s">
        <v>846</v>
      </c>
      <c r="C202" s="124" t="s">
        <v>1119</v>
      </c>
      <c r="D202" s="114">
        <v>0</v>
      </c>
    </row>
    <row r="203" spans="1:4" x14ac:dyDescent="0.25">
      <c r="A203" s="111">
        <v>202</v>
      </c>
      <c r="B203" s="123" t="s">
        <v>570</v>
      </c>
      <c r="C203" s="124" t="s">
        <v>1121</v>
      </c>
      <c r="D203" s="114">
        <v>0</v>
      </c>
    </row>
    <row r="204" spans="1:4" x14ac:dyDescent="0.25">
      <c r="A204" s="111">
        <v>203</v>
      </c>
      <c r="B204" s="129" t="s">
        <v>738</v>
      </c>
      <c r="C204" s="128" t="s">
        <v>431</v>
      </c>
      <c r="D204" s="114">
        <v>0</v>
      </c>
    </row>
    <row r="205" spans="1:4" x14ac:dyDescent="0.25">
      <c r="A205" s="111">
        <v>204</v>
      </c>
      <c r="B205" s="123" t="s">
        <v>633</v>
      </c>
      <c r="C205" s="124" t="s">
        <v>1122</v>
      </c>
      <c r="D205" s="114">
        <v>0</v>
      </c>
    </row>
    <row r="206" spans="1:4" x14ac:dyDescent="0.25">
      <c r="A206" s="111">
        <v>205</v>
      </c>
      <c r="B206" s="127" t="s">
        <v>931</v>
      </c>
      <c r="C206" s="124" t="s">
        <v>1215</v>
      </c>
      <c r="D206" s="114">
        <v>0</v>
      </c>
    </row>
    <row r="207" spans="1:4" x14ac:dyDescent="0.25">
      <c r="A207" s="111">
        <v>206</v>
      </c>
      <c r="B207" s="125" t="s">
        <v>984</v>
      </c>
      <c r="C207" s="124" t="s">
        <v>1119</v>
      </c>
      <c r="D207" s="114">
        <v>0</v>
      </c>
    </row>
    <row r="208" spans="1:4" x14ac:dyDescent="0.25">
      <c r="A208" s="111">
        <v>207</v>
      </c>
      <c r="B208" s="31" t="s">
        <v>449</v>
      </c>
      <c r="C208" s="113" t="s">
        <v>1215</v>
      </c>
      <c r="D208" s="114">
        <v>0</v>
      </c>
    </row>
    <row r="209" spans="1:4" x14ac:dyDescent="0.25">
      <c r="A209" s="111">
        <v>208</v>
      </c>
      <c r="B209" s="123" t="s">
        <v>719</v>
      </c>
      <c r="C209" s="124" t="s">
        <v>1215</v>
      </c>
      <c r="D209" s="114">
        <v>0</v>
      </c>
    </row>
    <row r="210" spans="1:4" x14ac:dyDescent="0.25">
      <c r="A210" s="111">
        <v>209</v>
      </c>
      <c r="B210" s="31" t="s">
        <v>124</v>
      </c>
      <c r="C210" s="113" t="s">
        <v>1121</v>
      </c>
      <c r="D210" s="114">
        <v>0</v>
      </c>
    </row>
    <row r="211" spans="1:4" x14ac:dyDescent="0.25">
      <c r="A211" s="111">
        <v>210</v>
      </c>
      <c r="B211" s="129" t="s">
        <v>856</v>
      </c>
      <c r="C211" s="124" t="s">
        <v>1121</v>
      </c>
      <c r="D211" s="114">
        <v>0</v>
      </c>
    </row>
    <row r="212" spans="1:4" x14ac:dyDescent="0.25">
      <c r="A212" s="111">
        <v>211</v>
      </c>
      <c r="B212" s="127" t="s">
        <v>1150</v>
      </c>
      <c r="C212" s="124" t="s">
        <v>1121</v>
      </c>
      <c r="D212" s="114">
        <v>0</v>
      </c>
    </row>
    <row r="213" spans="1:4" x14ac:dyDescent="0.25">
      <c r="A213" s="111">
        <v>212</v>
      </c>
      <c r="B213" s="31" t="s">
        <v>816</v>
      </c>
      <c r="C213" s="113" t="s">
        <v>1215</v>
      </c>
      <c r="D213" s="114">
        <v>0</v>
      </c>
    </row>
    <row r="214" spans="1:4" x14ac:dyDescent="0.25">
      <c r="A214" s="111">
        <v>213</v>
      </c>
      <c r="B214" s="115" t="s">
        <v>1151</v>
      </c>
      <c r="C214" s="121" t="s">
        <v>1119</v>
      </c>
      <c r="D214" s="114">
        <v>0</v>
      </c>
    </row>
    <row r="215" spans="1:4" x14ac:dyDescent="0.25">
      <c r="A215" s="111">
        <v>214</v>
      </c>
      <c r="B215" s="131" t="s">
        <v>521</v>
      </c>
      <c r="C215" s="124" t="s">
        <v>166</v>
      </c>
      <c r="D215" s="114">
        <v>0</v>
      </c>
    </row>
    <row r="216" spans="1:4" x14ac:dyDescent="0.25">
      <c r="A216" s="111">
        <v>215</v>
      </c>
      <c r="B216" s="125" t="s">
        <v>1152</v>
      </c>
      <c r="C216" s="124" t="s">
        <v>166</v>
      </c>
      <c r="D216" s="114">
        <v>0</v>
      </c>
    </row>
    <row r="217" spans="1:4" x14ac:dyDescent="0.25">
      <c r="A217" s="111">
        <v>216</v>
      </c>
      <c r="B217" s="127" t="s">
        <v>980</v>
      </c>
      <c r="C217" s="130" t="s">
        <v>1215</v>
      </c>
      <c r="D217" s="114">
        <v>0</v>
      </c>
    </row>
    <row r="218" spans="1:4" x14ac:dyDescent="0.25">
      <c r="A218" s="111">
        <v>217</v>
      </c>
      <c r="B218" s="123" t="s">
        <v>672</v>
      </c>
      <c r="C218" s="124" t="s">
        <v>166</v>
      </c>
      <c r="D218" s="114">
        <v>0</v>
      </c>
    </row>
    <row r="219" spans="1:4" x14ac:dyDescent="0.25">
      <c r="A219" s="111">
        <v>218</v>
      </c>
      <c r="B219" s="123" t="s">
        <v>447</v>
      </c>
      <c r="C219" s="124" t="s">
        <v>1215</v>
      </c>
      <c r="D219" s="114">
        <v>0</v>
      </c>
    </row>
    <row r="220" spans="1:4" x14ac:dyDescent="0.25">
      <c r="A220" s="111">
        <v>219</v>
      </c>
      <c r="B220" s="123" t="s">
        <v>644</v>
      </c>
      <c r="C220" s="124" t="s">
        <v>1121</v>
      </c>
      <c r="D220" s="114">
        <v>0</v>
      </c>
    </row>
    <row r="221" spans="1:4" x14ac:dyDescent="0.25">
      <c r="A221" s="111">
        <v>220</v>
      </c>
      <c r="B221" s="120" t="s">
        <v>853</v>
      </c>
      <c r="C221" s="113" t="s">
        <v>1121</v>
      </c>
      <c r="D221" s="114">
        <v>0</v>
      </c>
    </row>
    <row r="222" spans="1:4" x14ac:dyDescent="0.25">
      <c r="A222" s="111">
        <v>221</v>
      </c>
      <c r="B222" s="123" t="s">
        <v>747</v>
      </c>
      <c r="C222" s="128" t="s">
        <v>1119</v>
      </c>
      <c r="D222" s="114">
        <v>0</v>
      </c>
    </row>
    <row r="223" spans="1:4" x14ac:dyDescent="0.25">
      <c r="A223" s="111">
        <v>222</v>
      </c>
      <c r="B223" s="112" t="s">
        <v>839</v>
      </c>
      <c r="C223" s="113" t="s">
        <v>1119</v>
      </c>
      <c r="D223" s="114">
        <v>0</v>
      </c>
    </row>
    <row r="224" spans="1:4" x14ac:dyDescent="0.25">
      <c r="A224" s="111">
        <v>223</v>
      </c>
      <c r="B224" s="125" t="s">
        <v>830</v>
      </c>
      <c r="C224" s="124" t="s">
        <v>1119</v>
      </c>
      <c r="D224" s="114">
        <v>0</v>
      </c>
    </row>
    <row r="225" spans="1:4" x14ac:dyDescent="0.25">
      <c r="A225" s="111">
        <v>224</v>
      </c>
      <c r="B225" s="115" t="s">
        <v>1484</v>
      </c>
      <c r="C225" s="113" t="s">
        <v>1119</v>
      </c>
      <c r="D225" s="114">
        <v>0</v>
      </c>
    </row>
    <row r="226" spans="1:4" x14ac:dyDescent="0.25">
      <c r="A226" s="111">
        <v>225</v>
      </c>
      <c r="B226" s="123" t="s">
        <v>1153</v>
      </c>
      <c r="C226" s="124" t="s">
        <v>1122</v>
      </c>
      <c r="D226" s="114">
        <v>0</v>
      </c>
    </row>
    <row r="227" spans="1:4" x14ac:dyDescent="0.25">
      <c r="A227" s="111">
        <v>226</v>
      </c>
      <c r="B227" s="125" t="s">
        <v>1483</v>
      </c>
      <c r="C227" s="124" t="s">
        <v>1119</v>
      </c>
      <c r="D227" s="114">
        <v>0</v>
      </c>
    </row>
    <row r="228" spans="1:4" x14ac:dyDescent="0.25">
      <c r="A228" s="111">
        <v>227</v>
      </c>
      <c r="B228" s="123" t="s">
        <v>634</v>
      </c>
      <c r="C228" s="124" t="s">
        <v>1119</v>
      </c>
      <c r="D228" s="114">
        <v>0</v>
      </c>
    </row>
    <row r="229" spans="1:4" x14ac:dyDescent="0.25">
      <c r="A229" s="111">
        <v>228</v>
      </c>
      <c r="B229" s="115" t="s">
        <v>929</v>
      </c>
      <c r="C229" s="113" t="s">
        <v>1215</v>
      </c>
      <c r="D229" s="114">
        <v>0</v>
      </c>
    </row>
    <row r="230" spans="1:4" x14ac:dyDescent="0.25">
      <c r="A230" s="111">
        <v>229</v>
      </c>
      <c r="B230" s="123" t="s">
        <v>461</v>
      </c>
      <c r="C230" s="124" t="s">
        <v>1215</v>
      </c>
      <c r="D230" s="114">
        <v>0</v>
      </c>
    </row>
    <row r="231" spans="1:4" x14ac:dyDescent="0.25">
      <c r="A231" s="111">
        <v>230</v>
      </c>
      <c r="B231" s="123" t="s">
        <v>609</v>
      </c>
      <c r="C231" s="124" t="s">
        <v>1215</v>
      </c>
      <c r="D231" s="114">
        <v>0</v>
      </c>
    </row>
    <row r="232" spans="1:4" x14ac:dyDescent="0.25">
      <c r="A232" s="111">
        <v>231</v>
      </c>
      <c r="B232" s="127" t="s">
        <v>1154</v>
      </c>
      <c r="C232" s="124" t="s">
        <v>1215</v>
      </c>
      <c r="D232" s="114">
        <v>0</v>
      </c>
    </row>
    <row r="233" spans="1:4" x14ac:dyDescent="0.25">
      <c r="A233" s="111">
        <v>232</v>
      </c>
      <c r="B233" s="31" t="s">
        <v>519</v>
      </c>
      <c r="C233" s="113" t="s">
        <v>1215</v>
      </c>
      <c r="D233" s="114">
        <v>0</v>
      </c>
    </row>
    <row r="234" spans="1:4" x14ac:dyDescent="0.25">
      <c r="A234" s="111">
        <v>233</v>
      </c>
      <c r="B234" s="31" t="s">
        <v>1029</v>
      </c>
      <c r="C234" s="113" t="s">
        <v>1215</v>
      </c>
      <c r="D234" s="114">
        <v>0</v>
      </c>
    </row>
    <row r="235" spans="1:4" x14ac:dyDescent="0.25">
      <c r="A235" s="111">
        <v>234</v>
      </c>
      <c r="B235" s="129" t="s">
        <v>787</v>
      </c>
      <c r="C235" s="130" t="s">
        <v>166</v>
      </c>
      <c r="D235" s="114">
        <v>0</v>
      </c>
    </row>
    <row r="236" spans="1:4" x14ac:dyDescent="0.25">
      <c r="A236" s="111">
        <v>235</v>
      </c>
      <c r="B236" s="123" t="s">
        <v>1485</v>
      </c>
      <c r="C236" s="128" t="s">
        <v>1119</v>
      </c>
      <c r="D236" s="114">
        <v>0</v>
      </c>
    </row>
    <row r="237" spans="1:4" x14ac:dyDescent="0.25">
      <c r="A237" s="111">
        <v>236</v>
      </c>
      <c r="B237" s="129" t="s">
        <v>1155</v>
      </c>
      <c r="C237" s="124" t="s">
        <v>1119</v>
      </c>
      <c r="D237" s="114">
        <v>0</v>
      </c>
    </row>
    <row r="238" spans="1:4" x14ac:dyDescent="0.25">
      <c r="A238" s="111">
        <v>237</v>
      </c>
      <c r="B238" s="123" t="s">
        <v>683</v>
      </c>
      <c r="C238" s="124" t="s">
        <v>166</v>
      </c>
      <c r="D238" s="114">
        <v>0</v>
      </c>
    </row>
    <row r="239" spans="1:4" x14ac:dyDescent="0.25">
      <c r="A239" s="111">
        <v>238</v>
      </c>
      <c r="B239" s="125" t="s">
        <v>794</v>
      </c>
      <c r="C239" s="130" t="s">
        <v>166</v>
      </c>
      <c r="D239" s="114">
        <v>0</v>
      </c>
    </row>
    <row r="240" spans="1:4" x14ac:dyDescent="0.25">
      <c r="A240" s="111">
        <v>239</v>
      </c>
      <c r="B240" s="31" t="s">
        <v>627</v>
      </c>
      <c r="C240" s="113" t="s">
        <v>1215</v>
      </c>
      <c r="D240" s="114">
        <v>0</v>
      </c>
    </row>
    <row r="241" spans="1:4" x14ac:dyDescent="0.25">
      <c r="A241" s="111">
        <v>240</v>
      </c>
      <c r="B241" s="31" t="s">
        <v>715</v>
      </c>
      <c r="C241" s="113" t="s">
        <v>1215</v>
      </c>
      <c r="D241" s="114">
        <v>0</v>
      </c>
    </row>
    <row r="242" spans="1:4" x14ac:dyDescent="0.25">
      <c r="A242" s="111">
        <v>241</v>
      </c>
      <c r="B242" s="31" t="s">
        <v>1057</v>
      </c>
      <c r="C242" s="113" t="s">
        <v>166</v>
      </c>
      <c r="D242" s="114">
        <v>0</v>
      </c>
    </row>
    <row r="243" spans="1:4" x14ac:dyDescent="0.25">
      <c r="A243" s="111">
        <v>242</v>
      </c>
      <c r="B243" s="123" t="s">
        <v>456</v>
      </c>
      <c r="C243" s="124" t="s">
        <v>1215</v>
      </c>
      <c r="D243" s="114">
        <v>0</v>
      </c>
    </row>
    <row r="244" spans="1:4" x14ac:dyDescent="0.25">
      <c r="A244" s="111">
        <v>243</v>
      </c>
      <c r="B244" s="31" t="s">
        <v>615</v>
      </c>
      <c r="C244" s="113" t="s">
        <v>166</v>
      </c>
      <c r="D244" s="114">
        <v>0</v>
      </c>
    </row>
    <row r="245" spans="1:4" x14ac:dyDescent="0.25">
      <c r="A245" s="111">
        <v>244</v>
      </c>
      <c r="B245" s="112" t="s">
        <v>543</v>
      </c>
      <c r="C245" s="113" t="s">
        <v>166</v>
      </c>
      <c r="D245" s="114">
        <v>0</v>
      </c>
    </row>
    <row r="246" spans="1:4" x14ac:dyDescent="0.25">
      <c r="A246" s="111">
        <v>245</v>
      </c>
      <c r="B246" s="125" t="s">
        <v>983</v>
      </c>
      <c r="C246" s="128" t="s">
        <v>1215</v>
      </c>
      <c r="D246" s="114">
        <v>0</v>
      </c>
    </row>
    <row r="247" spans="1:4" x14ac:dyDescent="0.25">
      <c r="A247" s="111">
        <v>246</v>
      </c>
      <c r="B247" s="123" t="s">
        <v>571</v>
      </c>
      <c r="C247" s="124" t="s">
        <v>1215</v>
      </c>
      <c r="D247" s="114">
        <v>0</v>
      </c>
    </row>
    <row r="248" spans="1:4" x14ac:dyDescent="0.25">
      <c r="A248" s="111">
        <v>247</v>
      </c>
      <c r="B248" s="123" t="s">
        <v>1156</v>
      </c>
      <c r="C248" s="124" t="s">
        <v>1122</v>
      </c>
      <c r="D248" s="114">
        <v>0</v>
      </c>
    </row>
    <row r="249" spans="1:4" x14ac:dyDescent="0.25">
      <c r="A249" s="111">
        <v>248</v>
      </c>
      <c r="B249" s="120" t="s">
        <v>724</v>
      </c>
      <c r="C249" s="118" t="s">
        <v>1122</v>
      </c>
      <c r="D249" s="114">
        <v>0</v>
      </c>
    </row>
    <row r="250" spans="1:4" x14ac:dyDescent="0.25">
      <c r="A250" s="111">
        <v>249</v>
      </c>
      <c r="B250" s="120" t="s">
        <v>1157</v>
      </c>
      <c r="C250" s="118" t="s">
        <v>1215</v>
      </c>
      <c r="D250" s="114">
        <v>0</v>
      </c>
    </row>
    <row r="251" spans="1:4" x14ac:dyDescent="0.25">
      <c r="A251" s="111">
        <v>250</v>
      </c>
      <c r="B251" s="112" t="s">
        <v>322</v>
      </c>
      <c r="C251" s="121" t="s">
        <v>1215</v>
      </c>
      <c r="D251" s="114">
        <v>0</v>
      </c>
    </row>
    <row r="252" spans="1:4" x14ac:dyDescent="0.25">
      <c r="A252" s="111">
        <v>251</v>
      </c>
      <c r="B252" s="123" t="s">
        <v>522</v>
      </c>
      <c r="C252" s="124" t="s">
        <v>1215</v>
      </c>
      <c r="D252" s="114">
        <v>0</v>
      </c>
    </row>
    <row r="253" spans="1:4" x14ac:dyDescent="0.25">
      <c r="A253" s="111">
        <v>252</v>
      </c>
      <c r="B253" s="129" t="s">
        <v>746</v>
      </c>
      <c r="C253" s="128" t="s">
        <v>1215</v>
      </c>
      <c r="D253" s="114">
        <v>0</v>
      </c>
    </row>
    <row r="254" spans="1:4" x14ac:dyDescent="0.25">
      <c r="A254" s="111">
        <v>253</v>
      </c>
      <c r="B254" s="129" t="s">
        <v>745</v>
      </c>
      <c r="C254" s="128" t="s">
        <v>1215</v>
      </c>
      <c r="D254" s="114">
        <v>0</v>
      </c>
    </row>
    <row r="255" spans="1:4" x14ac:dyDescent="0.25">
      <c r="A255" s="111">
        <v>254</v>
      </c>
      <c r="B255" s="129" t="s">
        <v>739</v>
      </c>
      <c r="C255" s="128" t="s">
        <v>1215</v>
      </c>
      <c r="D255" s="114">
        <v>0</v>
      </c>
    </row>
    <row r="256" spans="1:4" x14ac:dyDescent="0.25">
      <c r="A256" s="111">
        <v>255</v>
      </c>
      <c r="B256" s="129" t="s">
        <v>725</v>
      </c>
      <c r="C256" s="128" t="s">
        <v>1121</v>
      </c>
      <c r="D256" s="114">
        <v>0</v>
      </c>
    </row>
    <row r="257" spans="1:4" x14ac:dyDescent="0.25">
      <c r="A257" s="111">
        <v>256</v>
      </c>
      <c r="B257" s="123" t="s">
        <v>459</v>
      </c>
      <c r="C257" s="124" t="s">
        <v>1121</v>
      </c>
      <c r="D257" s="114">
        <v>0</v>
      </c>
    </row>
    <row r="258" spans="1:4" x14ac:dyDescent="0.25">
      <c r="A258" s="111">
        <v>257</v>
      </c>
      <c r="B258" s="123" t="s">
        <v>751</v>
      </c>
      <c r="C258" s="128" t="s">
        <v>1121</v>
      </c>
      <c r="D258" s="114">
        <v>0</v>
      </c>
    </row>
    <row r="259" spans="1:4" x14ac:dyDescent="0.25">
      <c r="A259" s="111">
        <v>258</v>
      </c>
      <c r="B259" s="123" t="s">
        <v>663</v>
      </c>
      <c r="C259" s="124" t="s">
        <v>1215</v>
      </c>
      <c r="D259" s="114">
        <v>0</v>
      </c>
    </row>
    <row r="260" spans="1:4" x14ac:dyDescent="0.25">
      <c r="A260" s="111">
        <v>259</v>
      </c>
      <c r="B260" s="125" t="s">
        <v>836</v>
      </c>
      <c r="C260" s="124" t="s">
        <v>1119</v>
      </c>
      <c r="D260" s="114">
        <v>0</v>
      </c>
    </row>
    <row r="261" spans="1:4" x14ac:dyDescent="0.25">
      <c r="A261" s="111">
        <v>260</v>
      </c>
      <c r="B261" s="123" t="s">
        <v>572</v>
      </c>
      <c r="C261" s="124" t="s">
        <v>1215</v>
      </c>
      <c r="D261" s="114">
        <v>0</v>
      </c>
    </row>
    <row r="262" spans="1:4" x14ac:dyDescent="0.25">
      <c r="A262" s="111">
        <v>261</v>
      </c>
      <c r="B262" s="123" t="s">
        <v>678</v>
      </c>
      <c r="C262" s="124" t="s">
        <v>1215</v>
      </c>
      <c r="D262" s="114">
        <v>0</v>
      </c>
    </row>
    <row r="263" spans="1:4" x14ac:dyDescent="0.25">
      <c r="A263" s="111">
        <v>262</v>
      </c>
      <c r="B263" s="127" t="s">
        <v>1158</v>
      </c>
      <c r="C263" s="124" t="s">
        <v>1119</v>
      </c>
      <c r="D263" s="114">
        <v>0</v>
      </c>
    </row>
    <row r="264" spans="1:4" x14ac:dyDescent="0.25">
      <c r="A264" s="111">
        <v>263</v>
      </c>
      <c r="B264" s="31" t="s">
        <v>699</v>
      </c>
      <c r="C264" s="113" t="s">
        <v>1215</v>
      </c>
      <c r="D264" s="114">
        <v>0</v>
      </c>
    </row>
    <row r="265" spans="1:4" x14ac:dyDescent="0.25">
      <c r="A265" s="111">
        <v>264</v>
      </c>
      <c r="B265" s="31" t="s">
        <v>664</v>
      </c>
      <c r="C265" s="113" t="s">
        <v>1215</v>
      </c>
      <c r="D265" s="114">
        <v>0</v>
      </c>
    </row>
    <row r="266" spans="1:4" x14ac:dyDescent="0.25">
      <c r="A266" s="111">
        <v>265</v>
      </c>
      <c r="B266" s="123" t="s">
        <v>660</v>
      </c>
      <c r="C266" s="124" t="s">
        <v>1215</v>
      </c>
      <c r="D266" s="114">
        <v>0</v>
      </c>
    </row>
    <row r="267" spans="1:4" x14ac:dyDescent="0.25">
      <c r="A267" s="111">
        <v>266</v>
      </c>
      <c r="B267" s="31" t="s">
        <v>1159</v>
      </c>
      <c r="C267" s="113" t="s">
        <v>1215</v>
      </c>
      <c r="D267" s="114">
        <v>0</v>
      </c>
    </row>
    <row r="268" spans="1:4" x14ac:dyDescent="0.25">
      <c r="A268" s="111">
        <v>267</v>
      </c>
      <c r="B268" s="129" t="s">
        <v>401</v>
      </c>
      <c r="C268" s="124" t="s">
        <v>1215</v>
      </c>
      <c r="D268" s="114">
        <v>0</v>
      </c>
    </row>
    <row r="269" spans="1:4" x14ac:dyDescent="0.25">
      <c r="A269" s="111">
        <v>268</v>
      </c>
      <c r="B269" s="122" t="s">
        <v>1160</v>
      </c>
      <c r="C269" s="124" t="s">
        <v>1215</v>
      </c>
      <c r="D269" s="114">
        <v>0</v>
      </c>
    </row>
    <row r="270" spans="1:4" x14ac:dyDescent="0.25">
      <c r="A270" s="111">
        <v>269</v>
      </c>
      <c r="B270" s="112" t="s">
        <v>939</v>
      </c>
      <c r="C270" s="124" t="s">
        <v>1215</v>
      </c>
      <c r="D270" s="114">
        <v>0</v>
      </c>
    </row>
    <row r="271" spans="1:4" x14ac:dyDescent="0.25">
      <c r="A271" s="111">
        <v>270</v>
      </c>
      <c r="B271" s="31" t="s">
        <v>679</v>
      </c>
      <c r="C271" s="113" t="s">
        <v>1215</v>
      </c>
      <c r="D271" s="114">
        <v>0</v>
      </c>
    </row>
    <row r="272" spans="1:4" x14ac:dyDescent="0.25">
      <c r="A272" s="111">
        <v>271</v>
      </c>
      <c r="B272" s="31" t="s">
        <v>1161</v>
      </c>
      <c r="C272" s="113" t="s">
        <v>1215</v>
      </c>
      <c r="D272" s="114">
        <v>0</v>
      </c>
    </row>
    <row r="273" spans="1:4" x14ac:dyDescent="0.25">
      <c r="A273" s="111">
        <v>272</v>
      </c>
      <c r="B273" s="125" t="s">
        <v>1162</v>
      </c>
      <c r="C273" s="124" t="s">
        <v>1215</v>
      </c>
      <c r="D273" s="114">
        <v>0</v>
      </c>
    </row>
    <row r="274" spans="1:4" x14ac:dyDescent="0.25">
      <c r="A274" s="111">
        <v>273</v>
      </c>
      <c r="B274" s="123" t="s">
        <v>1163</v>
      </c>
      <c r="C274" s="124" t="s">
        <v>1215</v>
      </c>
      <c r="D274" s="114">
        <v>0</v>
      </c>
    </row>
    <row r="275" spans="1:4" x14ac:dyDescent="0.25">
      <c r="A275" s="111">
        <v>274</v>
      </c>
      <c r="B275" s="112" t="s">
        <v>1486</v>
      </c>
      <c r="C275" s="113" t="s">
        <v>1119</v>
      </c>
      <c r="D275" s="114">
        <v>0</v>
      </c>
    </row>
    <row r="276" spans="1:4" x14ac:dyDescent="0.25">
      <c r="A276" s="111">
        <v>275</v>
      </c>
      <c r="B276" s="31" t="s">
        <v>622</v>
      </c>
      <c r="C276" s="113" t="s">
        <v>1215</v>
      </c>
      <c r="D276" s="114">
        <v>0</v>
      </c>
    </row>
    <row r="277" spans="1:4" x14ac:dyDescent="0.25">
      <c r="A277" s="111">
        <v>276</v>
      </c>
      <c r="B277" s="31" t="s">
        <v>1017</v>
      </c>
      <c r="C277" s="113" t="s">
        <v>1119</v>
      </c>
      <c r="D277" s="114">
        <v>0</v>
      </c>
    </row>
    <row r="278" spans="1:4" x14ac:dyDescent="0.25">
      <c r="A278" s="111">
        <v>277</v>
      </c>
      <c r="B278" s="123" t="s">
        <v>1164</v>
      </c>
      <c r="C278" s="124" t="s">
        <v>1215</v>
      </c>
      <c r="D278" s="114">
        <v>0</v>
      </c>
    </row>
    <row r="279" spans="1:4" x14ac:dyDescent="0.25">
      <c r="A279" s="111">
        <v>278</v>
      </c>
      <c r="B279" s="31" t="s">
        <v>700</v>
      </c>
      <c r="C279" s="113" t="s">
        <v>1215</v>
      </c>
      <c r="D279" s="114">
        <v>0</v>
      </c>
    </row>
    <row r="280" spans="1:4" x14ac:dyDescent="0.25">
      <c r="A280" s="111">
        <v>279</v>
      </c>
      <c r="B280" s="115" t="s">
        <v>884</v>
      </c>
      <c r="C280" s="113" t="s">
        <v>1119</v>
      </c>
      <c r="D280" s="114">
        <v>0</v>
      </c>
    </row>
    <row r="281" spans="1:4" x14ac:dyDescent="0.25">
      <c r="A281" s="111">
        <v>280</v>
      </c>
      <c r="B281" s="123" t="s">
        <v>597</v>
      </c>
      <c r="C281" s="124" t="s">
        <v>1215</v>
      </c>
      <c r="D281" s="114">
        <v>0</v>
      </c>
    </row>
    <row r="282" spans="1:4" x14ac:dyDescent="0.25">
      <c r="A282" s="111">
        <v>281</v>
      </c>
      <c r="B282" s="123" t="s">
        <v>673</v>
      </c>
      <c r="C282" s="124" t="s">
        <v>1215</v>
      </c>
      <c r="D282" s="114">
        <v>0</v>
      </c>
    </row>
    <row r="283" spans="1:4" x14ac:dyDescent="0.25">
      <c r="A283" s="111">
        <v>282</v>
      </c>
      <c r="B283" s="127" t="s">
        <v>580</v>
      </c>
      <c r="C283" s="126" t="s">
        <v>1121</v>
      </c>
      <c r="D283" s="114">
        <v>0</v>
      </c>
    </row>
    <row r="284" spans="1:4" x14ac:dyDescent="0.25">
      <c r="A284" s="111">
        <v>283</v>
      </c>
      <c r="B284" s="123" t="s">
        <v>565</v>
      </c>
      <c r="C284" s="124" t="s">
        <v>1215</v>
      </c>
      <c r="D284" s="114">
        <v>0</v>
      </c>
    </row>
    <row r="285" spans="1:4" x14ac:dyDescent="0.25">
      <c r="A285" s="111">
        <v>284</v>
      </c>
      <c r="B285" s="125" t="s">
        <v>1165</v>
      </c>
      <c r="C285" s="124" t="s">
        <v>1119</v>
      </c>
      <c r="D285" s="114">
        <v>0</v>
      </c>
    </row>
    <row r="286" spans="1:4" x14ac:dyDescent="0.25">
      <c r="A286" s="111">
        <v>285</v>
      </c>
      <c r="B286" s="123" t="s">
        <v>755</v>
      </c>
      <c r="C286" s="128" t="s">
        <v>1119</v>
      </c>
      <c r="D286" s="114">
        <v>0</v>
      </c>
    </row>
    <row r="287" spans="1:4" x14ac:dyDescent="0.25">
      <c r="A287" s="111">
        <v>286</v>
      </c>
      <c r="B287" s="125" t="s">
        <v>1166</v>
      </c>
      <c r="C287" s="124" t="s">
        <v>1122</v>
      </c>
      <c r="D287" s="114">
        <v>0</v>
      </c>
    </row>
    <row r="288" spans="1:4" x14ac:dyDescent="0.25">
      <c r="A288" s="111">
        <v>287</v>
      </c>
      <c r="B288" s="123" t="s">
        <v>645</v>
      </c>
      <c r="C288" s="124" t="s">
        <v>1215</v>
      </c>
      <c r="D288" s="114">
        <v>0</v>
      </c>
    </row>
    <row r="289" spans="1:4" x14ac:dyDescent="0.25">
      <c r="A289" s="111">
        <v>288</v>
      </c>
      <c r="B289" s="31" t="s">
        <v>569</v>
      </c>
      <c r="C289" s="113" t="s">
        <v>1122</v>
      </c>
      <c r="D289" s="114">
        <v>0</v>
      </c>
    </row>
    <row r="290" spans="1:4" x14ac:dyDescent="0.25">
      <c r="A290" s="111">
        <v>289</v>
      </c>
      <c r="B290" s="123" t="s">
        <v>469</v>
      </c>
      <c r="C290" s="124" t="s">
        <v>1215</v>
      </c>
      <c r="D290" s="114">
        <v>0</v>
      </c>
    </row>
    <row r="291" spans="1:4" x14ac:dyDescent="0.25">
      <c r="A291" s="111">
        <v>290</v>
      </c>
      <c r="B291" s="131" t="s">
        <v>1167</v>
      </c>
      <c r="C291" s="128" t="s">
        <v>1122</v>
      </c>
      <c r="D291" s="114">
        <v>0</v>
      </c>
    </row>
    <row r="292" spans="1:4" x14ac:dyDescent="0.25">
      <c r="A292" s="111">
        <v>291</v>
      </c>
      <c r="B292" s="31" t="s">
        <v>844</v>
      </c>
      <c r="C292" s="113" t="s">
        <v>1215</v>
      </c>
      <c r="D292" s="114">
        <v>0</v>
      </c>
    </row>
    <row r="293" spans="1:4" x14ac:dyDescent="0.25">
      <c r="A293" s="111">
        <v>292</v>
      </c>
      <c r="B293" s="31" t="s">
        <v>689</v>
      </c>
      <c r="C293" s="113" t="s">
        <v>1215</v>
      </c>
      <c r="D293" s="114">
        <v>0</v>
      </c>
    </row>
    <row r="294" spans="1:4" x14ac:dyDescent="0.25">
      <c r="A294" s="111">
        <v>293</v>
      </c>
      <c r="B294" s="112" t="s">
        <v>840</v>
      </c>
      <c r="C294" s="113" t="s">
        <v>1122</v>
      </c>
      <c r="D294" s="114">
        <v>0</v>
      </c>
    </row>
    <row r="295" spans="1:4" x14ac:dyDescent="0.25">
      <c r="A295" s="111">
        <v>294</v>
      </c>
      <c r="B295" s="112" t="s">
        <v>1168</v>
      </c>
      <c r="C295" s="113" t="s">
        <v>1122</v>
      </c>
      <c r="D295" s="114">
        <v>0</v>
      </c>
    </row>
    <row r="296" spans="1:4" x14ac:dyDescent="0.25">
      <c r="A296" s="111">
        <v>295</v>
      </c>
      <c r="B296" s="31" t="s">
        <v>676</v>
      </c>
      <c r="C296" s="113" t="s">
        <v>1215</v>
      </c>
      <c r="D296" s="114">
        <v>0</v>
      </c>
    </row>
    <row r="297" spans="1:4" x14ac:dyDescent="0.25">
      <c r="A297" s="111">
        <v>296</v>
      </c>
      <c r="B297" s="31" t="s">
        <v>625</v>
      </c>
      <c r="C297" s="113" t="s">
        <v>166</v>
      </c>
      <c r="D297" s="114">
        <v>0</v>
      </c>
    </row>
    <row r="298" spans="1:4" x14ac:dyDescent="0.25">
      <c r="A298" s="111">
        <v>297</v>
      </c>
      <c r="B298" s="31" t="s">
        <v>1487</v>
      </c>
      <c r="C298" s="113" t="s">
        <v>166</v>
      </c>
      <c r="D298" s="114">
        <v>0</v>
      </c>
    </row>
    <row r="299" spans="1:4" x14ac:dyDescent="0.25">
      <c r="A299" s="111">
        <v>298</v>
      </c>
      <c r="B299" s="31" t="s">
        <v>1492</v>
      </c>
      <c r="C299" s="113" t="s">
        <v>166</v>
      </c>
      <c r="D299" s="114">
        <v>0</v>
      </c>
    </row>
    <row r="300" spans="1:4" x14ac:dyDescent="0.25">
      <c r="A300" s="111">
        <v>299</v>
      </c>
      <c r="B300" s="129" t="s">
        <v>486</v>
      </c>
      <c r="C300" s="128" t="s">
        <v>166</v>
      </c>
      <c r="D300" s="114">
        <v>0</v>
      </c>
    </row>
    <row r="301" spans="1:4" x14ac:dyDescent="0.25">
      <c r="A301" s="111">
        <v>300</v>
      </c>
      <c r="B301" s="129" t="s">
        <v>1169</v>
      </c>
      <c r="C301" s="124" t="s">
        <v>431</v>
      </c>
      <c r="D301" s="114">
        <v>0</v>
      </c>
    </row>
    <row r="302" spans="1:4" x14ac:dyDescent="0.25">
      <c r="A302" s="111">
        <v>301</v>
      </c>
      <c r="B302" s="129" t="s">
        <v>1170</v>
      </c>
      <c r="C302" s="126" t="s">
        <v>431</v>
      </c>
      <c r="D302" s="114">
        <v>0</v>
      </c>
    </row>
    <row r="303" spans="1:4" x14ac:dyDescent="0.25">
      <c r="A303" s="111">
        <v>302</v>
      </c>
      <c r="B303" s="129" t="s">
        <v>1171</v>
      </c>
      <c r="C303" s="113" t="s">
        <v>1119</v>
      </c>
      <c r="D303" s="114">
        <v>0</v>
      </c>
    </row>
    <row r="304" spans="1:4" x14ac:dyDescent="0.25">
      <c r="A304" s="111">
        <v>303</v>
      </c>
      <c r="B304" s="31" t="s">
        <v>682</v>
      </c>
      <c r="C304" s="113" t="s">
        <v>1215</v>
      </c>
      <c r="D304" s="114">
        <v>0</v>
      </c>
    </row>
    <row r="305" spans="1:4" x14ac:dyDescent="0.25">
      <c r="A305" s="111">
        <v>304</v>
      </c>
      <c r="B305" s="31" t="s">
        <v>1005</v>
      </c>
      <c r="C305" s="113" t="s">
        <v>1119</v>
      </c>
      <c r="D305" s="114">
        <v>0</v>
      </c>
    </row>
    <row r="306" spans="1:4" x14ac:dyDescent="0.25">
      <c r="A306" s="111">
        <v>305</v>
      </c>
      <c r="B306" s="115" t="s">
        <v>721</v>
      </c>
      <c r="C306" s="118" t="s">
        <v>1119</v>
      </c>
      <c r="D306" s="114">
        <v>0</v>
      </c>
    </row>
    <row r="307" spans="1:4" x14ac:dyDescent="0.25">
      <c r="A307" s="111">
        <v>306</v>
      </c>
      <c r="B307" s="112" t="s">
        <v>1054</v>
      </c>
      <c r="C307" s="118" t="s">
        <v>1119</v>
      </c>
      <c r="D307" s="114">
        <v>0</v>
      </c>
    </row>
    <row r="308" spans="1:4" x14ac:dyDescent="0.25">
      <c r="A308" s="111">
        <v>307</v>
      </c>
      <c r="B308" s="127" t="s">
        <v>735</v>
      </c>
      <c r="C308" s="128" t="s">
        <v>431</v>
      </c>
      <c r="D308" s="114">
        <v>0</v>
      </c>
    </row>
    <row r="309" spans="1:4" x14ac:dyDescent="0.25">
      <c r="A309" s="111">
        <v>308</v>
      </c>
      <c r="B309" s="115" t="s">
        <v>727</v>
      </c>
      <c r="C309" s="118" t="s">
        <v>1122</v>
      </c>
      <c r="D309" s="114">
        <v>0</v>
      </c>
    </row>
    <row r="310" spans="1:4" x14ac:dyDescent="0.25">
      <c r="A310" s="111">
        <v>309</v>
      </c>
      <c r="B310" s="127" t="s">
        <v>722</v>
      </c>
      <c r="C310" s="128" t="s">
        <v>1122</v>
      </c>
      <c r="D310" s="114">
        <v>0</v>
      </c>
    </row>
    <row r="311" spans="1:4" x14ac:dyDescent="0.25">
      <c r="A311" s="111">
        <v>310</v>
      </c>
      <c r="B311" s="115" t="s">
        <v>888</v>
      </c>
      <c r="C311" s="113" t="s">
        <v>1119</v>
      </c>
      <c r="D311" s="114">
        <v>0</v>
      </c>
    </row>
    <row r="312" spans="1:4" x14ac:dyDescent="0.25">
      <c r="A312" s="111">
        <v>311</v>
      </c>
      <c r="B312" s="129" t="s">
        <v>732</v>
      </c>
      <c r="C312" s="128" t="s">
        <v>1122</v>
      </c>
      <c r="D312" s="114">
        <v>0</v>
      </c>
    </row>
    <row r="313" spans="1:4" x14ac:dyDescent="0.25">
      <c r="A313" s="111">
        <v>312</v>
      </c>
      <c r="B313" s="125" t="s">
        <v>972</v>
      </c>
      <c r="C313" s="124" t="s">
        <v>1119</v>
      </c>
      <c r="D313" s="114">
        <v>0</v>
      </c>
    </row>
    <row r="314" spans="1:4" x14ac:dyDescent="0.25">
      <c r="A314" s="111">
        <v>313</v>
      </c>
      <c r="B314" s="115" t="s">
        <v>763</v>
      </c>
      <c r="C314" s="121" t="s">
        <v>1119</v>
      </c>
      <c r="D314" s="114">
        <v>0</v>
      </c>
    </row>
    <row r="315" spans="1:4" x14ac:dyDescent="0.25">
      <c r="A315" s="111">
        <v>314</v>
      </c>
      <c r="B315" s="125" t="s">
        <v>515</v>
      </c>
      <c r="C315" s="124" t="s">
        <v>1119</v>
      </c>
      <c r="D315" s="114">
        <v>0</v>
      </c>
    </row>
    <row r="316" spans="1:4" x14ac:dyDescent="0.25">
      <c r="A316" s="111">
        <v>315</v>
      </c>
      <c r="B316" s="129" t="s">
        <v>602</v>
      </c>
      <c r="C316" s="128" t="s">
        <v>166</v>
      </c>
      <c r="D316" s="114">
        <v>0</v>
      </c>
    </row>
    <row r="317" spans="1:4" x14ac:dyDescent="0.25">
      <c r="A317" s="111">
        <v>316</v>
      </c>
      <c r="B317" s="127" t="s">
        <v>500</v>
      </c>
      <c r="C317" s="124" t="s">
        <v>1121</v>
      </c>
      <c r="D317" s="114">
        <v>0</v>
      </c>
    </row>
    <row r="318" spans="1:4" x14ac:dyDescent="0.25">
      <c r="A318" s="111">
        <v>317</v>
      </c>
      <c r="B318" s="123" t="s">
        <v>709</v>
      </c>
      <c r="C318" s="124" t="s">
        <v>1121</v>
      </c>
      <c r="D318" s="114">
        <v>0</v>
      </c>
    </row>
    <row r="319" spans="1:4" x14ac:dyDescent="0.25">
      <c r="A319" s="111">
        <v>318</v>
      </c>
      <c r="B319" s="31" t="s">
        <v>1172</v>
      </c>
      <c r="C319" s="113" t="s">
        <v>1119</v>
      </c>
      <c r="D319" s="114">
        <v>0</v>
      </c>
    </row>
    <row r="320" spans="1:4" x14ac:dyDescent="0.25">
      <c r="A320" s="111">
        <v>319</v>
      </c>
      <c r="B320" s="120" t="s">
        <v>728</v>
      </c>
      <c r="C320" s="116" t="s">
        <v>431</v>
      </c>
      <c r="D320" s="114">
        <v>0</v>
      </c>
    </row>
    <row r="321" spans="1:4" x14ac:dyDescent="0.25">
      <c r="A321" s="111">
        <v>320</v>
      </c>
      <c r="B321" s="129" t="s">
        <v>1173</v>
      </c>
      <c r="C321" s="126" t="s">
        <v>166</v>
      </c>
      <c r="D321" s="114">
        <v>0</v>
      </c>
    </row>
    <row r="322" spans="1:4" x14ac:dyDescent="0.25">
      <c r="A322" s="111">
        <v>321</v>
      </c>
      <c r="B322" s="129" t="s">
        <v>619</v>
      </c>
      <c r="C322" s="130" t="s">
        <v>166</v>
      </c>
      <c r="D322" s="114">
        <v>0</v>
      </c>
    </row>
    <row r="323" spans="1:4" x14ac:dyDescent="0.25">
      <c r="A323" s="111">
        <v>322</v>
      </c>
      <c r="B323" s="120" t="s">
        <v>618</v>
      </c>
      <c r="C323" s="121" t="s">
        <v>166</v>
      </c>
      <c r="D323" s="114">
        <v>0</v>
      </c>
    </row>
    <row r="324" spans="1:4" x14ac:dyDescent="0.25">
      <c r="A324" s="111">
        <v>323</v>
      </c>
      <c r="B324" s="112" t="s">
        <v>789</v>
      </c>
      <c r="C324" s="121" t="s">
        <v>166</v>
      </c>
      <c r="D324" s="114">
        <v>0</v>
      </c>
    </row>
    <row r="325" spans="1:4" x14ac:dyDescent="0.25">
      <c r="A325" s="111">
        <v>324</v>
      </c>
      <c r="B325" s="125" t="s">
        <v>1174</v>
      </c>
      <c r="C325" s="124" t="s">
        <v>166</v>
      </c>
      <c r="D325" s="114">
        <v>0</v>
      </c>
    </row>
    <row r="326" spans="1:4" x14ac:dyDescent="0.25">
      <c r="A326" s="111">
        <v>325</v>
      </c>
      <c r="B326" s="31" t="s">
        <v>851</v>
      </c>
      <c r="C326" s="113" t="s">
        <v>166</v>
      </c>
      <c r="D326" s="114">
        <v>0</v>
      </c>
    </row>
    <row r="327" spans="1:4" x14ac:dyDescent="0.25">
      <c r="A327" s="111">
        <v>326</v>
      </c>
      <c r="B327" s="132" t="s">
        <v>769</v>
      </c>
      <c r="C327" s="116" t="s">
        <v>166</v>
      </c>
      <c r="D327" s="114">
        <v>0</v>
      </c>
    </row>
    <row r="328" spans="1:4" x14ac:dyDescent="0.25">
      <c r="A328" s="111">
        <v>327</v>
      </c>
      <c r="B328" s="120" t="s">
        <v>462</v>
      </c>
      <c r="C328" s="116" t="s">
        <v>35</v>
      </c>
      <c r="D328" s="114">
        <v>0</v>
      </c>
    </row>
    <row r="329" spans="1:4" x14ac:dyDescent="0.25">
      <c r="A329" s="111">
        <v>328</v>
      </c>
      <c r="B329" s="31" t="s">
        <v>675</v>
      </c>
      <c r="C329" s="113" t="s">
        <v>35</v>
      </c>
      <c r="D329" s="114">
        <v>0</v>
      </c>
    </row>
    <row r="330" spans="1:4" x14ac:dyDescent="0.25">
      <c r="A330" s="111">
        <v>329</v>
      </c>
      <c r="B330" s="125" t="s">
        <v>1175</v>
      </c>
      <c r="C330" s="124" t="s">
        <v>1119</v>
      </c>
      <c r="D330" s="114">
        <v>0</v>
      </c>
    </row>
    <row r="331" spans="1:4" x14ac:dyDescent="0.25">
      <c r="A331" s="111">
        <v>330</v>
      </c>
      <c r="B331" s="123" t="s">
        <v>523</v>
      </c>
      <c r="C331" s="124" t="s">
        <v>1215</v>
      </c>
      <c r="D331" s="114">
        <v>0</v>
      </c>
    </row>
    <row r="332" spans="1:4" x14ac:dyDescent="0.25">
      <c r="A332" s="111">
        <v>331</v>
      </c>
      <c r="B332" s="123" t="s">
        <v>712</v>
      </c>
      <c r="C332" s="124" t="s">
        <v>1215</v>
      </c>
      <c r="D332" s="114">
        <v>0</v>
      </c>
    </row>
    <row r="333" spans="1:4" x14ac:dyDescent="0.25">
      <c r="A333" s="111">
        <v>332</v>
      </c>
      <c r="B333" s="123" t="s">
        <v>582</v>
      </c>
      <c r="C333" s="124" t="s">
        <v>1215</v>
      </c>
      <c r="D333" s="114">
        <v>0</v>
      </c>
    </row>
    <row r="334" spans="1:4" x14ac:dyDescent="0.25">
      <c r="A334" s="111">
        <v>333</v>
      </c>
      <c r="B334" s="123" t="s">
        <v>423</v>
      </c>
      <c r="C334" s="124" t="s">
        <v>1119</v>
      </c>
      <c r="D334" s="114">
        <v>0</v>
      </c>
    </row>
    <row r="335" spans="1:4" x14ac:dyDescent="0.25">
      <c r="A335" s="111">
        <v>334</v>
      </c>
      <c r="B335" s="31" t="s">
        <v>1176</v>
      </c>
      <c r="C335" s="113" t="s">
        <v>1119</v>
      </c>
      <c r="D335" s="114">
        <v>0</v>
      </c>
    </row>
    <row r="336" spans="1:4" x14ac:dyDescent="0.25">
      <c r="A336" s="111">
        <v>335</v>
      </c>
      <c r="B336" s="127" t="s">
        <v>1177</v>
      </c>
      <c r="C336" s="124" t="s">
        <v>1215</v>
      </c>
      <c r="D336" s="114">
        <v>0</v>
      </c>
    </row>
    <row r="337" spans="1:4" x14ac:dyDescent="0.25">
      <c r="A337" s="111">
        <v>336</v>
      </c>
      <c r="B337" s="123" t="s">
        <v>1178</v>
      </c>
      <c r="C337" s="124" t="s">
        <v>1215</v>
      </c>
      <c r="D337" s="114">
        <v>0</v>
      </c>
    </row>
    <row r="338" spans="1:4" x14ac:dyDescent="0.25">
      <c r="A338" s="111">
        <v>337</v>
      </c>
      <c r="B338" s="123" t="s">
        <v>613</v>
      </c>
      <c r="C338" s="124" t="s">
        <v>1215</v>
      </c>
      <c r="D338" s="114">
        <v>0</v>
      </c>
    </row>
    <row r="339" spans="1:4" ht="15.95" customHeight="1" x14ac:dyDescent="0.25">
      <c r="A339" s="111">
        <v>338</v>
      </c>
      <c r="B339" s="129" t="s">
        <v>468</v>
      </c>
      <c r="C339" s="128" t="s">
        <v>1119</v>
      </c>
      <c r="D339" s="114">
        <v>0</v>
      </c>
    </row>
    <row r="340" spans="1:4" x14ac:dyDescent="0.25">
      <c r="A340" s="111">
        <v>339</v>
      </c>
      <c r="B340" s="31" t="s">
        <v>636</v>
      </c>
      <c r="C340" s="113" t="s">
        <v>1215</v>
      </c>
      <c r="D340" s="114">
        <v>0</v>
      </c>
    </row>
    <row r="341" spans="1:4" x14ac:dyDescent="0.25">
      <c r="A341" s="111">
        <v>340</v>
      </c>
      <c r="B341" s="31" t="s">
        <v>608</v>
      </c>
      <c r="C341" s="113" t="s">
        <v>1215</v>
      </c>
      <c r="D341" s="114">
        <v>0</v>
      </c>
    </row>
    <row r="342" spans="1:4" x14ac:dyDescent="0.25">
      <c r="A342" s="111">
        <v>341</v>
      </c>
      <c r="B342" s="127" t="s">
        <v>1179</v>
      </c>
      <c r="C342" s="124" t="s">
        <v>1215</v>
      </c>
      <c r="D342" s="114">
        <v>0</v>
      </c>
    </row>
    <row r="343" spans="1:4" x14ac:dyDescent="0.25">
      <c r="A343" s="111">
        <v>342</v>
      </c>
      <c r="B343" s="123" t="s">
        <v>770</v>
      </c>
      <c r="C343" s="124" t="s">
        <v>1215</v>
      </c>
      <c r="D343" s="114">
        <v>0</v>
      </c>
    </row>
    <row r="344" spans="1:4" x14ac:dyDescent="0.25">
      <c r="A344" s="111">
        <v>343</v>
      </c>
      <c r="B344" s="133" t="s">
        <v>876</v>
      </c>
      <c r="C344" s="130" t="s">
        <v>1215</v>
      </c>
      <c r="D344" s="114">
        <v>0.05</v>
      </c>
    </row>
    <row r="345" spans="1:4" x14ac:dyDescent="0.25">
      <c r="A345" s="111">
        <v>344</v>
      </c>
      <c r="B345" s="123" t="s">
        <v>1180</v>
      </c>
      <c r="C345" s="124" t="s">
        <v>1215</v>
      </c>
      <c r="D345" s="114">
        <v>0.05</v>
      </c>
    </row>
    <row r="346" spans="1:4" x14ac:dyDescent="0.25">
      <c r="A346" s="111">
        <v>345</v>
      </c>
      <c r="B346" s="125" t="s">
        <v>1181</v>
      </c>
      <c r="C346" s="130" t="s">
        <v>1215</v>
      </c>
      <c r="D346" s="114">
        <v>0.05</v>
      </c>
    </row>
    <row r="347" spans="1:4" x14ac:dyDescent="0.25">
      <c r="A347" s="111">
        <v>346</v>
      </c>
      <c r="B347" s="31" t="s">
        <v>590</v>
      </c>
      <c r="C347" s="113" t="s">
        <v>1215</v>
      </c>
      <c r="D347" s="114">
        <v>0.05</v>
      </c>
    </row>
    <row r="348" spans="1:4" x14ac:dyDescent="0.25">
      <c r="A348" s="111">
        <v>347</v>
      </c>
      <c r="B348" s="31" t="s">
        <v>674</v>
      </c>
      <c r="C348" s="113" t="s">
        <v>1122</v>
      </c>
      <c r="D348" s="114">
        <v>0</v>
      </c>
    </row>
    <row r="349" spans="1:4" x14ac:dyDescent="0.25">
      <c r="A349" s="111">
        <v>348</v>
      </c>
      <c r="B349" s="125" t="s">
        <v>843</v>
      </c>
      <c r="C349" s="124" t="s">
        <v>1119</v>
      </c>
      <c r="D349" s="114">
        <v>0</v>
      </c>
    </row>
    <row r="350" spans="1:4" x14ac:dyDescent="0.25">
      <c r="A350" s="111">
        <v>349</v>
      </c>
      <c r="B350" s="112" t="s">
        <v>1055</v>
      </c>
      <c r="C350" s="113" t="s">
        <v>1122</v>
      </c>
      <c r="D350" s="114">
        <v>0</v>
      </c>
    </row>
    <row r="351" spans="1:4" x14ac:dyDescent="0.25">
      <c r="A351" s="111">
        <v>350</v>
      </c>
      <c r="B351" s="112" t="s">
        <v>994</v>
      </c>
      <c r="C351" s="124" t="s">
        <v>1119</v>
      </c>
      <c r="D351" s="114">
        <v>0</v>
      </c>
    </row>
    <row r="352" spans="1:4" x14ac:dyDescent="0.25">
      <c r="A352" s="111">
        <v>351</v>
      </c>
      <c r="B352" s="123" t="s">
        <v>454</v>
      </c>
      <c r="C352" s="124" t="s">
        <v>431</v>
      </c>
      <c r="D352" s="114">
        <v>0</v>
      </c>
    </row>
    <row r="353" spans="1:4" x14ac:dyDescent="0.25">
      <c r="A353" s="111">
        <v>352</v>
      </c>
      <c r="B353" s="125" t="s">
        <v>837</v>
      </c>
      <c r="C353" s="124" t="s">
        <v>431</v>
      </c>
      <c r="D353" s="114">
        <v>0</v>
      </c>
    </row>
    <row r="354" spans="1:4" x14ac:dyDescent="0.25">
      <c r="A354" s="111">
        <v>353</v>
      </c>
      <c r="B354" s="112" t="s">
        <v>847</v>
      </c>
      <c r="C354" s="113" t="s">
        <v>431</v>
      </c>
      <c r="D354" s="114">
        <v>0</v>
      </c>
    </row>
    <row r="355" spans="1:4" x14ac:dyDescent="0.25">
      <c r="A355" s="111">
        <v>354</v>
      </c>
      <c r="B355" s="123" t="s">
        <v>598</v>
      </c>
      <c r="C355" s="124" t="s">
        <v>166</v>
      </c>
      <c r="D355" s="114">
        <v>0</v>
      </c>
    </row>
    <row r="356" spans="1:4" x14ac:dyDescent="0.25">
      <c r="A356" s="111">
        <v>355</v>
      </c>
      <c r="B356" s="125" t="s">
        <v>1182</v>
      </c>
      <c r="C356" s="124" t="s">
        <v>166</v>
      </c>
      <c r="D356" s="114">
        <v>0</v>
      </c>
    </row>
    <row r="357" spans="1:4" x14ac:dyDescent="0.25">
      <c r="A357" s="111">
        <v>356</v>
      </c>
      <c r="B357" s="125" t="s">
        <v>1183</v>
      </c>
      <c r="C357" s="124" t="s">
        <v>166</v>
      </c>
      <c r="D357" s="114">
        <v>0</v>
      </c>
    </row>
    <row r="358" spans="1:4" x14ac:dyDescent="0.25">
      <c r="A358" s="111">
        <v>357</v>
      </c>
      <c r="B358" s="120" t="s">
        <v>852</v>
      </c>
      <c r="C358" s="113" t="s">
        <v>166</v>
      </c>
      <c r="D358" s="114">
        <v>0</v>
      </c>
    </row>
    <row r="359" spans="1:4" x14ac:dyDescent="0.25">
      <c r="A359" s="111">
        <v>358</v>
      </c>
      <c r="B359" s="112" t="s">
        <v>849</v>
      </c>
      <c r="C359" s="113" t="s">
        <v>1119</v>
      </c>
      <c r="D359" s="114">
        <v>0</v>
      </c>
    </row>
    <row r="360" spans="1:4" x14ac:dyDescent="0.25">
      <c r="A360" s="111">
        <v>359</v>
      </c>
      <c r="B360" s="131" t="s">
        <v>804</v>
      </c>
      <c r="C360" s="126" t="s">
        <v>1215</v>
      </c>
      <c r="D360" s="114">
        <v>0</v>
      </c>
    </row>
    <row r="361" spans="1:4" x14ac:dyDescent="0.25">
      <c r="A361" s="111">
        <v>360</v>
      </c>
      <c r="B361" s="127" t="s">
        <v>800</v>
      </c>
      <c r="C361" s="130" t="s">
        <v>1121</v>
      </c>
      <c r="D361" s="114">
        <v>0</v>
      </c>
    </row>
    <row r="362" spans="1:4" x14ac:dyDescent="0.25">
      <c r="A362" s="111">
        <v>361</v>
      </c>
      <c r="B362" s="112" t="s">
        <v>1184</v>
      </c>
      <c r="C362" s="113" t="s">
        <v>1121</v>
      </c>
      <c r="D362" s="114">
        <v>0</v>
      </c>
    </row>
    <row r="363" spans="1:4" x14ac:dyDescent="0.25">
      <c r="A363" s="111">
        <v>362</v>
      </c>
      <c r="B363" s="131" t="s">
        <v>1000</v>
      </c>
      <c r="C363" s="126" t="s">
        <v>1121</v>
      </c>
      <c r="D363" s="114">
        <v>0</v>
      </c>
    </row>
    <row r="364" spans="1:4" x14ac:dyDescent="0.25">
      <c r="A364" s="111">
        <v>363</v>
      </c>
      <c r="B364" s="127" t="s">
        <v>743</v>
      </c>
      <c r="C364" s="128" t="s">
        <v>1121</v>
      </c>
      <c r="D364" s="114">
        <v>0</v>
      </c>
    </row>
    <row r="365" spans="1:4" x14ac:dyDescent="0.25">
      <c r="A365" s="111">
        <v>364</v>
      </c>
      <c r="B365" s="120" t="s">
        <v>733</v>
      </c>
      <c r="C365" s="118" t="s">
        <v>1121</v>
      </c>
      <c r="D365" s="114">
        <v>0</v>
      </c>
    </row>
    <row r="366" spans="1:4" x14ac:dyDescent="0.25">
      <c r="A366" s="111">
        <v>365</v>
      </c>
      <c r="B366" s="31" t="s">
        <v>585</v>
      </c>
      <c r="C366" s="113" t="s">
        <v>1121</v>
      </c>
      <c r="D366" s="114">
        <v>0</v>
      </c>
    </row>
    <row r="367" spans="1:4" x14ac:dyDescent="0.25">
      <c r="A367" s="111">
        <v>366</v>
      </c>
      <c r="B367" s="125" t="s">
        <v>1185</v>
      </c>
      <c r="C367" s="124" t="s">
        <v>1121</v>
      </c>
      <c r="D367" s="114">
        <v>0</v>
      </c>
    </row>
    <row r="368" spans="1:4" x14ac:dyDescent="0.25">
      <c r="A368" s="111">
        <v>367</v>
      </c>
      <c r="B368" s="123" t="s">
        <v>680</v>
      </c>
      <c r="C368" s="124" t="s">
        <v>1121</v>
      </c>
      <c r="D368" s="114">
        <v>0</v>
      </c>
    </row>
    <row r="369" spans="1:4" x14ac:dyDescent="0.25">
      <c r="A369" s="111">
        <v>368</v>
      </c>
      <c r="B369" s="123" t="s">
        <v>632</v>
      </c>
      <c r="C369" s="124" t="s">
        <v>1121</v>
      </c>
      <c r="D369" s="114">
        <v>0</v>
      </c>
    </row>
    <row r="370" spans="1:4" x14ac:dyDescent="0.25">
      <c r="A370" s="111">
        <v>369</v>
      </c>
      <c r="B370" s="31" t="s">
        <v>1013</v>
      </c>
      <c r="C370" s="113" t="s">
        <v>1121</v>
      </c>
      <c r="D370" s="114">
        <v>0</v>
      </c>
    </row>
    <row r="371" spans="1:4" x14ac:dyDescent="0.25">
      <c r="A371" s="111">
        <v>370</v>
      </c>
      <c r="B371" s="125" t="s">
        <v>774</v>
      </c>
      <c r="C371" s="130" t="s">
        <v>1215</v>
      </c>
      <c r="D371" s="114">
        <v>0</v>
      </c>
    </row>
    <row r="372" spans="1:4" x14ac:dyDescent="0.25">
      <c r="A372" s="111">
        <v>371</v>
      </c>
      <c r="B372" s="31" t="s">
        <v>701</v>
      </c>
      <c r="C372" s="113" t="s">
        <v>1119</v>
      </c>
      <c r="D372" s="114">
        <v>0</v>
      </c>
    </row>
    <row r="373" spans="1:4" x14ac:dyDescent="0.25">
      <c r="A373" s="111">
        <v>372</v>
      </c>
      <c r="B373" s="31" t="s">
        <v>564</v>
      </c>
      <c r="C373" s="113" t="s">
        <v>1215</v>
      </c>
      <c r="D373" s="114">
        <v>0</v>
      </c>
    </row>
    <row r="374" spans="1:4" x14ac:dyDescent="0.25">
      <c r="A374" s="111">
        <v>373</v>
      </c>
      <c r="B374" s="31" t="s">
        <v>568</v>
      </c>
      <c r="C374" s="113" t="s">
        <v>1215</v>
      </c>
      <c r="D374" s="114">
        <v>0</v>
      </c>
    </row>
    <row r="375" spans="1:4" x14ac:dyDescent="0.25">
      <c r="A375" s="111">
        <v>374</v>
      </c>
      <c r="B375" s="31" t="s">
        <v>1002</v>
      </c>
      <c r="C375" s="113" t="s">
        <v>1215</v>
      </c>
      <c r="D375" s="114">
        <v>0</v>
      </c>
    </row>
    <row r="376" spans="1:4" x14ac:dyDescent="0.25">
      <c r="A376" s="111">
        <v>375</v>
      </c>
      <c r="B376" s="31" t="s">
        <v>1011</v>
      </c>
      <c r="C376" s="113" t="s">
        <v>1215</v>
      </c>
      <c r="D376" s="114">
        <v>0</v>
      </c>
    </row>
    <row r="377" spans="1:4" x14ac:dyDescent="0.25">
      <c r="A377" s="111">
        <v>376</v>
      </c>
      <c r="B377" s="31" t="s">
        <v>1186</v>
      </c>
      <c r="C377" s="113" t="s">
        <v>1215</v>
      </c>
      <c r="D377" s="114">
        <v>0</v>
      </c>
    </row>
    <row r="378" spans="1:4" x14ac:dyDescent="0.25">
      <c r="A378" s="111">
        <v>377</v>
      </c>
      <c r="B378" s="125" t="s">
        <v>995</v>
      </c>
      <c r="C378" s="124" t="s">
        <v>1215</v>
      </c>
      <c r="D378" s="114">
        <v>0</v>
      </c>
    </row>
    <row r="379" spans="1:4" x14ac:dyDescent="0.25">
      <c r="A379" s="111">
        <v>378</v>
      </c>
      <c r="B379" s="127" t="s">
        <v>1187</v>
      </c>
      <c r="C379" s="124" t="s">
        <v>1215</v>
      </c>
      <c r="D379" s="114">
        <v>0</v>
      </c>
    </row>
    <row r="380" spans="1:4" x14ac:dyDescent="0.25">
      <c r="A380" s="111">
        <v>379</v>
      </c>
      <c r="B380" s="123" t="s">
        <v>657</v>
      </c>
      <c r="C380" s="124" t="s">
        <v>1121</v>
      </c>
      <c r="D380" s="114">
        <v>0</v>
      </c>
    </row>
    <row r="381" spans="1:4" x14ac:dyDescent="0.25">
      <c r="A381" s="111">
        <v>380</v>
      </c>
      <c r="B381" s="123" t="s">
        <v>686</v>
      </c>
      <c r="C381" s="124" t="s">
        <v>35</v>
      </c>
      <c r="D381" s="114">
        <v>0</v>
      </c>
    </row>
    <row r="382" spans="1:4" x14ac:dyDescent="0.25">
      <c r="A382" s="111">
        <v>381</v>
      </c>
      <c r="B382" s="125" t="s">
        <v>1188</v>
      </c>
      <c r="C382" s="124" t="s">
        <v>1119</v>
      </c>
      <c r="D382" s="114">
        <v>0</v>
      </c>
    </row>
    <row r="383" spans="1:4" x14ac:dyDescent="0.25">
      <c r="A383" s="111">
        <v>382</v>
      </c>
      <c r="B383" s="123" t="s">
        <v>669</v>
      </c>
      <c r="C383" s="124" t="s">
        <v>1215</v>
      </c>
      <c r="D383" s="114">
        <v>0</v>
      </c>
    </row>
    <row r="384" spans="1:4" x14ac:dyDescent="0.25">
      <c r="A384" s="111">
        <v>383</v>
      </c>
      <c r="B384" s="123" t="s">
        <v>593</v>
      </c>
      <c r="C384" s="124" t="s">
        <v>1215</v>
      </c>
      <c r="D384" s="114">
        <v>0</v>
      </c>
    </row>
    <row r="385" spans="1:4" x14ac:dyDescent="0.25">
      <c r="A385" s="111">
        <v>384</v>
      </c>
      <c r="B385" s="129" t="s">
        <v>854</v>
      </c>
      <c r="C385" s="124" t="s">
        <v>1119</v>
      </c>
      <c r="D385" s="114">
        <v>0</v>
      </c>
    </row>
    <row r="386" spans="1:4" x14ac:dyDescent="0.25">
      <c r="A386" s="111">
        <v>385</v>
      </c>
      <c r="B386" s="125" t="s">
        <v>1189</v>
      </c>
      <c r="C386" s="126" t="s">
        <v>1120</v>
      </c>
      <c r="D386" s="114">
        <v>0</v>
      </c>
    </row>
    <row r="387" spans="1:4" x14ac:dyDescent="0.25">
      <c r="A387" s="111">
        <v>386</v>
      </c>
      <c r="B387" s="125" t="s">
        <v>1190</v>
      </c>
      <c r="C387" s="124" t="s">
        <v>1120</v>
      </c>
      <c r="D387" s="114">
        <v>0</v>
      </c>
    </row>
    <row r="388" spans="1:4" x14ac:dyDescent="0.25">
      <c r="A388" s="111">
        <v>387</v>
      </c>
      <c r="B388" s="112" t="s">
        <v>1191</v>
      </c>
      <c r="C388" s="113" t="s">
        <v>1120</v>
      </c>
      <c r="D388" s="114">
        <v>0</v>
      </c>
    </row>
    <row r="389" spans="1:4" x14ac:dyDescent="0.25">
      <c r="A389" s="111">
        <v>388</v>
      </c>
      <c r="B389" s="31" t="s">
        <v>488</v>
      </c>
      <c r="C389" s="113" t="s">
        <v>1119</v>
      </c>
      <c r="D389" s="114">
        <v>0</v>
      </c>
    </row>
    <row r="390" spans="1:4" x14ac:dyDescent="0.25">
      <c r="A390" s="111">
        <v>389</v>
      </c>
      <c r="B390" s="125" t="s">
        <v>1192</v>
      </c>
      <c r="C390" s="124" t="s">
        <v>166</v>
      </c>
      <c r="D390" s="114">
        <v>0</v>
      </c>
    </row>
    <row r="391" spans="1:4" x14ac:dyDescent="0.25">
      <c r="A391" s="111">
        <v>390</v>
      </c>
      <c r="B391" s="31" t="s">
        <v>546</v>
      </c>
      <c r="C391" s="113" t="s">
        <v>1215</v>
      </c>
      <c r="D391" s="114">
        <v>0</v>
      </c>
    </row>
    <row r="392" spans="1:4" x14ac:dyDescent="0.25">
      <c r="A392" s="111">
        <v>391</v>
      </c>
      <c r="B392" s="31" t="s">
        <v>694</v>
      </c>
      <c r="C392" s="113" t="s">
        <v>1215</v>
      </c>
      <c r="D392" s="114">
        <v>0</v>
      </c>
    </row>
    <row r="393" spans="1:4" x14ac:dyDescent="0.25">
      <c r="A393" s="111">
        <v>392</v>
      </c>
      <c r="B393" s="129" t="s">
        <v>464</v>
      </c>
      <c r="C393" s="128" t="s">
        <v>1215</v>
      </c>
      <c r="D393" s="114">
        <v>0</v>
      </c>
    </row>
    <row r="394" spans="1:4" x14ac:dyDescent="0.25">
      <c r="A394" s="111">
        <v>393</v>
      </c>
      <c r="B394" s="123" t="s">
        <v>476</v>
      </c>
      <c r="C394" s="124" t="s">
        <v>1215</v>
      </c>
      <c r="D394" s="114">
        <v>0</v>
      </c>
    </row>
    <row r="395" spans="1:4" x14ac:dyDescent="0.25">
      <c r="A395" s="111">
        <v>394</v>
      </c>
      <c r="B395" s="127" t="s">
        <v>932</v>
      </c>
      <c r="C395" s="124" t="s">
        <v>1119</v>
      </c>
      <c r="D395" s="114">
        <v>0</v>
      </c>
    </row>
    <row r="396" spans="1:4" x14ac:dyDescent="0.25">
      <c r="A396" s="111">
        <v>395</v>
      </c>
      <c r="B396" s="127" t="s">
        <v>1193</v>
      </c>
      <c r="C396" s="124" t="s">
        <v>1119</v>
      </c>
      <c r="D396" s="114">
        <v>0</v>
      </c>
    </row>
    <row r="397" spans="1:4" x14ac:dyDescent="0.25">
      <c r="A397" s="111">
        <v>396</v>
      </c>
      <c r="B397" s="120" t="s">
        <v>730</v>
      </c>
      <c r="C397" s="118" t="s">
        <v>1119</v>
      </c>
      <c r="D397" s="114">
        <v>0</v>
      </c>
    </row>
    <row r="398" spans="1:4" x14ac:dyDescent="0.25">
      <c r="A398" s="111">
        <v>397</v>
      </c>
      <c r="B398" s="125" t="s">
        <v>1194</v>
      </c>
      <c r="C398" s="118" t="s">
        <v>1119</v>
      </c>
      <c r="D398" s="114">
        <v>0</v>
      </c>
    </row>
    <row r="399" spans="1:4" x14ac:dyDescent="0.25">
      <c r="A399" s="111">
        <v>398</v>
      </c>
      <c r="B399" s="127" t="s">
        <v>1195</v>
      </c>
      <c r="C399" s="118" t="s">
        <v>1119</v>
      </c>
      <c r="D399" s="114">
        <v>0</v>
      </c>
    </row>
    <row r="400" spans="1:4" x14ac:dyDescent="0.25">
      <c r="A400" s="111">
        <v>399</v>
      </c>
      <c r="B400" s="125" t="s">
        <v>1032</v>
      </c>
      <c r="C400" s="118" t="s">
        <v>1119</v>
      </c>
      <c r="D400" s="114">
        <v>0</v>
      </c>
    </row>
    <row r="401" spans="1:4" x14ac:dyDescent="0.25">
      <c r="A401" s="111">
        <v>400</v>
      </c>
      <c r="B401" s="112" t="s">
        <v>1196</v>
      </c>
      <c r="C401" s="113" t="s">
        <v>166</v>
      </c>
      <c r="D401" s="114">
        <v>0</v>
      </c>
    </row>
    <row r="402" spans="1:4" x14ac:dyDescent="0.25">
      <c r="A402" s="111">
        <v>401</v>
      </c>
      <c r="B402" s="112" t="s">
        <v>536</v>
      </c>
      <c r="C402" s="113" t="s">
        <v>166</v>
      </c>
      <c r="D402" s="114">
        <v>0</v>
      </c>
    </row>
    <row r="403" spans="1:4" x14ac:dyDescent="0.25">
      <c r="A403" s="111">
        <v>402</v>
      </c>
      <c r="B403" s="123" t="s">
        <v>528</v>
      </c>
      <c r="C403" s="124" t="s">
        <v>166</v>
      </c>
      <c r="D403" s="114">
        <v>0</v>
      </c>
    </row>
    <row r="404" spans="1:4" x14ac:dyDescent="0.25">
      <c r="A404" s="111">
        <v>403</v>
      </c>
      <c r="B404" s="112" t="s">
        <v>1197</v>
      </c>
      <c r="C404" s="113" t="s">
        <v>166</v>
      </c>
      <c r="D404" s="114">
        <v>0</v>
      </c>
    </row>
    <row r="405" spans="1:4" x14ac:dyDescent="0.25">
      <c r="A405" s="111">
        <v>404</v>
      </c>
      <c r="B405" s="125" t="s">
        <v>1198</v>
      </c>
      <c r="C405" s="124" t="s">
        <v>1119</v>
      </c>
      <c r="D405" s="114">
        <v>0</v>
      </c>
    </row>
    <row r="406" spans="1:4" x14ac:dyDescent="0.25">
      <c r="A406" s="111">
        <v>405</v>
      </c>
      <c r="B406" s="31" t="s">
        <v>662</v>
      </c>
      <c r="C406" s="113" t="s">
        <v>1215</v>
      </c>
      <c r="D406" s="114">
        <v>0</v>
      </c>
    </row>
    <row r="407" spans="1:4" x14ac:dyDescent="0.25">
      <c r="A407" s="111">
        <v>406</v>
      </c>
      <c r="B407" s="31" t="s">
        <v>737</v>
      </c>
      <c r="C407" s="113" t="s">
        <v>1215</v>
      </c>
      <c r="D407" s="114">
        <v>0</v>
      </c>
    </row>
    <row r="408" spans="1:4" x14ac:dyDescent="0.25">
      <c r="A408" s="111">
        <v>407</v>
      </c>
      <c r="B408" s="123" t="s">
        <v>1003</v>
      </c>
      <c r="C408" s="124" t="s">
        <v>1215</v>
      </c>
      <c r="D408" s="114">
        <v>0</v>
      </c>
    </row>
    <row r="409" spans="1:4" x14ac:dyDescent="0.25">
      <c r="A409" s="111">
        <v>408</v>
      </c>
      <c r="B409" s="112" t="s">
        <v>982</v>
      </c>
      <c r="C409" s="113" t="s">
        <v>1215</v>
      </c>
      <c r="D409" s="114">
        <v>0</v>
      </c>
    </row>
    <row r="410" spans="1:4" x14ac:dyDescent="0.25">
      <c r="A410" s="111">
        <v>409</v>
      </c>
      <c r="B410" s="120" t="s">
        <v>855</v>
      </c>
      <c r="C410" s="113" t="s">
        <v>1119</v>
      </c>
      <c r="D410" s="114">
        <v>0</v>
      </c>
    </row>
    <row r="411" spans="1:4" x14ac:dyDescent="0.25">
      <c r="A411" s="111">
        <v>410</v>
      </c>
      <c r="B411" s="120" t="s">
        <v>996</v>
      </c>
      <c r="C411" s="118" t="s">
        <v>1119</v>
      </c>
      <c r="D411" s="114">
        <v>0</v>
      </c>
    </row>
    <row r="412" spans="1:4" x14ac:dyDescent="0.25">
      <c r="A412" s="111">
        <v>411</v>
      </c>
      <c r="B412" s="129" t="s">
        <v>637</v>
      </c>
      <c r="C412" s="126" t="s">
        <v>1119</v>
      </c>
      <c r="D412" s="114">
        <v>0</v>
      </c>
    </row>
    <row r="413" spans="1:4" x14ac:dyDescent="0.25">
      <c r="A413" s="111">
        <v>412</v>
      </c>
      <c r="B413" s="129" t="s">
        <v>824</v>
      </c>
      <c r="C413" s="124" t="s">
        <v>1215</v>
      </c>
      <c r="D413" s="114">
        <v>0</v>
      </c>
    </row>
    <row r="414" spans="1:4" x14ac:dyDescent="0.25">
      <c r="A414" s="111">
        <v>413</v>
      </c>
      <c r="B414" s="125" t="s">
        <v>771</v>
      </c>
      <c r="C414" s="130" t="s">
        <v>1215</v>
      </c>
      <c r="D414" s="114">
        <v>0</v>
      </c>
    </row>
    <row r="415" spans="1:4" x14ac:dyDescent="0.25">
      <c r="A415" s="111">
        <v>414</v>
      </c>
      <c r="B415" s="112" t="s">
        <v>1053</v>
      </c>
      <c r="C415" s="121" t="s">
        <v>1215</v>
      </c>
      <c r="D415" s="114">
        <v>0</v>
      </c>
    </row>
    <row r="416" spans="1:4" x14ac:dyDescent="0.25">
      <c r="A416" s="111">
        <v>415</v>
      </c>
      <c r="B416" s="112" t="s">
        <v>842</v>
      </c>
      <c r="C416" s="113" t="s">
        <v>1215</v>
      </c>
      <c r="D416" s="114">
        <v>0</v>
      </c>
    </row>
    <row r="417" spans="1:4" x14ac:dyDescent="0.25">
      <c r="A417" s="111">
        <v>416</v>
      </c>
      <c r="B417" s="31" t="s">
        <v>716</v>
      </c>
      <c r="C417" s="113" t="s">
        <v>1215</v>
      </c>
      <c r="D417" s="114">
        <v>0</v>
      </c>
    </row>
    <row r="418" spans="1:4" x14ac:dyDescent="0.25">
      <c r="A418" s="111">
        <v>417</v>
      </c>
      <c r="B418" s="129" t="s">
        <v>741</v>
      </c>
      <c r="C418" s="128" t="s">
        <v>1122</v>
      </c>
      <c r="D418" s="114">
        <v>0</v>
      </c>
    </row>
    <row r="419" spans="1:4" x14ac:dyDescent="0.25">
      <c r="A419" s="111">
        <v>418</v>
      </c>
      <c r="B419" s="31" t="s">
        <v>1199</v>
      </c>
      <c r="C419" s="113" t="s">
        <v>1215</v>
      </c>
      <c r="D419" s="114">
        <v>0</v>
      </c>
    </row>
    <row r="420" spans="1:4" x14ac:dyDescent="0.25">
      <c r="A420" s="111">
        <v>419</v>
      </c>
      <c r="B420" s="123" t="s">
        <v>604</v>
      </c>
      <c r="C420" s="124" t="s">
        <v>166</v>
      </c>
      <c r="D420" s="114">
        <v>0</v>
      </c>
    </row>
    <row r="421" spans="1:4" x14ac:dyDescent="0.25">
      <c r="A421" s="111">
        <v>420</v>
      </c>
      <c r="B421" s="125" t="s">
        <v>989</v>
      </c>
      <c r="C421" s="124" t="s">
        <v>166</v>
      </c>
      <c r="D421" s="114">
        <v>0</v>
      </c>
    </row>
    <row r="422" spans="1:4" x14ac:dyDescent="0.25">
      <c r="A422" s="111">
        <v>421</v>
      </c>
      <c r="B422" s="123" t="s">
        <v>327</v>
      </c>
      <c r="C422" s="124" t="s">
        <v>1215</v>
      </c>
      <c r="D422" s="114">
        <v>0</v>
      </c>
    </row>
    <row r="423" spans="1:4" x14ac:dyDescent="0.25">
      <c r="A423" s="111">
        <v>422</v>
      </c>
      <c r="B423" s="31" t="s">
        <v>1015</v>
      </c>
      <c r="C423" s="124" t="s">
        <v>1215</v>
      </c>
      <c r="D423" s="114">
        <v>0</v>
      </c>
    </row>
    <row r="424" spans="1:4" x14ac:dyDescent="0.25">
      <c r="A424" s="111">
        <v>423</v>
      </c>
      <c r="B424" s="125" t="s">
        <v>815</v>
      </c>
      <c r="C424" s="124" t="s">
        <v>1215</v>
      </c>
      <c r="D424" s="114">
        <v>0</v>
      </c>
    </row>
    <row r="425" spans="1:4" x14ac:dyDescent="0.25">
      <c r="A425" s="111">
        <v>424</v>
      </c>
      <c r="B425" s="127" t="s">
        <v>807</v>
      </c>
      <c r="C425" s="124" t="s">
        <v>1215</v>
      </c>
      <c r="D425" s="114">
        <v>0</v>
      </c>
    </row>
    <row r="426" spans="1:4" x14ac:dyDescent="0.25">
      <c r="A426" s="111">
        <v>425</v>
      </c>
      <c r="B426" s="129" t="s">
        <v>761</v>
      </c>
      <c r="C426" s="128" t="s">
        <v>1122</v>
      </c>
      <c r="D426" s="114">
        <v>0</v>
      </c>
    </row>
    <row r="427" spans="1:4" x14ac:dyDescent="0.25">
      <c r="A427" s="111">
        <v>426</v>
      </c>
      <c r="B427" s="125" t="s">
        <v>1200</v>
      </c>
      <c r="C427" s="126" t="s">
        <v>1215</v>
      </c>
      <c r="D427" s="114">
        <v>0</v>
      </c>
    </row>
    <row r="428" spans="1:4" x14ac:dyDescent="0.25">
      <c r="A428" s="111">
        <v>427</v>
      </c>
      <c r="B428" s="115" t="s">
        <v>933</v>
      </c>
      <c r="C428" s="113" t="s">
        <v>1215</v>
      </c>
      <c r="D428" s="114">
        <v>0</v>
      </c>
    </row>
    <row r="429" spans="1:4" x14ac:dyDescent="0.25">
      <c r="A429" s="111">
        <v>428</v>
      </c>
      <c r="B429" s="125" t="s">
        <v>1201</v>
      </c>
      <c r="C429" s="124" t="s">
        <v>1215</v>
      </c>
      <c r="D429" s="114">
        <v>0</v>
      </c>
    </row>
    <row r="430" spans="1:4" x14ac:dyDescent="0.25">
      <c r="A430" s="111">
        <v>429</v>
      </c>
      <c r="B430" s="112" t="s">
        <v>545</v>
      </c>
      <c r="C430" s="113" t="s">
        <v>1122</v>
      </c>
      <c r="D430" s="114">
        <v>0</v>
      </c>
    </row>
    <row r="431" spans="1:4" x14ac:dyDescent="0.25">
      <c r="A431" s="111">
        <v>430</v>
      </c>
      <c r="B431" s="123" t="s">
        <v>544</v>
      </c>
      <c r="C431" s="124" t="s">
        <v>1215</v>
      </c>
      <c r="D431" s="114">
        <v>0</v>
      </c>
    </row>
    <row r="432" spans="1:4" x14ac:dyDescent="0.25">
      <c r="A432" s="111">
        <v>431</v>
      </c>
      <c r="B432" s="31" t="s">
        <v>1202</v>
      </c>
      <c r="C432" s="113" t="s">
        <v>1215</v>
      </c>
      <c r="D432" s="114">
        <v>0</v>
      </c>
    </row>
    <row r="433" spans="1:4" x14ac:dyDescent="0.25">
      <c r="A433" s="111">
        <v>432</v>
      </c>
      <c r="B433" s="31" t="s">
        <v>624</v>
      </c>
      <c r="C433" s="113" t="s">
        <v>1215</v>
      </c>
      <c r="D433" s="114">
        <v>0</v>
      </c>
    </row>
    <row r="434" spans="1:4" x14ac:dyDescent="0.25">
      <c r="A434" s="111">
        <v>433</v>
      </c>
      <c r="B434" s="127" t="s">
        <v>1203</v>
      </c>
      <c r="C434" s="124" t="s">
        <v>1215</v>
      </c>
      <c r="D434" s="114">
        <v>0</v>
      </c>
    </row>
    <row r="435" spans="1:4" x14ac:dyDescent="0.25">
      <c r="A435" s="111">
        <v>434</v>
      </c>
      <c r="B435" s="123" t="s">
        <v>563</v>
      </c>
      <c r="C435" s="124" t="s">
        <v>1119</v>
      </c>
      <c r="D435" s="114">
        <v>0</v>
      </c>
    </row>
    <row r="436" spans="1:4" x14ac:dyDescent="0.25">
      <c r="A436" s="111">
        <v>435</v>
      </c>
      <c r="B436" s="31" t="s">
        <v>1204</v>
      </c>
      <c r="C436" s="113" t="s">
        <v>1119</v>
      </c>
      <c r="D436" s="114">
        <v>0</v>
      </c>
    </row>
    <row r="437" spans="1:4" x14ac:dyDescent="0.25">
      <c r="A437" s="111">
        <v>436</v>
      </c>
      <c r="B437" s="129" t="s">
        <v>658</v>
      </c>
      <c r="C437" s="126" t="s">
        <v>1119</v>
      </c>
      <c r="D437" s="114">
        <v>0</v>
      </c>
    </row>
    <row r="438" spans="1:4" x14ac:dyDescent="0.25">
      <c r="A438" s="111">
        <v>437</v>
      </c>
      <c r="B438" s="120" t="s">
        <v>829</v>
      </c>
      <c r="C438" s="113" t="s">
        <v>1119</v>
      </c>
      <c r="D438" s="114">
        <v>0</v>
      </c>
    </row>
    <row r="439" spans="1:4" x14ac:dyDescent="0.25">
      <c r="A439" s="111">
        <v>438</v>
      </c>
      <c r="B439" s="120" t="s">
        <v>828</v>
      </c>
      <c r="C439" s="113" t="s">
        <v>1119</v>
      </c>
      <c r="D439" s="114">
        <v>0</v>
      </c>
    </row>
    <row r="440" spans="1:4" x14ac:dyDescent="0.25">
      <c r="A440" s="111">
        <v>439</v>
      </c>
      <c r="B440" s="123" t="s">
        <v>713</v>
      </c>
      <c r="C440" s="124" t="s">
        <v>1215</v>
      </c>
      <c r="D440" s="114">
        <v>0</v>
      </c>
    </row>
    <row r="441" spans="1:4" x14ac:dyDescent="0.25">
      <c r="A441" s="111">
        <v>440</v>
      </c>
      <c r="B441" s="115" t="s">
        <v>1205</v>
      </c>
      <c r="C441" s="113" t="s">
        <v>1215</v>
      </c>
      <c r="D441" s="114">
        <v>0</v>
      </c>
    </row>
    <row r="442" spans="1:4" x14ac:dyDescent="0.25">
      <c r="A442" s="111">
        <v>441</v>
      </c>
      <c r="B442" s="123" t="s">
        <v>483</v>
      </c>
      <c r="C442" s="124" t="s">
        <v>1119</v>
      </c>
      <c r="D442" s="114">
        <v>0</v>
      </c>
    </row>
    <row r="443" spans="1:4" x14ac:dyDescent="0.25">
      <c r="A443" s="111">
        <v>442</v>
      </c>
      <c r="B443" s="127" t="s">
        <v>1206</v>
      </c>
      <c r="C443" s="124" t="s">
        <v>1119</v>
      </c>
      <c r="D443" s="114">
        <v>0</v>
      </c>
    </row>
    <row r="444" spans="1:4" x14ac:dyDescent="0.25">
      <c r="A444" s="111">
        <v>443</v>
      </c>
      <c r="B444" s="115" t="s">
        <v>1207</v>
      </c>
      <c r="C444" s="113" t="s">
        <v>1119</v>
      </c>
      <c r="D444" s="114">
        <v>0</v>
      </c>
    </row>
    <row r="445" spans="1:4" x14ac:dyDescent="0.25">
      <c r="A445" s="111">
        <v>444</v>
      </c>
      <c r="B445" s="123" t="s">
        <v>578</v>
      </c>
      <c r="C445" s="124" t="s">
        <v>1119</v>
      </c>
      <c r="D445" s="114">
        <v>0</v>
      </c>
    </row>
    <row r="446" spans="1:4" x14ac:dyDescent="0.25">
      <c r="A446" s="111">
        <v>445</v>
      </c>
      <c r="B446" s="127" t="s">
        <v>889</v>
      </c>
      <c r="C446" s="124" t="s">
        <v>1119</v>
      </c>
      <c r="D446" s="114">
        <v>0</v>
      </c>
    </row>
    <row r="447" spans="1:4" x14ac:dyDescent="0.25">
      <c r="A447" s="111">
        <v>446</v>
      </c>
      <c r="B447" s="133" t="s">
        <v>757</v>
      </c>
      <c r="C447" s="128" t="s">
        <v>1119</v>
      </c>
      <c r="D447" s="114">
        <v>0</v>
      </c>
    </row>
    <row r="448" spans="1:4" x14ac:dyDescent="0.25">
      <c r="A448" s="111">
        <v>447</v>
      </c>
      <c r="B448" s="117" t="s">
        <v>1023</v>
      </c>
      <c r="C448" s="118" t="s">
        <v>1119</v>
      </c>
      <c r="D448" s="114">
        <v>0</v>
      </c>
    </row>
    <row r="449" spans="1:4" x14ac:dyDescent="0.25">
      <c r="A449" s="111">
        <v>448</v>
      </c>
      <c r="B449" s="123" t="s">
        <v>626</v>
      </c>
      <c r="C449" s="124" t="s">
        <v>1119</v>
      </c>
      <c r="D449" s="114">
        <v>0</v>
      </c>
    </row>
    <row r="450" spans="1:4" x14ac:dyDescent="0.25">
      <c r="A450" s="111">
        <v>449</v>
      </c>
      <c r="B450" s="31" t="s">
        <v>1208</v>
      </c>
      <c r="C450" s="113" t="s">
        <v>1119</v>
      </c>
      <c r="D450" s="114">
        <v>0</v>
      </c>
    </row>
    <row r="451" spans="1:4" x14ac:dyDescent="0.25">
      <c r="A451" s="111">
        <v>450</v>
      </c>
      <c r="B451" s="125" t="s">
        <v>1209</v>
      </c>
      <c r="C451" s="124" t="s">
        <v>1119</v>
      </c>
      <c r="D451" s="114">
        <v>0</v>
      </c>
    </row>
    <row r="452" spans="1:4" x14ac:dyDescent="0.25">
      <c r="A452" s="111">
        <v>451</v>
      </c>
      <c r="B452" s="115" t="s">
        <v>316</v>
      </c>
      <c r="C452" s="118" t="s">
        <v>1119</v>
      </c>
      <c r="D452" s="114">
        <v>0</v>
      </c>
    </row>
    <row r="453" spans="1:4" x14ac:dyDescent="0.25">
      <c r="A453" s="111">
        <v>452</v>
      </c>
      <c r="B453" s="123" t="s">
        <v>651</v>
      </c>
      <c r="C453" s="124" t="s">
        <v>1119</v>
      </c>
      <c r="D453" s="114">
        <v>0</v>
      </c>
    </row>
  </sheetData>
  <dataValidations count="1">
    <dataValidation type="list" allowBlank="1" showInputMessage="1" showErrorMessage="1" sqref="C2:C453">
      <formula1>$H$3:$H$8</formula1>
    </dataValidation>
  </dataValidations>
  <pageMargins left="0.7" right="0.7" top="0.75" bottom="0.75" header="0.3" footer="0.3"/>
  <pageSetup paperSize="9" orientation="portrait" horizontalDpi="4294967292" verticalDpi="429496729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P165"/>
  <sheetViews>
    <sheetView zoomScale="92" workbookViewId="0">
      <pane xSplit="4" ySplit="2" topLeftCell="E3" activePane="bottomRight" state="frozen"/>
      <selection activeCell="L13" sqref="L13"/>
      <selection pane="topRight" activeCell="L13" sqref="L13"/>
      <selection pane="bottomLeft" activeCell="L13" sqref="L13"/>
      <selection pane="bottomRight" activeCell="L13" sqref="L13"/>
    </sheetView>
  </sheetViews>
  <sheetFormatPr defaultRowHeight="15" x14ac:dyDescent="0.25"/>
  <cols>
    <col min="2" max="2" width="12" bestFit="1" customWidth="1"/>
    <col min="3" max="4" width="29.85546875" bestFit="1" customWidth="1"/>
  </cols>
  <sheetData>
    <row r="1" spans="1:16" x14ac:dyDescent="0.25">
      <c r="A1" s="41"/>
      <c r="B1" s="41"/>
      <c r="C1" s="41"/>
      <c r="D1" s="76">
        <v>0.2</v>
      </c>
      <c r="E1" s="205" t="s">
        <v>137</v>
      </c>
      <c r="F1" s="205"/>
      <c r="G1" s="205"/>
      <c r="H1" s="205"/>
      <c r="I1" s="205"/>
      <c r="J1" s="205"/>
      <c r="K1" s="205" t="s">
        <v>1231</v>
      </c>
      <c r="L1" s="205"/>
      <c r="M1" s="205"/>
      <c r="N1" s="205"/>
      <c r="O1" s="205"/>
      <c r="P1" s="205"/>
    </row>
    <row r="2" spans="1:16" ht="38.25" x14ac:dyDescent="0.25">
      <c r="A2" s="77" t="s">
        <v>1232</v>
      </c>
      <c r="B2" s="77" t="s">
        <v>1233</v>
      </c>
      <c r="C2" s="77" t="s">
        <v>1210</v>
      </c>
      <c r="D2" s="77" t="s">
        <v>1234</v>
      </c>
      <c r="E2" s="78" t="s">
        <v>1219</v>
      </c>
      <c r="F2" s="78" t="s">
        <v>1235</v>
      </c>
      <c r="G2" s="78" t="s">
        <v>1236</v>
      </c>
      <c r="H2" s="79" t="s">
        <v>1237</v>
      </c>
      <c r="I2" s="79" t="s">
        <v>1238</v>
      </c>
      <c r="J2" s="79" t="s">
        <v>1239</v>
      </c>
      <c r="K2" s="78" t="s">
        <v>1219</v>
      </c>
      <c r="L2" s="78" t="s">
        <v>1235</v>
      </c>
      <c r="M2" s="78" t="s">
        <v>1236</v>
      </c>
      <c r="N2" s="79" t="s">
        <v>1237</v>
      </c>
      <c r="O2" s="79" t="s">
        <v>1240</v>
      </c>
      <c r="P2" s="79" t="s">
        <v>1239</v>
      </c>
    </row>
    <row r="3" spans="1:16" x14ac:dyDescent="0.25">
      <c r="A3" s="29">
        <v>1</v>
      </c>
      <c r="B3" s="80" t="s">
        <v>1241</v>
      </c>
      <c r="C3" s="28" t="s">
        <v>1242</v>
      </c>
      <c r="D3" s="28" t="s">
        <v>1243</v>
      </c>
      <c r="E3" s="81"/>
      <c r="F3" s="81">
        <v>1</v>
      </c>
      <c r="G3" s="81">
        <v>3</v>
      </c>
      <c r="H3" s="82">
        <f>(F3*G3)*(1+$D$1)</f>
        <v>3.5999999999999996</v>
      </c>
      <c r="I3" s="83">
        <f>H3-E3</f>
        <v>3.5999999999999996</v>
      </c>
      <c r="J3" s="84"/>
    </row>
    <row r="4" spans="1:16" x14ac:dyDescent="0.25">
      <c r="A4" s="29">
        <v>2</v>
      </c>
      <c r="B4" s="80" t="s">
        <v>1241</v>
      </c>
      <c r="C4" s="28" t="s">
        <v>1242</v>
      </c>
      <c r="D4" s="28" t="s">
        <v>1244</v>
      </c>
      <c r="F4" s="81">
        <v>1</v>
      </c>
      <c r="G4" s="81">
        <v>3</v>
      </c>
      <c r="H4" s="82">
        <f t="shared" ref="H4:H67" si="0">(F4*G4)*(1+$D$1)</f>
        <v>3.5999999999999996</v>
      </c>
      <c r="I4" s="83">
        <f t="shared" ref="I4:I67" si="1">H4-E4</f>
        <v>3.5999999999999996</v>
      </c>
      <c r="J4" s="84"/>
    </row>
    <row r="5" spans="1:16" x14ac:dyDescent="0.25">
      <c r="A5" s="29">
        <v>3</v>
      </c>
      <c r="B5" s="80" t="s">
        <v>1241</v>
      </c>
      <c r="C5" s="28" t="s">
        <v>1242</v>
      </c>
      <c r="D5" s="28" t="s">
        <v>1245</v>
      </c>
      <c r="F5" s="81">
        <v>1</v>
      </c>
      <c r="G5" s="81">
        <v>3</v>
      </c>
      <c r="H5" s="82">
        <f t="shared" si="0"/>
        <v>3.5999999999999996</v>
      </c>
      <c r="I5" s="83">
        <f t="shared" si="1"/>
        <v>3.5999999999999996</v>
      </c>
      <c r="J5" s="84"/>
    </row>
    <row r="6" spans="1:16" x14ac:dyDescent="0.25">
      <c r="A6" s="29">
        <v>4</v>
      </c>
      <c r="B6" s="80" t="s">
        <v>1241</v>
      </c>
      <c r="C6" s="28" t="s">
        <v>1246</v>
      </c>
      <c r="D6" s="28" t="s">
        <v>1247</v>
      </c>
      <c r="F6" s="81">
        <v>1</v>
      </c>
      <c r="G6" s="85">
        <v>0</v>
      </c>
      <c r="H6" s="82">
        <f t="shared" si="0"/>
        <v>0</v>
      </c>
      <c r="I6" s="83">
        <f t="shared" si="1"/>
        <v>0</v>
      </c>
      <c r="J6" s="84"/>
    </row>
    <row r="7" spans="1:16" x14ac:dyDescent="0.25">
      <c r="A7" s="29">
        <v>5</v>
      </c>
      <c r="B7" s="80" t="s">
        <v>1241</v>
      </c>
      <c r="C7" s="28" t="s">
        <v>1248</v>
      </c>
      <c r="D7" s="28" t="s">
        <v>1249</v>
      </c>
      <c r="F7" s="81">
        <v>1</v>
      </c>
      <c r="G7" s="85">
        <v>2</v>
      </c>
      <c r="H7" s="82">
        <f t="shared" si="0"/>
        <v>2.4</v>
      </c>
      <c r="I7" s="83">
        <f t="shared" si="1"/>
        <v>2.4</v>
      </c>
      <c r="J7" s="84"/>
    </row>
    <row r="8" spans="1:16" x14ac:dyDescent="0.25">
      <c r="A8" s="29">
        <v>6</v>
      </c>
      <c r="B8" s="80" t="s">
        <v>1241</v>
      </c>
      <c r="C8" s="28" t="s">
        <v>1248</v>
      </c>
      <c r="D8" s="28" t="s">
        <v>1250</v>
      </c>
      <c r="F8" s="81">
        <v>1</v>
      </c>
      <c r="G8" s="85">
        <v>2</v>
      </c>
      <c r="H8" s="82">
        <f t="shared" si="0"/>
        <v>2.4</v>
      </c>
      <c r="I8" s="83">
        <f t="shared" si="1"/>
        <v>2.4</v>
      </c>
      <c r="J8" s="84"/>
    </row>
    <row r="9" spans="1:16" x14ac:dyDescent="0.25">
      <c r="A9" s="29">
        <v>7</v>
      </c>
      <c r="B9" s="80" t="s">
        <v>1241</v>
      </c>
      <c r="C9" s="28" t="s">
        <v>1248</v>
      </c>
      <c r="D9" s="28" t="s">
        <v>1251</v>
      </c>
      <c r="F9" s="81">
        <v>1</v>
      </c>
      <c r="G9" s="85">
        <v>1</v>
      </c>
      <c r="H9" s="82">
        <f t="shared" si="0"/>
        <v>1.2</v>
      </c>
      <c r="I9" s="83">
        <f t="shared" si="1"/>
        <v>1.2</v>
      </c>
      <c r="J9" s="84"/>
    </row>
    <row r="10" spans="1:16" x14ac:dyDescent="0.25">
      <c r="A10" s="29">
        <v>8</v>
      </c>
      <c r="B10" s="80" t="s">
        <v>1241</v>
      </c>
      <c r="C10" s="28" t="s">
        <v>1252</v>
      </c>
      <c r="D10" s="28" t="s">
        <v>1252</v>
      </c>
      <c r="F10" s="81">
        <v>1</v>
      </c>
      <c r="G10" s="85">
        <v>2</v>
      </c>
      <c r="H10" s="82">
        <f t="shared" si="0"/>
        <v>2.4</v>
      </c>
      <c r="I10" s="83">
        <f t="shared" si="1"/>
        <v>2.4</v>
      </c>
      <c r="J10" s="84" t="str">
        <f t="shared" ref="J10:J73" si="2">IF(E10&lt;H10,"PEDIR","OK")</f>
        <v>PEDIR</v>
      </c>
    </row>
    <row r="11" spans="1:16" x14ac:dyDescent="0.25">
      <c r="A11" s="29">
        <v>9</v>
      </c>
      <c r="B11" s="80" t="s">
        <v>1241</v>
      </c>
      <c r="C11" s="28" t="s">
        <v>1253</v>
      </c>
      <c r="D11" s="28" t="s">
        <v>1254</v>
      </c>
      <c r="F11" s="81">
        <v>1</v>
      </c>
      <c r="G11" s="85">
        <v>1</v>
      </c>
      <c r="H11" s="82">
        <f t="shared" si="0"/>
        <v>1.2</v>
      </c>
      <c r="I11" s="83">
        <f t="shared" si="1"/>
        <v>1.2</v>
      </c>
      <c r="J11" s="84"/>
    </row>
    <row r="12" spans="1:16" x14ac:dyDescent="0.25">
      <c r="A12" s="29">
        <v>10</v>
      </c>
      <c r="B12" s="80" t="s">
        <v>1241</v>
      </c>
      <c r="C12" s="28" t="s">
        <v>1255</v>
      </c>
      <c r="D12" s="28" t="s">
        <v>1256</v>
      </c>
      <c r="F12" s="81">
        <v>1</v>
      </c>
      <c r="G12" s="85">
        <v>1</v>
      </c>
      <c r="H12" s="82">
        <f t="shared" si="0"/>
        <v>1.2</v>
      </c>
      <c r="I12" s="83">
        <f t="shared" si="1"/>
        <v>1.2</v>
      </c>
      <c r="J12" s="84" t="str">
        <f t="shared" si="2"/>
        <v>PEDIR</v>
      </c>
    </row>
    <row r="13" spans="1:16" x14ac:dyDescent="0.25">
      <c r="A13" s="29">
        <v>11</v>
      </c>
      <c r="B13" s="80" t="s">
        <v>1241</v>
      </c>
      <c r="C13" s="28" t="s">
        <v>1255</v>
      </c>
      <c r="D13" s="28" t="s">
        <v>1257</v>
      </c>
      <c r="F13" s="81">
        <v>1</v>
      </c>
      <c r="G13" s="85">
        <v>1</v>
      </c>
      <c r="H13" s="82">
        <f t="shared" si="0"/>
        <v>1.2</v>
      </c>
      <c r="I13" s="83">
        <f t="shared" si="1"/>
        <v>1.2</v>
      </c>
      <c r="J13" s="84" t="str">
        <f t="shared" si="2"/>
        <v>PEDIR</v>
      </c>
    </row>
    <row r="14" spans="1:16" x14ac:dyDescent="0.25">
      <c r="A14" s="29">
        <v>12</v>
      </c>
      <c r="B14" s="80" t="s">
        <v>1241</v>
      </c>
      <c r="C14" s="28" t="s">
        <v>1255</v>
      </c>
      <c r="D14" s="28" t="s">
        <v>1258</v>
      </c>
      <c r="F14" s="81">
        <v>1</v>
      </c>
      <c r="G14" s="85">
        <v>1</v>
      </c>
      <c r="H14" s="82">
        <f t="shared" si="0"/>
        <v>1.2</v>
      </c>
      <c r="I14" s="83">
        <f t="shared" si="1"/>
        <v>1.2</v>
      </c>
      <c r="J14" s="84" t="str">
        <f t="shared" si="2"/>
        <v>PEDIR</v>
      </c>
    </row>
    <row r="15" spans="1:16" x14ac:dyDescent="0.25">
      <c r="A15" s="29">
        <v>13</v>
      </c>
      <c r="B15" s="80" t="s">
        <v>1241</v>
      </c>
      <c r="C15" s="28" t="s">
        <v>1255</v>
      </c>
      <c r="D15" s="28" t="s">
        <v>1259</v>
      </c>
      <c r="F15" s="81">
        <v>1</v>
      </c>
      <c r="G15" s="85">
        <v>1</v>
      </c>
      <c r="H15" s="82">
        <f t="shared" si="0"/>
        <v>1.2</v>
      </c>
      <c r="I15" s="83">
        <f t="shared" si="1"/>
        <v>1.2</v>
      </c>
      <c r="J15" s="84" t="str">
        <f t="shared" si="2"/>
        <v>PEDIR</v>
      </c>
    </row>
    <row r="16" spans="1:16" x14ac:dyDescent="0.25">
      <c r="A16" s="29">
        <v>14</v>
      </c>
      <c r="B16" s="80" t="s">
        <v>1241</v>
      </c>
      <c r="C16" s="28" t="s">
        <v>1255</v>
      </c>
      <c r="D16" s="28" t="s">
        <v>1260</v>
      </c>
      <c r="F16" s="81">
        <v>1</v>
      </c>
      <c r="G16" s="85">
        <v>1</v>
      </c>
      <c r="H16" s="82">
        <f t="shared" si="0"/>
        <v>1.2</v>
      </c>
      <c r="I16" s="83">
        <f t="shared" si="1"/>
        <v>1.2</v>
      </c>
      <c r="J16" s="84" t="str">
        <f t="shared" si="2"/>
        <v>PEDIR</v>
      </c>
    </row>
    <row r="17" spans="1:10" x14ac:dyDescent="0.25">
      <c r="A17" s="29">
        <v>15</v>
      </c>
      <c r="B17" s="80" t="s">
        <v>1241</v>
      </c>
      <c r="C17" s="28" t="s">
        <v>1261</v>
      </c>
      <c r="D17" s="28" t="s">
        <v>1261</v>
      </c>
      <c r="F17" s="81">
        <v>1</v>
      </c>
      <c r="G17" s="85">
        <v>2</v>
      </c>
      <c r="H17" s="82">
        <f t="shared" si="0"/>
        <v>2.4</v>
      </c>
      <c r="I17" s="83">
        <f t="shared" si="1"/>
        <v>2.4</v>
      </c>
      <c r="J17" s="84"/>
    </row>
    <row r="18" spans="1:10" x14ac:dyDescent="0.25">
      <c r="A18" s="29">
        <v>16</v>
      </c>
      <c r="B18" s="80" t="s">
        <v>1241</v>
      </c>
      <c r="C18" s="28" t="s">
        <v>1262</v>
      </c>
      <c r="D18" s="28" t="s">
        <v>1262</v>
      </c>
      <c r="F18" s="81">
        <v>1</v>
      </c>
      <c r="G18" s="85">
        <v>2</v>
      </c>
      <c r="H18" s="82">
        <f t="shared" si="0"/>
        <v>2.4</v>
      </c>
      <c r="I18" s="83">
        <f t="shared" si="1"/>
        <v>2.4</v>
      </c>
      <c r="J18" s="84"/>
    </row>
    <row r="19" spans="1:10" x14ac:dyDescent="0.25">
      <c r="A19" s="29">
        <v>17</v>
      </c>
      <c r="B19" s="80" t="s">
        <v>1241</v>
      </c>
      <c r="C19" s="28" t="s">
        <v>1263</v>
      </c>
      <c r="D19" s="28" t="s">
        <v>1264</v>
      </c>
      <c r="G19" s="85">
        <v>2</v>
      </c>
      <c r="H19" s="82">
        <f t="shared" si="0"/>
        <v>0</v>
      </c>
      <c r="I19" s="83">
        <f t="shared" si="1"/>
        <v>0</v>
      </c>
      <c r="J19" s="84" t="str">
        <f t="shared" si="2"/>
        <v>OK</v>
      </c>
    </row>
    <row r="20" spans="1:10" x14ac:dyDescent="0.25">
      <c r="A20" s="29">
        <v>18</v>
      </c>
      <c r="B20" s="80" t="s">
        <v>1241</v>
      </c>
      <c r="C20" s="28" t="s">
        <v>1263</v>
      </c>
      <c r="D20" s="28" t="s">
        <v>1265</v>
      </c>
      <c r="G20" s="85">
        <v>2</v>
      </c>
      <c r="H20" s="82">
        <f t="shared" si="0"/>
        <v>0</v>
      </c>
      <c r="I20" s="83">
        <f t="shared" si="1"/>
        <v>0</v>
      </c>
      <c r="J20" s="84" t="str">
        <f t="shared" si="2"/>
        <v>OK</v>
      </c>
    </row>
    <row r="21" spans="1:10" x14ac:dyDescent="0.25">
      <c r="A21" s="29">
        <v>19</v>
      </c>
      <c r="B21" s="80" t="s">
        <v>1241</v>
      </c>
      <c r="C21" s="28" t="s">
        <v>1263</v>
      </c>
      <c r="D21" s="28" t="s">
        <v>1266</v>
      </c>
      <c r="G21" s="85">
        <v>1</v>
      </c>
      <c r="H21" s="82">
        <f t="shared" si="0"/>
        <v>0</v>
      </c>
      <c r="I21" s="83">
        <f t="shared" si="1"/>
        <v>0</v>
      </c>
      <c r="J21" s="84" t="str">
        <f t="shared" si="2"/>
        <v>OK</v>
      </c>
    </row>
    <row r="22" spans="1:10" x14ac:dyDescent="0.25">
      <c r="A22" s="29">
        <v>20</v>
      </c>
      <c r="B22" s="80" t="s">
        <v>1241</v>
      </c>
      <c r="C22" s="28" t="s">
        <v>1263</v>
      </c>
      <c r="D22" s="28" t="s">
        <v>1267</v>
      </c>
      <c r="G22" s="85">
        <v>1</v>
      </c>
      <c r="H22" s="82">
        <f t="shared" si="0"/>
        <v>0</v>
      </c>
      <c r="I22" s="83">
        <f t="shared" si="1"/>
        <v>0</v>
      </c>
      <c r="J22" s="84" t="str">
        <f t="shared" si="2"/>
        <v>OK</v>
      </c>
    </row>
    <row r="23" spans="1:10" x14ac:dyDescent="0.25">
      <c r="A23" s="29">
        <v>21</v>
      </c>
      <c r="B23" s="80" t="s">
        <v>1241</v>
      </c>
      <c r="C23" s="28" t="s">
        <v>1268</v>
      </c>
      <c r="D23" s="28" t="s">
        <v>1269</v>
      </c>
      <c r="G23" s="85"/>
      <c r="H23" s="82">
        <f t="shared" si="0"/>
        <v>0</v>
      </c>
      <c r="I23" s="83">
        <f t="shared" si="1"/>
        <v>0</v>
      </c>
      <c r="J23" s="84" t="str">
        <f t="shared" si="2"/>
        <v>OK</v>
      </c>
    </row>
    <row r="24" spans="1:10" x14ac:dyDescent="0.25">
      <c r="A24" s="29">
        <v>22</v>
      </c>
      <c r="B24" s="80" t="s">
        <v>1241</v>
      </c>
      <c r="C24" s="28" t="s">
        <v>1270</v>
      </c>
      <c r="D24" s="28" t="s">
        <v>1269</v>
      </c>
      <c r="G24" s="85"/>
      <c r="H24" s="82">
        <f t="shared" si="0"/>
        <v>0</v>
      </c>
      <c r="I24" s="83">
        <f t="shared" si="1"/>
        <v>0</v>
      </c>
      <c r="J24" s="84" t="str">
        <f t="shared" si="2"/>
        <v>OK</v>
      </c>
    </row>
    <row r="25" spans="1:10" x14ac:dyDescent="0.25">
      <c r="A25" s="29">
        <v>23</v>
      </c>
      <c r="B25" s="80" t="s">
        <v>1241</v>
      </c>
      <c r="C25" s="28" t="s">
        <v>1271</v>
      </c>
      <c r="D25" s="28" t="s">
        <v>1271</v>
      </c>
      <c r="H25" s="82">
        <f t="shared" si="0"/>
        <v>0</v>
      </c>
      <c r="I25" s="83">
        <f t="shared" si="1"/>
        <v>0</v>
      </c>
      <c r="J25" s="84" t="str">
        <f t="shared" si="2"/>
        <v>OK</v>
      </c>
    </row>
    <row r="26" spans="1:10" x14ac:dyDescent="0.25">
      <c r="A26" s="29">
        <v>24</v>
      </c>
      <c r="B26" s="80" t="s">
        <v>1241</v>
      </c>
      <c r="C26" s="28" t="s">
        <v>1272</v>
      </c>
      <c r="D26" s="28" t="s">
        <v>1272</v>
      </c>
      <c r="H26" s="82">
        <f t="shared" si="0"/>
        <v>0</v>
      </c>
      <c r="I26" s="83">
        <f t="shared" si="1"/>
        <v>0</v>
      </c>
      <c r="J26" s="84" t="str">
        <f t="shared" si="2"/>
        <v>OK</v>
      </c>
    </row>
    <row r="27" spans="1:10" x14ac:dyDescent="0.25">
      <c r="A27" s="29">
        <v>25</v>
      </c>
      <c r="B27" s="80" t="s">
        <v>1241</v>
      </c>
      <c r="C27" s="28" t="s">
        <v>1273</v>
      </c>
      <c r="D27" s="28" t="s">
        <v>1273</v>
      </c>
      <c r="H27" s="82">
        <f t="shared" si="0"/>
        <v>0</v>
      </c>
      <c r="I27" s="83">
        <f t="shared" si="1"/>
        <v>0</v>
      </c>
      <c r="J27" s="84" t="str">
        <f t="shared" si="2"/>
        <v>OK</v>
      </c>
    </row>
    <row r="28" spans="1:10" x14ac:dyDescent="0.25">
      <c r="A28" s="29">
        <v>26</v>
      </c>
      <c r="B28" s="86" t="s">
        <v>1274</v>
      </c>
      <c r="C28" s="28" t="s">
        <v>1242</v>
      </c>
      <c r="D28" s="28" t="s">
        <v>1243</v>
      </c>
      <c r="F28">
        <v>10</v>
      </c>
      <c r="H28" s="82">
        <f t="shared" si="0"/>
        <v>0</v>
      </c>
      <c r="I28" s="83">
        <f t="shared" si="1"/>
        <v>0</v>
      </c>
      <c r="J28" s="84" t="str">
        <f t="shared" si="2"/>
        <v>OK</v>
      </c>
    </row>
    <row r="29" spans="1:10" x14ac:dyDescent="0.25">
      <c r="A29" s="29">
        <v>27</v>
      </c>
      <c r="B29" s="86" t="s">
        <v>1274</v>
      </c>
      <c r="C29" s="28" t="s">
        <v>1242</v>
      </c>
      <c r="D29" s="28" t="s">
        <v>1244</v>
      </c>
      <c r="H29" s="82">
        <f t="shared" si="0"/>
        <v>0</v>
      </c>
      <c r="I29" s="83">
        <f t="shared" si="1"/>
        <v>0</v>
      </c>
      <c r="J29" s="84" t="str">
        <f t="shared" si="2"/>
        <v>OK</v>
      </c>
    </row>
    <row r="30" spans="1:10" x14ac:dyDescent="0.25">
      <c r="A30" s="29">
        <v>28</v>
      </c>
      <c r="B30" s="86" t="s">
        <v>1274</v>
      </c>
      <c r="C30" s="28" t="s">
        <v>1242</v>
      </c>
      <c r="D30" s="28" t="s">
        <v>1245</v>
      </c>
      <c r="H30" s="82">
        <f t="shared" si="0"/>
        <v>0</v>
      </c>
      <c r="I30" s="83">
        <f t="shared" si="1"/>
        <v>0</v>
      </c>
      <c r="J30" s="84" t="str">
        <f t="shared" si="2"/>
        <v>OK</v>
      </c>
    </row>
    <row r="31" spans="1:10" x14ac:dyDescent="0.25">
      <c r="A31" s="29">
        <v>29</v>
      </c>
      <c r="B31" s="86" t="s">
        <v>1274</v>
      </c>
      <c r="C31" s="28" t="s">
        <v>1261</v>
      </c>
      <c r="D31" s="28" t="s">
        <v>1261</v>
      </c>
      <c r="H31" s="82">
        <f t="shared" si="0"/>
        <v>0</v>
      </c>
      <c r="I31" s="83">
        <f t="shared" si="1"/>
        <v>0</v>
      </c>
      <c r="J31" s="84" t="str">
        <f t="shared" si="2"/>
        <v>OK</v>
      </c>
    </row>
    <row r="32" spans="1:10" x14ac:dyDescent="0.25">
      <c r="A32" s="29">
        <v>30</v>
      </c>
      <c r="B32" s="86" t="s">
        <v>1274</v>
      </c>
      <c r="C32" s="28" t="s">
        <v>1262</v>
      </c>
      <c r="D32" s="28" t="s">
        <v>1262</v>
      </c>
      <c r="H32" s="82">
        <f t="shared" si="0"/>
        <v>0</v>
      </c>
      <c r="I32" s="83">
        <f t="shared" si="1"/>
        <v>0</v>
      </c>
      <c r="J32" s="84" t="str">
        <f t="shared" si="2"/>
        <v>OK</v>
      </c>
    </row>
    <row r="33" spans="1:10" x14ac:dyDescent="0.25">
      <c r="A33" s="29">
        <v>31</v>
      </c>
      <c r="B33" s="86" t="s">
        <v>1274</v>
      </c>
      <c r="C33" s="28" t="s">
        <v>1253</v>
      </c>
      <c r="D33" s="28" t="s">
        <v>1254</v>
      </c>
      <c r="H33" s="82">
        <f t="shared" si="0"/>
        <v>0</v>
      </c>
      <c r="I33" s="83">
        <f t="shared" si="1"/>
        <v>0</v>
      </c>
      <c r="J33" s="84" t="str">
        <f t="shared" si="2"/>
        <v>OK</v>
      </c>
    </row>
    <row r="34" spans="1:10" x14ac:dyDescent="0.25">
      <c r="A34" s="29">
        <v>32</v>
      </c>
      <c r="B34" s="86" t="s">
        <v>1274</v>
      </c>
      <c r="C34" s="28" t="s">
        <v>1246</v>
      </c>
      <c r="D34" s="28" t="s">
        <v>1247</v>
      </c>
      <c r="H34" s="82">
        <f t="shared" si="0"/>
        <v>0</v>
      </c>
      <c r="I34" s="83">
        <f t="shared" si="1"/>
        <v>0</v>
      </c>
      <c r="J34" s="84" t="str">
        <f t="shared" si="2"/>
        <v>OK</v>
      </c>
    </row>
    <row r="35" spans="1:10" x14ac:dyDescent="0.25">
      <c r="A35" s="29">
        <v>33</v>
      </c>
      <c r="B35" s="86" t="s">
        <v>1274</v>
      </c>
      <c r="C35" s="28" t="s">
        <v>1248</v>
      </c>
      <c r="D35" s="28" t="s">
        <v>1249</v>
      </c>
      <c r="H35" s="82">
        <f t="shared" si="0"/>
        <v>0</v>
      </c>
      <c r="I35" s="83">
        <f t="shared" si="1"/>
        <v>0</v>
      </c>
      <c r="J35" s="84" t="str">
        <f t="shared" si="2"/>
        <v>OK</v>
      </c>
    </row>
    <row r="36" spans="1:10" x14ac:dyDescent="0.25">
      <c r="A36" s="29">
        <v>34</v>
      </c>
      <c r="B36" s="86" t="s">
        <v>1274</v>
      </c>
      <c r="C36" s="28" t="s">
        <v>1248</v>
      </c>
      <c r="D36" s="28" t="s">
        <v>1250</v>
      </c>
      <c r="H36" s="82">
        <f t="shared" si="0"/>
        <v>0</v>
      </c>
      <c r="I36" s="83">
        <f t="shared" si="1"/>
        <v>0</v>
      </c>
      <c r="J36" s="84" t="str">
        <f t="shared" si="2"/>
        <v>OK</v>
      </c>
    </row>
    <row r="37" spans="1:10" x14ac:dyDescent="0.25">
      <c r="A37" s="29">
        <v>35</v>
      </c>
      <c r="B37" s="86" t="s">
        <v>1274</v>
      </c>
      <c r="C37" s="28" t="s">
        <v>1248</v>
      </c>
      <c r="D37" s="28" t="s">
        <v>1251</v>
      </c>
      <c r="H37" s="82">
        <f t="shared" si="0"/>
        <v>0</v>
      </c>
      <c r="I37" s="83">
        <f t="shared" si="1"/>
        <v>0</v>
      </c>
      <c r="J37" s="84" t="str">
        <f t="shared" si="2"/>
        <v>OK</v>
      </c>
    </row>
    <row r="38" spans="1:10" x14ac:dyDescent="0.25">
      <c r="A38" s="29">
        <v>36</v>
      </c>
      <c r="B38" s="86" t="s">
        <v>1274</v>
      </c>
      <c r="C38" s="28" t="s">
        <v>1252</v>
      </c>
      <c r="D38" s="28" t="s">
        <v>1252</v>
      </c>
      <c r="H38" s="82">
        <f t="shared" si="0"/>
        <v>0</v>
      </c>
      <c r="I38" s="83">
        <f t="shared" si="1"/>
        <v>0</v>
      </c>
      <c r="J38" s="84" t="str">
        <f t="shared" si="2"/>
        <v>OK</v>
      </c>
    </row>
    <row r="39" spans="1:10" x14ac:dyDescent="0.25">
      <c r="A39" s="29">
        <v>37</v>
      </c>
      <c r="B39" s="86" t="s">
        <v>1274</v>
      </c>
      <c r="C39" s="28" t="s">
        <v>1275</v>
      </c>
      <c r="D39" s="28" t="s">
        <v>1276</v>
      </c>
      <c r="H39" s="82">
        <f t="shared" si="0"/>
        <v>0</v>
      </c>
      <c r="I39" s="83">
        <f t="shared" si="1"/>
        <v>0</v>
      </c>
      <c r="J39" s="84" t="str">
        <f t="shared" si="2"/>
        <v>OK</v>
      </c>
    </row>
    <row r="40" spans="1:10" x14ac:dyDescent="0.25">
      <c r="A40" s="29">
        <v>38</v>
      </c>
      <c r="B40" s="86" t="s">
        <v>1274</v>
      </c>
      <c r="C40" s="28" t="s">
        <v>1277</v>
      </c>
      <c r="D40" s="28" t="s">
        <v>1278</v>
      </c>
      <c r="H40" s="82">
        <f t="shared" si="0"/>
        <v>0</v>
      </c>
      <c r="I40" s="83">
        <f t="shared" si="1"/>
        <v>0</v>
      </c>
      <c r="J40" s="84" t="str">
        <f t="shared" si="2"/>
        <v>OK</v>
      </c>
    </row>
    <row r="41" spans="1:10" x14ac:dyDescent="0.25">
      <c r="A41" s="29">
        <v>39</v>
      </c>
      <c r="B41" s="86" t="s">
        <v>1274</v>
      </c>
      <c r="C41" s="28" t="s">
        <v>1277</v>
      </c>
      <c r="D41" s="28" t="s">
        <v>1279</v>
      </c>
      <c r="H41" s="82">
        <f t="shared" si="0"/>
        <v>0</v>
      </c>
      <c r="I41" s="83">
        <f t="shared" si="1"/>
        <v>0</v>
      </c>
      <c r="J41" s="84" t="str">
        <f t="shared" si="2"/>
        <v>OK</v>
      </c>
    </row>
    <row r="42" spans="1:10" x14ac:dyDescent="0.25">
      <c r="A42" s="29">
        <v>40</v>
      </c>
      <c r="B42" s="86" t="s">
        <v>1274</v>
      </c>
      <c r="C42" s="28" t="s">
        <v>1280</v>
      </c>
      <c r="D42" s="28" t="s">
        <v>1280</v>
      </c>
      <c r="H42" s="82">
        <f t="shared" si="0"/>
        <v>0</v>
      </c>
      <c r="I42" s="83">
        <f t="shared" si="1"/>
        <v>0</v>
      </c>
      <c r="J42" s="84" t="str">
        <f t="shared" si="2"/>
        <v>OK</v>
      </c>
    </row>
    <row r="43" spans="1:10" x14ac:dyDescent="0.25">
      <c r="A43" s="29">
        <v>41</v>
      </c>
      <c r="B43" s="86" t="s">
        <v>1274</v>
      </c>
      <c r="C43" s="28" t="s">
        <v>1281</v>
      </c>
      <c r="D43" s="28" t="s">
        <v>1282</v>
      </c>
      <c r="H43" s="82">
        <f t="shared" si="0"/>
        <v>0</v>
      </c>
      <c r="I43" s="83">
        <f t="shared" si="1"/>
        <v>0</v>
      </c>
      <c r="J43" s="84" t="str">
        <f t="shared" si="2"/>
        <v>OK</v>
      </c>
    </row>
    <row r="44" spans="1:10" x14ac:dyDescent="0.25">
      <c r="A44" s="29">
        <v>42</v>
      </c>
      <c r="B44" s="86" t="s">
        <v>1274</v>
      </c>
      <c r="C44" s="28" t="s">
        <v>1281</v>
      </c>
      <c r="D44" s="28" t="s">
        <v>1283</v>
      </c>
      <c r="H44" s="82">
        <f t="shared" si="0"/>
        <v>0</v>
      </c>
      <c r="I44" s="83">
        <f t="shared" si="1"/>
        <v>0</v>
      </c>
      <c r="J44" s="84" t="str">
        <f t="shared" si="2"/>
        <v>OK</v>
      </c>
    </row>
    <row r="45" spans="1:10" x14ac:dyDescent="0.25">
      <c r="A45" s="29">
        <v>43</v>
      </c>
      <c r="B45" s="86" t="s">
        <v>1274</v>
      </c>
      <c r="C45" s="28" t="s">
        <v>1281</v>
      </c>
      <c r="D45" s="28" t="s">
        <v>1284</v>
      </c>
      <c r="H45" s="82">
        <f t="shared" si="0"/>
        <v>0</v>
      </c>
      <c r="I45" s="83">
        <f t="shared" si="1"/>
        <v>0</v>
      </c>
      <c r="J45" s="84" t="str">
        <f t="shared" si="2"/>
        <v>OK</v>
      </c>
    </row>
    <row r="46" spans="1:10" x14ac:dyDescent="0.25">
      <c r="A46" s="29">
        <v>44</v>
      </c>
      <c r="B46" s="86" t="s">
        <v>1274</v>
      </c>
      <c r="C46" s="28" t="s">
        <v>1285</v>
      </c>
      <c r="D46" s="28" t="s">
        <v>1286</v>
      </c>
      <c r="H46" s="82">
        <f t="shared" si="0"/>
        <v>0</v>
      </c>
      <c r="I46" s="83">
        <f t="shared" si="1"/>
        <v>0</v>
      </c>
      <c r="J46" s="84" t="str">
        <f t="shared" si="2"/>
        <v>OK</v>
      </c>
    </row>
    <row r="47" spans="1:10" x14ac:dyDescent="0.25">
      <c r="A47" s="29">
        <v>45</v>
      </c>
      <c r="B47" s="86" t="s">
        <v>1274</v>
      </c>
      <c r="C47" s="28" t="s">
        <v>1285</v>
      </c>
      <c r="D47" s="28" t="s">
        <v>1287</v>
      </c>
      <c r="H47" s="82">
        <f t="shared" si="0"/>
        <v>0</v>
      </c>
      <c r="I47" s="83">
        <f t="shared" si="1"/>
        <v>0</v>
      </c>
      <c r="J47" s="84" t="str">
        <f t="shared" si="2"/>
        <v>OK</v>
      </c>
    </row>
    <row r="48" spans="1:10" x14ac:dyDescent="0.25">
      <c r="A48" s="29">
        <v>46</v>
      </c>
      <c r="B48" s="86" t="s">
        <v>1274</v>
      </c>
      <c r="C48" s="28" t="s">
        <v>1285</v>
      </c>
      <c r="D48" s="28" t="s">
        <v>1288</v>
      </c>
      <c r="H48" s="82">
        <f t="shared" si="0"/>
        <v>0</v>
      </c>
      <c r="I48" s="83">
        <f t="shared" si="1"/>
        <v>0</v>
      </c>
      <c r="J48" s="84" t="str">
        <f t="shared" si="2"/>
        <v>OK</v>
      </c>
    </row>
    <row r="49" spans="1:10" x14ac:dyDescent="0.25">
      <c r="A49" s="29">
        <v>47</v>
      </c>
      <c r="B49" s="86" t="s">
        <v>1274</v>
      </c>
      <c r="C49" s="28" t="s">
        <v>1285</v>
      </c>
      <c r="D49" s="28" t="s">
        <v>1289</v>
      </c>
      <c r="H49" s="82">
        <f t="shared" si="0"/>
        <v>0</v>
      </c>
      <c r="I49" s="83">
        <f t="shared" si="1"/>
        <v>0</v>
      </c>
      <c r="J49" s="84" t="str">
        <f t="shared" si="2"/>
        <v>OK</v>
      </c>
    </row>
    <row r="50" spans="1:10" x14ac:dyDescent="0.25">
      <c r="A50" s="29">
        <v>48</v>
      </c>
      <c r="B50" s="86" t="s">
        <v>1274</v>
      </c>
      <c r="C50" s="28" t="s">
        <v>1285</v>
      </c>
      <c r="D50" s="28" t="s">
        <v>1290</v>
      </c>
      <c r="H50" s="82">
        <f t="shared" si="0"/>
        <v>0</v>
      </c>
      <c r="I50" s="83">
        <f t="shared" si="1"/>
        <v>0</v>
      </c>
      <c r="J50" s="84" t="str">
        <f t="shared" si="2"/>
        <v>OK</v>
      </c>
    </row>
    <row r="51" spans="1:10" x14ac:dyDescent="0.25">
      <c r="A51" s="29">
        <v>49</v>
      </c>
      <c r="B51" s="86" t="s">
        <v>1274</v>
      </c>
      <c r="C51" s="28" t="s">
        <v>1285</v>
      </c>
      <c r="D51" s="28" t="s">
        <v>1291</v>
      </c>
      <c r="H51" s="82">
        <f t="shared" si="0"/>
        <v>0</v>
      </c>
      <c r="I51" s="83">
        <f t="shared" si="1"/>
        <v>0</v>
      </c>
      <c r="J51" s="84" t="str">
        <f t="shared" si="2"/>
        <v>OK</v>
      </c>
    </row>
    <row r="52" spans="1:10" x14ac:dyDescent="0.25">
      <c r="A52" s="29">
        <v>50</v>
      </c>
      <c r="B52" s="86" t="s">
        <v>1274</v>
      </c>
      <c r="C52" s="28" t="s">
        <v>1285</v>
      </c>
      <c r="D52" s="28" t="s">
        <v>1292</v>
      </c>
      <c r="H52" s="82">
        <f t="shared" si="0"/>
        <v>0</v>
      </c>
      <c r="I52" s="83">
        <f t="shared" si="1"/>
        <v>0</v>
      </c>
      <c r="J52" s="84" t="str">
        <f t="shared" si="2"/>
        <v>OK</v>
      </c>
    </row>
    <row r="53" spans="1:10" x14ac:dyDescent="0.25">
      <c r="A53" s="29">
        <v>51</v>
      </c>
      <c r="B53" s="86" t="s">
        <v>1274</v>
      </c>
      <c r="C53" s="28" t="s">
        <v>1285</v>
      </c>
      <c r="D53" s="28" t="s">
        <v>1293</v>
      </c>
      <c r="H53" s="82">
        <f t="shared" si="0"/>
        <v>0</v>
      </c>
      <c r="I53" s="83">
        <f t="shared" si="1"/>
        <v>0</v>
      </c>
      <c r="J53" s="84" t="str">
        <f t="shared" si="2"/>
        <v>OK</v>
      </c>
    </row>
    <row r="54" spans="1:10" x14ac:dyDescent="0.25">
      <c r="A54" s="29">
        <v>52</v>
      </c>
      <c r="B54" s="72" t="s">
        <v>1294</v>
      </c>
      <c r="C54" s="28" t="s">
        <v>1295</v>
      </c>
      <c r="D54" s="28" t="s">
        <v>1295</v>
      </c>
      <c r="H54" s="82">
        <f t="shared" si="0"/>
        <v>0</v>
      </c>
      <c r="I54" s="83">
        <f t="shared" si="1"/>
        <v>0</v>
      </c>
      <c r="J54" s="84" t="str">
        <f t="shared" si="2"/>
        <v>OK</v>
      </c>
    </row>
    <row r="55" spans="1:10" x14ac:dyDescent="0.25">
      <c r="A55" s="29">
        <v>53</v>
      </c>
      <c r="B55" s="72" t="s">
        <v>1294</v>
      </c>
      <c r="C55" s="28" t="s">
        <v>1296</v>
      </c>
      <c r="D55" s="28" t="s">
        <v>1296</v>
      </c>
      <c r="H55" s="82">
        <f t="shared" si="0"/>
        <v>0</v>
      </c>
      <c r="I55" s="83">
        <f t="shared" si="1"/>
        <v>0</v>
      </c>
      <c r="J55" s="84" t="str">
        <f t="shared" si="2"/>
        <v>OK</v>
      </c>
    </row>
    <row r="56" spans="1:10" x14ac:dyDescent="0.25">
      <c r="A56" s="29">
        <v>54</v>
      </c>
      <c r="B56" s="72" t="s">
        <v>1294</v>
      </c>
      <c r="C56" s="28" t="s">
        <v>1297</v>
      </c>
      <c r="D56" s="28" t="s">
        <v>1298</v>
      </c>
      <c r="H56" s="82">
        <f t="shared" si="0"/>
        <v>0</v>
      </c>
      <c r="I56" s="83">
        <f t="shared" si="1"/>
        <v>0</v>
      </c>
      <c r="J56" s="84" t="str">
        <f t="shared" si="2"/>
        <v>OK</v>
      </c>
    </row>
    <row r="57" spans="1:10" x14ac:dyDescent="0.25">
      <c r="A57" s="29">
        <v>55</v>
      </c>
      <c r="B57" s="72" t="s">
        <v>1294</v>
      </c>
      <c r="C57" s="28" t="s">
        <v>1297</v>
      </c>
      <c r="D57" s="28" t="s">
        <v>1299</v>
      </c>
      <c r="H57" s="82">
        <f t="shared" si="0"/>
        <v>0</v>
      </c>
      <c r="I57" s="83">
        <f t="shared" si="1"/>
        <v>0</v>
      </c>
      <c r="J57" s="84" t="str">
        <f t="shared" si="2"/>
        <v>OK</v>
      </c>
    </row>
    <row r="58" spans="1:10" x14ac:dyDescent="0.25">
      <c r="A58" s="29">
        <v>56</v>
      </c>
      <c r="B58" s="72" t="s">
        <v>1294</v>
      </c>
      <c r="C58" s="28" t="s">
        <v>1297</v>
      </c>
      <c r="D58" s="28" t="s">
        <v>1300</v>
      </c>
      <c r="H58" s="82">
        <f t="shared" si="0"/>
        <v>0</v>
      </c>
      <c r="I58" s="83">
        <f t="shared" si="1"/>
        <v>0</v>
      </c>
      <c r="J58" s="84" t="str">
        <f t="shared" si="2"/>
        <v>OK</v>
      </c>
    </row>
    <row r="59" spans="1:10" x14ac:dyDescent="0.25">
      <c r="A59" s="29">
        <v>57</v>
      </c>
      <c r="B59" s="72" t="s">
        <v>1294</v>
      </c>
      <c r="C59" s="28" t="s">
        <v>1301</v>
      </c>
      <c r="D59" s="28" t="s">
        <v>1301</v>
      </c>
      <c r="H59" s="82">
        <f t="shared" si="0"/>
        <v>0</v>
      </c>
      <c r="I59" s="83">
        <f t="shared" si="1"/>
        <v>0</v>
      </c>
      <c r="J59" s="84" t="str">
        <f t="shared" si="2"/>
        <v>OK</v>
      </c>
    </row>
    <row r="60" spans="1:10" x14ac:dyDescent="0.25">
      <c r="A60" s="29">
        <v>58</v>
      </c>
      <c r="B60" s="72" t="s">
        <v>1294</v>
      </c>
      <c r="C60" s="28" t="s">
        <v>1302</v>
      </c>
      <c r="D60" s="28" t="s">
        <v>1302</v>
      </c>
      <c r="H60" s="82">
        <f t="shared" si="0"/>
        <v>0</v>
      </c>
      <c r="I60" s="83">
        <f t="shared" si="1"/>
        <v>0</v>
      </c>
      <c r="J60" s="84" t="str">
        <f t="shared" si="2"/>
        <v>OK</v>
      </c>
    </row>
    <row r="61" spans="1:10" x14ac:dyDescent="0.25">
      <c r="A61" s="29">
        <v>59</v>
      </c>
      <c r="B61" s="72" t="s">
        <v>1294</v>
      </c>
      <c r="C61" s="28" t="s">
        <v>1303</v>
      </c>
      <c r="D61" s="28" t="s">
        <v>1303</v>
      </c>
      <c r="H61" s="82">
        <f t="shared" si="0"/>
        <v>0</v>
      </c>
      <c r="I61" s="83">
        <f t="shared" si="1"/>
        <v>0</v>
      </c>
      <c r="J61" s="84" t="str">
        <f t="shared" si="2"/>
        <v>OK</v>
      </c>
    </row>
    <row r="62" spans="1:10" x14ac:dyDescent="0.25">
      <c r="A62" s="29">
        <v>60</v>
      </c>
      <c r="B62" s="72" t="s">
        <v>1294</v>
      </c>
      <c r="C62" s="28" t="s">
        <v>1304</v>
      </c>
      <c r="D62" s="28" t="s">
        <v>1304</v>
      </c>
      <c r="H62" s="82">
        <f t="shared" si="0"/>
        <v>0</v>
      </c>
      <c r="I62" s="83">
        <f t="shared" si="1"/>
        <v>0</v>
      </c>
      <c r="J62" s="84" t="str">
        <f t="shared" si="2"/>
        <v>OK</v>
      </c>
    </row>
    <row r="63" spans="1:10" x14ac:dyDescent="0.25">
      <c r="A63" s="29">
        <v>61</v>
      </c>
      <c r="B63" s="72" t="s">
        <v>1294</v>
      </c>
      <c r="C63" s="28" t="s">
        <v>1305</v>
      </c>
      <c r="D63" s="28" t="s">
        <v>1305</v>
      </c>
      <c r="H63" s="82">
        <f t="shared" si="0"/>
        <v>0</v>
      </c>
      <c r="I63" s="83">
        <f t="shared" si="1"/>
        <v>0</v>
      </c>
      <c r="J63" s="84" t="str">
        <f t="shared" si="2"/>
        <v>OK</v>
      </c>
    </row>
    <row r="64" spans="1:10" x14ac:dyDescent="0.25">
      <c r="A64" s="29">
        <v>62</v>
      </c>
      <c r="B64" s="87" t="s">
        <v>1306</v>
      </c>
      <c r="C64" s="28" t="s">
        <v>1307</v>
      </c>
      <c r="D64" s="28" t="s">
        <v>1307</v>
      </c>
      <c r="H64" s="82">
        <f t="shared" si="0"/>
        <v>0</v>
      </c>
      <c r="I64" s="83">
        <f t="shared" si="1"/>
        <v>0</v>
      </c>
      <c r="J64" s="84" t="str">
        <f t="shared" si="2"/>
        <v>OK</v>
      </c>
    </row>
    <row r="65" spans="1:10" x14ac:dyDescent="0.25">
      <c r="A65" s="29">
        <v>63</v>
      </c>
      <c r="B65" s="87" t="s">
        <v>1306</v>
      </c>
      <c r="C65" s="28" t="s">
        <v>1308</v>
      </c>
      <c r="D65" s="28" t="s">
        <v>1308</v>
      </c>
      <c r="H65" s="82">
        <f t="shared" si="0"/>
        <v>0</v>
      </c>
      <c r="I65" s="83">
        <f t="shared" si="1"/>
        <v>0</v>
      </c>
      <c r="J65" s="84" t="str">
        <f t="shared" si="2"/>
        <v>OK</v>
      </c>
    </row>
    <row r="66" spans="1:10" x14ac:dyDescent="0.25">
      <c r="A66" s="29">
        <v>64</v>
      </c>
      <c r="B66" s="87" t="s">
        <v>1306</v>
      </c>
      <c r="C66" s="28" t="s">
        <v>1309</v>
      </c>
      <c r="D66" s="28" t="s">
        <v>1309</v>
      </c>
      <c r="H66" s="82">
        <f t="shared" si="0"/>
        <v>0</v>
      </c>
      <c r="I66" s="83">
        <f t="shared" si="1"/>
        <v>0</v>
      </c>
      <c r="J66" s="84" t="str">
        <f t="shared" si="2"/>
        <v>OK</v>
      </c>
    </row>
    <row r="67" spans="1:10" x14ac:dyDescent="0.25">
      <c r="A67" s="29">
        <v>65</v>
      </c>
      <c r="B67" s="87" t="s">
        <v>1306</v>
      </c>
      <c r="C67" s="28" t="s">
        <v>1310</v>
      </c>
      <c r="D67" s="28" t="s">
        <v>1310</v>
      </c>
      <c r="H67" s="82">
        <f t="shared" si="0"/>
        <v>0</v>
      </c>
      <c r="I67" s="83">
        <f t="shared" si="1"/>
        <v>0</v>
      </c>
      <c r="J67" s="84" t="str">
        <f t="shared" si="2"/>
        <v>OK</v>
      </c>
    </row>
    <row r="68" spans="1:10" x14ac:dyDescent="0.25">
      <c r="A68" s="29">
        <v>66</v>
      </c>
      <c r="B68" s="87" t="s">
        <v>1306</v>
      </c>
      <c r="C68" s="28" t="s">
        <v>1311</v>
      </c>
      <c r="D68" s="28" t="s">
        <v>1311</v>
      </c>
      <c r="H68" s="82">
        <f t="shared" ref="H68:H131" si="3">(F68*G68)*(1+$D$1)</f>
        <v>0</v>
      </c>
      <c r="I68" s="83">
        <f t="shared" ref="I68:I131" si="4">H68-E68</f>
        <v>0</v>
      </c>
      <c r="J68" s="84" t="str">
        <f t="shared" si="2"/>
        <v>OK</v>
      </c>
    </row>
    <row r="69" spans="1:10" x14ac:dyDescent="0.25">
      <c r="A69" s="29">
        <v>67</v>
      </c>
      <c r="B69" s="87" t="s">
        <v>1306</v>
      </c>
      <c r="C69" s="28" t="s">
        <v>1312</v>
      </c>
      <c r="D69" s="28" t="s">
        <v>1312</v>
      </c>
      <c r="H69" s="82">
        <f t="shared" si="3"/>
        <v>0</v>
      </c>
      <c r="I69" s="83">
        <f t="shared" si="4"/>
        <v>0</v>
      </c>
      <c r="J69" s="84" t="str">
        <f t="shared" si="2"/>
        <v>OK</v>
      </c>
    </row>
    <row r="70" spans="1:10" x14ac:dyDescent="0.25">
      <c r="A70" s="29">
        <v>68</v>
      </c>
      <c r="B70" s="87" t="s">
        <v>1306</v>
      </c>
      <c r="C70" s="28" t="s">
        <v>1313</v>
      </c>
      <c r="D70" s="28" t="s">
        <v>1313</v>
      </c>
      <c r="H70" s="82">
        <f t="shared" si="3"/>
        <v>0</v>
      </c>
      <c r="I70" s="83">
        <f t="shared" si="4"/>
        <v>0</v>
      </c>
      <c r="J70" s="84" t="str">
        <f t="shared" si="2"/>
        <v>OK</v>
      </c>
    </row>
    <row r="71" spans="1:10" x14ac:dyDescent="0.25">
      <c r="A71" s="29">
        <v>69</v>
      </c>
      <c r="B71" s="87" t="s">
        <v>1306</v>
      </c>
      <c r="C71" s="28" t="s">
        <v>1314</v>
      </c>
      <c r="D71" s="28" t="s">
        <v>1315</v>
      </c>
      <c r="H71" s="82">
        <f t="shared" si="3"/>
        <v>0</v>
      </c>
      <c r="I71" s="83">
        <f t="shared" si="4"/>
        <v>0</v>
      </c>
      <c r="J71" s="84" t="str">
        <f t="shared" si="2"/>
        <v>OK</v>
      </c>
    </row>
    <row r="72" spans="1:10" x14ac:dyDescent="0.25">
      <c r="A72" s="29">
        <v>70</v>
      </c>
      <c r="B72" s="87" t="s">
        <v>1306</v>
      </c>
      <c r="C72" s="28" t="s">
        <v>1314</v>
      </c>
      <c r="D72" s="28" t="s">
        <v>1316</v>
      </c>
      <c r="H72" s="82">
        <f t="shared" si="3"/>
        <v>0</v>
      </c>
      <c r="I72" s="83">
        <f t="shared" si="4"/>
        <v>0</v>
      </c>
      <c r="J72" s="84" t="str">
        <f t="shared" si="2"/>
        <v>OK</v>
      </c>
    </row>
    <row r="73" spans="1:10" x14ac:dyDescent="0.25">
      <c r="A73" s="29">
        <v>71</v>
      </c>
      <c r="B73" s="31" t="s">
        <v>1317</v>
      </c>
      <c r="C73" s="28" t="s">
        <v>1318</v>
      </c>
      <c r="D73" s="28" t="s">
        <v>1319</v>
      </c>
      <c r="H73" s="82">
        <f t="shared" si="3"/>
        <v>0</v>
      </c>
      <c r="I73" s="83">
        <f t="shared" si="4"/>
        <v>0</v>
      </c>
      <c r="J73" s="84" t="str">
        <f t="shared" si="2"/>
        <v>OK</v>
      </c>
    </row>
    <row r="74" spans="1:10" x14ac:dyDescent="0.25">
      <c r="A74" s="29">
        <v>72</v>
      </c>
      <c r="B74" s="31" t="s">
        <v>1317</v>
      </c>
      <c r="C74" s="28" t="s">
        <v>1318</v>
      </c>
      <c r="D74" s="28" t="s">
        <v>1320</v>
      </c>
      <c r="H74" s="82">
        <f t="shared" si="3"/>
        <v>0</v>
      </c>
      <c r="I74" s="83">
        <f t="shared" si="4"/>
        <v>0</v>
      </c>
      <c r="J74" s="84" t="str">
        <f t="shared" ref="J74:J137" si="5">IF(E74&lt;H74,"PEDIR","OK")</f>
        <v>OK</v>
      </c>
    </row>
    <row r="75" spans="1:10" x14ac:dyDescent="0.25">
      <c r="A75" s="29">
        <v>73</v>
      </c>
      <c r="B75" s="31" t="s">
        <v>1317</v>
      </c>
      <c r="C75" s="28" t="s">
        <v>1318</v>
      </c>
      <c r="D75" s="28" t="s">
        <v>1321</v>
      </c>
      <c r="H75" s="82">
        <f t="shared" si="3"/>
        <v>0</v>
      </c>
      <c r="I75" s="83">
        <f t="shared" si="4"/>
        <v>0</v>
      </c>
      <c r="J75" s="84" t="str">
        <f t="shared" si="5"/>
        <v>OK</v>
      </c>
    </row>
    <row r="76" spans="1:10" x14ac:dyDescent="0.25">
      <c r="A76" s="29">
        <v>74</v>
      </c>
      <c r="B76" s="31" t="s">
        <v>1317</v>
      </c>
      <c r="C76" s="28" t="s">
        <v>1322</v>
      </c>
      <c r="D76" s="28" t="s">
        <v>1323</v>
      </c>
      <c r="H76" s="82">
        <f t="shared" si="3"/>
        <v>0</v>
      </c>
      <c r="I76" s="83">
        <f t="shared" si="4"/>
        <v>0</v>
      </c>
      <c r="J76" s="84" t="str">
        <f t="shared" si="5"/>
        <v>OK</v>
      </c>
    </row>
    <row r="77" spans="1:10" x14ac:dyDescent="0.25">
      <c r="A77" s="29">
        <v>75</v>
      </c>
      <c r="B77" s="31" t="s">
        <v>1317</v>
      </c>
      <c r="C77" s="28" t="s">
        <v>1324</v>
      </c>
      <c r="D77" s="28" t="s">
        <v>1324</v>
      </c>
      <c r="H77" s="82">
        <f t="shared" si="3"/>
        <v>0</v>
      </c>
      <c r="I77" s="83">
        <f t="shared" si="4"/>
        <v>0</v>
      </c>
      <c r="J77" s="84" t="str">
        <f t="shared" si="5"/>
        <v>OK</v>
      </c>
    </row>
    <row r="78" spans="1:10" x14ac:dyDescent="0.25">
      <c r="A78" s="29">
        <v>76</v>
      </c>
      <c r="B78" s="31" t="s">
        <v>1317</v>
      </c>
      <c r="C78" s="28" t="s">
        <v>1325</v>
      </c>
      <c r="D78" s="28" t="s">
        <v>1326</v>
      </c>
      <c r="H78" s="82">
        <f t="shared" si="3"/>
        <v>0</v>
      </c>
      <c r="I78" s="83">
        <f t="shared" si="4"/>
        <v>0</v>
      </c>
      <c r="J78" s="84" t="str">
        <f t="shared" si="5"/>
        <v>OK</v>
      </c>
    </row>
    <row r="79" spans="1:10" x14ac:dyDescent="0.25">
      <c r="A79" s="29">
        <v>77</v>
      </c>
      <c r="B79" s="31" t="s">
        <v>1317</v>
      </c>
      <c r="C79" s="28" t="s">
        <v>1327</v>
      </c>
      <c r="D79" s="28" t="s">
        <v>1328</v>
      </c>
      <c r="H79" s="82">
        <f t="shared" si="3"/>
        <v>0</v>
      </c>
      <c r="I79" s="83">
        <f t="shared" si="4"/>
        <v>0</v>
      </c>
      <c r="J79" s="84" t="str">
        <f t="shared" si="5"/>
        <v>OK</v>
      </c>
    </row>
    <row r="80" spans="1:10" x14ac:dyDescent="0.25">
      <c r="A80" s="29">
        <v>78</v>
      </c>
      <c r="B80" s="31" t="s">
        <v>1317</v>
      </c>
      <c r="C80" s="28" t="s">
        <v>1327</v>
      </c>
      <c r="D80" s="28" t="s">
        <v>1329</v>
      </c>
      <c r="H80" s="82">
        <f t="shared" si="3"/>
        <v>0</v>
      </c>
      <c r="I80" s="83">
        <f t="shared" si="4"/>
        <v>0</v>
      </c>
      <c r="J80" s="84" t="str">
        <f t="shared" si="5"/>
        <v>OK</v>
      </c>
    </row>
    <row r="81" spans="1:10" x14ac:dyDescent="0.25">
      <c r="A81" s="29">
        <v>79</v>
      </c>
      <c r="B81" s="31" t="s">
        <v>1317</v>
      </c>
      <c r="C81" s="28" t="s">
        <v>1327</v>
      </c>
      <c r="D81" s="28" t="s">
        <v>1330</v>
      </c>
      <c r="H81" s="82">
        <f t="shared" si="3"/>
        <v>0</v>
      </c>
      <c r="I81" s="83">
        <f t="shared" si="4"/>
        <v>0</v>
      </c>
      <c r="J81" s="84" t="str">
        <f t="shared" si="5"/>
        <v>OK</v>
      </c>
    </row>
    <row r="82" spans="1:10" x14ac:dyDescent="0.25">
      <c r="A82" s="29">
        <v>80</v>
      </c>
      <c r="B82" s="31" t="s">
        <v>1317</v>
      </c>
      <c r="C82" s="28" t="s">
        <v>1331</v>
      </c>
      <c r="D82" s="28" t="s">
        <v>1331</v>
      </c>
      <c r="H82" s="82">
        <f t="shared" si="3"/>
        <v>0</v>
      </c>
      <c r="I82" s="83">
        <f t="shared" si="4"/>
        <v>0</v>
      </c>
      <c r="J82" s="84" t="str">
        <f t="shared" si="5"/>
        <v>OK</v>
      </c>
    </row>
    <row r="83" spans="1:10" x14ac:dyDescent="0.25">
      <c r="A83" s="29">
        <v>81</v>
      </c>
      <c r="B83" s="31" t="s">
        <v>1317</v>
      </c>
      <c r="C83" s="28" t="s">
        <v>1330</v>
      </c>
      <c r="D83" s="28" t="s">
        <v>1247</v>
      </c>
      <c r="H83" s="82">
        <f t="shared" si="3"/>
        <v>0</v>
      </c>
      <c r="I83" s="83">
        <f t="shared" si="4"/>
        <v>0</v>
      </c>
      <c r="J83" s="84" t="str">
        <f t="shared" si="5"/>
        <v>OK</v>
      </c>
    </row>
    <row r="84" spans="1:10" x14ac:dyDescent="0.25">
      <c r="A84" s="29">
        <v>82</v>
      </c>
      <c r="B84" s="31" t="s">
        <v>1317</v>
      </c>
      <c r="C84" s="28" t="s">
        <v>1330</v>
      </c>
      <c r="D84" s="28" t="s">
        <v>1332</v>
      </c>
      <c r="H84" s="82">
        <f t="shared" si="3"/>
        <v>0</v>
      </c>
      <c r="I84" s="83">
        <f t="shared" si="4"/>
        <v>0</v>
      </c>
      <c r="J84" s="84" t="str">
        <f t="shared" si="5"/>
        <v>OK</v>
      </c>
    </row>
    <row r="85" spans="1:10" x14ac:dyDescent="0.25">
      <c r="A85" s="29">
        <v>83</v>
      </c>
      <c r="B85" s="31" t="s">
        <v>1317</v>
      </c>
      <c r="C85" s="28" t="s">
        <v>1330</v>
      </c>
      <c r="D85" s="28" t="s">
        <v>1333</v>
      </c>
      <c r="H85" s="82">
        <f t="shared" si="3"/>
        <v>0</v>
      </c>
      <c r="I85" s="83">
        <f t="shared" si="4"/>
        <v>0</v>
      </c>
      <c r="J85" s="84" t="str">
        <f t="shared" si="5"/>
        <v>OK</v>
      </c>
    </row>
    <row r="86" spans="1:10" x14ac:dyDescent="0.25">
      <c r="A86" s="29">
        <v>84</v>
      </c>
      <c r="B86" s="31" t="s">
        <v>1317</v>
      </c>
      <c r="C86" s="28" t="s">
        <v>1334</v>
      </c>
      <c r="D86" s="28" t="s">
        <v>1335</v>
      </c>
      <c r="H86" s="82">
        <f t="shared" si="3"/>
        <v>0</v>
      </c>
      <c r="I86" s="83">
        <f t="shared" si="4"/>
        <v>0</v>
      </c>
      <c r="J86" s="84" t="str">
        <f t="shared" si="5"/>
        <v>OK</v>
      </c>
    </row>
    <row r="87" spans="1:10" x14ac:dyDescent="0.25">
      <c r="A87" s="29">
        <v>85</v>
      </c>
      <c r="B87" s="31" t="s">
        <v>1317</v>
      </c>
      <c r="C87" s="28" t="s">
        <v>1334</v>
      </c>
      <c r="D87" s="28" t="s">
        <v>1336</v>
      </c>
      <c r="H87" s="82">
        <f t="shared" si="3"/>
        <v>0</v>
      </c>
      <c r="I87" s="83">
        <f t="shared" si="4"/>
        <v>0</v>
      </c>
      <c r="J87" s="84" t="str">
        <f t="shared" si="5"/>
        <v>OK</v>
      </c>
    </row>
    <row r="88" spans="1:10" x14ac:dyDescent="0.25">
      <c r="A88" s="29">
        <v>86</v>
      </c>
      <c r="B88" s="31" t="s">
        <v>1317</v>
      </c>
      <c r="C88" s="28" t="s">
        <v>1334</v>
      </c>
      <c r="D88" s="28" t="s">
        <v>1337</v>
      </c>
      <c r="H88" s="82">
        <f t="shared" si="3"/>
        <v>0</v>
      </c>
      <c r="I88" s="83">
        <f t="shared" si="4"/>
        <v>0</v>
      </c>
      <c r="J88" s="84" t="str">
        <f t="shared" si="5"/>
        <v>OK</v>
      </c>
    </row>
    <row r="89" spans="1:10" x14ac:dyDescent="0.25">
      <c r="A89" s="29">
        <v>87</v>
      </c>
      <c r="B89" s="31" t="s">
        <v>1317</v>
      </c>
      <c r="C89" s="28" t="s">
        <v>1338</v>
      </c>
      <c r="D89" s="28" t="s">
        <v>1339</v>
      </c>
      <c r="H89" s="82">
        <f t="shared" si="3"/>
        <v>0</v>
      </c>
      <c r="I89" s="83">
        <f t="shared" si="4"/>
        <v>0</v>
      </c>
      <c r="J89" s="84" t="str">
        <f t="shared" si="5"/>
        <v>OK</v>
      </c>
    </row>
    <row r="90" spans="1:10" x14ac:dyDescent="0.25">
      <c r="A90" s="29">
        <v>88</v>
      </c>
      <c r="B90" s="31" t="s">
        <v>1317</v>
      </c>
      <c r="C90" s="28" t="s">
        <v>1338</v>
      </c>
      <c r="D90" s="28" t="s">
        <v>1340</v>
      </c>
      <c r="H90" s="82">
        <f t="shared" si="3"/>
        <v>0</v>
      </c>
      <c r="I90" s="83">
        <f t="shared" si="4"/>
        <v>0</v>
      </c>
      <c r="J90" s="84" t="str">
        <f t="shared" si="5"/>
        <v>OK</v>
      </c>
    </row>
    <row r="91" spans="1:10" x14ac:dyDescent="0.25">
      <c r="A91" s="29">
        <v>89</v>
      </c>
      <c r="B91" s="31" t="s">
        <v>1317</v>
      </c>
      <c r="C91" s="28" t="s">
        <v>1338</v>
      </c>
      <c r="D91" s="28" t="s">
        <v>1341</v>
      </c>
      <c r="H91" s="82">
        <f t="shared" si="3"/>
        <v>0</v>
      </c>
      <c r="I91" s="83">
        <f t="shared" si="4"/>
        <v>0</v>
      </c>
      <c r="J91" s="84" t="str">
        <f t="shared" si="5"/>
        <v>OK</v>
      </c>
    </row>
    <row r="92" spans="1:10" x14ac:dyDescent="0.25">
      <c r="A92" s="29">
        <v>90</v>
      </c>
      <c r="B92" s="31" t="s">
        <v>1317</v>
      </c>
      <c r="C92" s="28" t="s">
        <v>1342</v>
      </c>
      <c r="D92" s="28" t="s">
        <v>1343</v>
      </c>
      <c r="H92" s="82">
        <f t="shared" si="3"/>
        <v>0</v>
      </c>
      <c r="I92" s="83">
        <f t="shared" si="4"/>
        <v>0</v>
      </c>
      <c r="J92" s="84" t="str">
        <f t="shared" si="5"/>
        <v>OK</v>
      </c>
    </row>
    <row r="93" spans="1:10" x14ac:dyDescent="0.25">
      <c r="A93" s="29">
        <v>91</v>
      </c>
      <c r="B93" s="31" t="s">
        <v>1317</v>
      </c>
      <c r="C93" s="28" t="s">
        <v>1342</v>
      </c>
      <c r="D93" s="28" t="s">
        <v>1344</v>
      </c>
      <c r="H93" s="82">
        <f t="shared" si="3"/>
        <v>0</v>
      </c>
      <c r="I93" s="83">
        <f t="shared" si="4"/>
        <v>0</v>
      </c>
      <c r="J93" s="84" t="str">
        <f t="shared" si="5"/>
        <v>OK</v>
      </c>
    </row>
    <row r="94" spans="1:10" x14ac:dyDescent="0.25">
      <c r="A94" s="29">
        <v>92</v>
      </c>
      <c r="B94" s="31" t="s">
        <v>1317</v>
      </c>
      <c r="C94" s="28" t="s">
        <v>1342</v>
      </c>
      <c r="D94" s="28" t="s">
        <v>1345</v>
      </c>
      <c r="H94" s="82">
        <f t="shared" si="3"/>
        <v>0</v>
      </c>
      <c r="I94" s="83">
        <f t="shared" si="4"/>
        <v>0</v>
      </c>
      <c r="J94" s="84" t="str">
        <f t="shared" si="5"/>
        <v>OK</v>
      </c>
    </row>
    <row r="95" spans="1:10" x14ac:dyDescent="0.25">
      <c r="A95" s="29">
        <v>93</v>
      </c>
      <c r="B95" s="31" t="s">
        <v>1317</v>
      </c>
      <c r="C95" s="28" t="s">
        <v>1346</v>
      </c>
      <c r="D95" s="28" t="s">
        <v>1347</v>
      </c>
      <c r="H95" s="82">
        <f t="shared" si="3"/>
        <v>0</v>
      </c>
      <c r="I95" s="83">
        <f t="shared" si="4"/>
        <v>0</v>
      </c>
      <c r="J95" s="84" t="str">
        <f t="shared" si="5"/>
        <v>OK</v>
      </c>
    </row>
    <row r="96" spans="1:10" x14ac:dyDescent="0.25">
      <c r="A96" s="29">
        <v>94</v>
      </c>
      <c r="B96" s="31" t="s">
        <v>1317</v>
      </c>
      <c r="C96" s="28" t="s">
        <v>1346</v>
      </c>
      <c r="D96" s="28" t="s">
        <v>1275</v>
      </c>
      <c r="H96" s="82">
        <f t="shared" si="3"/>
        <v>0</v>
      </c>
      <c r="I96" s="83">
        <f t="shared" si="4"/>
        <v>0</v>
      </c>
      <c r="J96" s="84" t="str">
        <f t="shared" si="5"/>
        <v>OK</v>
      </c>
    </row>
    <row r="97" spans="1:10" x14ac:dyDescent="0.25">
      <c r="A97" s="29">
        <v>95</v>
      </c>
      <c r="B97" s="31" t="s">
        <v>1317</v>
      </c>
      <c r="C97" s="28" t="s">
        <v>1346</v>
      </c>
      <c r="D97" s="28" t="s">
        <v>1348</v>
      </c>
      <c r="H97" s="82">
        <f t="shared" si="3"/>
        <v>0</v>
      </c>
      <c r="I97" s="83">
        <f t="shared" si="4"/>
        <v>0</v>
      </c>
      <c r="J97" s="84" t="str">
        <f t="shared" si="5"/>
        <v>OK</v>
      </c>
    </row>
    <row r="98" spans="1:10" x14ac:dyDescent="0.25">
      <c r="A98" s="29">
        <v>96</v>
      </c>
      <c r="B98" s="31" t="s">
        <v>1317</v>
      </c>
      <c r="C98" s="28" t="s">
        <v>1346</v>
      </c>
      <c r="D98" s="28" t="s">
        <v>1349</v>
      </c>
      <c r="H98" s="82">
        <f t="shared" si="3"/>
        <v>0</v>
      </c>
      <c r="I98" s="83">
        <f t="shared" si="4"/>
        <v>0</v>
      </c>
      <c r="J98" s="84" t="str">
        <f t="shared" si="5"/>
        <v>OK</v>
      </c>
    </row>
    <row r="99" spans="1:10" x14ac:dyDescent="0.25">
      <c r="A99" s="29">
        <v>97</v>
      </c>
      <c r="B99" s="31" t="s">
        <v>1317</v>
      </c>
      <c r="C99" s="28" t="s">
        <v>1350</v>
      </c>
      <c r="D99" s="28" t="s">
        <v>1350</v>
      </c>
      <c r="H99" s="82">
        <f t="shared" si="3"/>
        <v>0</v>
      </c>
      <c r="I99" s="83">
        <f t="shared" si="4"/>
        <v>0</v>
      </c>
      <c r="J99" s="84" t="str">
        <f t="shared" si="5"/>
        <v>OK</v>
      </c>
    </row>
    <row r="100" spans="1:10" x14ac:dyDescent="0.25">
      <c r="A100" s="29">
        <v>98</v>
      </c>
      <c r="B100" s="30" t="s">
        <v>1351</v>
      </c>
      <c r="C100" s="28" t="s">
        <v>1351</v>
      </c>
      <c r="D100" s="28" t="s">
        <v>1352</v>
      </c>
      <c r="H100" s="82">
        <f t="shared" si="3"/>
        <v>0</v>
      </c>
      <c r="I100" s="83">
        <f t="shared" si="4"/>
        <v>0</v>
      </c>
      <c r="J100" s="84" t="str">
        <f t="shared" si="5"/>
        <v>OK</v>
      </c>
    </row>
    <row r="101" spans="1:10" x14ac:dyDescent="0.25">
      <c r="A101" s="29">
        <v>99</v>
      </c>
      <c r="B101" s="30" t="s">
        <v>1351</v>
      </c>
      <c r="C101" s="28" t="s">
        <v>1351</v>
      </c>
      <c r="D101" s="28" t="s">
        <v>1353</v>
      </c>
      <c r="H101" s="82">
        <f t="shared" si="3"/>
        <v>0</v>
      </c>
      <c r="I101" s="83">
        <f t="shared" si="4"/>
        <v>0</v>
      </c>
      <c r="J101" s="84" t="str">
        <f t="shared" si="5"/>
        <v>OK</v>
      </c>
    </row>
    <row r="102" spans="1:10" x14ac:dyDescent="0.25">
      <c r="A102" s="29">
        <v>100</v>
      </c>
      <c r="B102" s="30" t="s">
        <v>1351</v>
      </c>
      <c r="C102" s="28" t="s">
        <v>1351</v>
      </c>
      <c r="D102" s="28" t="s">
        <v>1354</v>
      </c>
      <c r="H102" s="82">
        <f t="shared" si="3"/>
        <v>0</v>
      </c>
      <c r="I102" s="83">
        <f t="shared" si="4"/>
        <v>0</v>
      </c>
      <c r="J102" s="84" t="str">
        <f t="shared" si="5"/>
        <v>OK</v>
      </c>
    </row>
    <row r="103" spans="1:10" x14ac:dyDescent="0.25">
      <c r="A103" s="29">
        <v>101</v>
      </c>
      <c r="B103" s="30" t="s">
        <v>1351</v>
      </c>
      <c r="C103" s="28" t="s">
        <v>1351</v>
      </c>
      <c r="D103" s="28" t="s">
        <v>1355</v>
      </c>
      <c r="H103" s="82">
        <f t="shared" si="3"/>
        <v>0</v>
      </c>
      <c r="I103" s="83">
        <f t="shared" si="4"/>
        <v>0</v>
      </c>
      <c r="J103" s="84" t="str">
        <f t="shared" si="5"/>
        <v>OK</v>
      </c>
    </row>
    <row r="104" spans="1:10" x14ac:dyDescent="0.25">
      <c r="A104" s="29">
        <v>102</v>
      </c>
      <c r="B104" s="30" t="s">
        <v>1351</v>
      </c>
      <c r="C104" s="28" t="s">
        <v>1351</v>
      </c>
      <c r="D104" s="28" t="s">
        <v>1356</v>
      </c>
      <c r="H104" s="82">
        <f t="shared" si="3"/>
        <v>0</v>
      </c>
      <c r="I104" s="83">
        <f t="shared" si="4"/>
        <v>0</v>
      </c>
      <c r="J104" s="84" t="str">
        <f t="shared" si="5"/>
        <v>OK</v>
      </c>
    </row>
    <row r="105" spans="1:10" x14ac:dyDescent="0.25">
      <c r="A105" s="29">
        <v>103</v>
      </c>
      <c r="B105" s="30" t="s">
        <v>1351</v>
      </c>
      <c r="C105" s="28" t="s">
        <v>1351</v>
      </c>
      <c r="D105" s="28" t="s">
        <v>1357</v>
      </c>
      <c r="H105" s="82">
        <f t="shared" si="3"/>
        <v>0</v>
      </c>
      <c r="I105" s="83">
        <f t="shared" si="4"/>
        <v>0</v>
      </c>
      <c r="J105" s="84" t="str">
        <f t="shared" si="5"/>
        <v>OK</v>
      </c>
    </row>
    <row r="106" spans="1:10" x14ac:dyDescent="0.25">
      <c r="A106" s="29">
        <v>104</v>
      </c>
      <c r="B106" s="30" t="s">
        <v>1351</v>
      </c>
      <c r="C106" s="28" t="s">
        <v>1351</v>
      </c>
      <c r="D106" s="28" t="s">
        <v>1358</v>
      </c>
      <c r="H106" s="82">
        <f t="shared" si="3"/>
        <v>0</v>
      </c>
      <c r="I106" s="83">
        <f t="shared" si="4"/>
        <v>0</v>
      </c>
      <c r="J106" s="84" t="str">
        <f t="shared" si="5"/>
        <v>OK</v>
      </c>
    </row>
    <row r="107" spans="1:10" x14ac:dyDescent="0.25">
      <c r="A107" s="29">
        <v>105</v>
      </c>
      <c r="B107" s="30" t="s">
        <v>1351</v>
      </c>
      <c r="C107" s="28" t="s">
        <v>1351</v>
      </c>
      <c r="D107" s="28" t="s">
        <v>1359</v>
      </c>
      <c r="H107" s="82">
        <f t="shared" si="3"/>
        <v>0</v>
      </c>
      <c r="I107" s="83">
        <f t="shared" si="4"/>
        <v>0</v>
      </c>
      <c r="J107" s="84" t="str">
        <f t="shared" si="5"/>
        <v>OK</v>
      </c>
    </row>
    <row r="108" spans="1:10" x14ac:dyDescent="0.25">
      <c r="A108" s="29">
        <v>106</v>
      </c>
      <c r="B108" s="30" t="s">
        <v>1351</v>
      </c>
      <c r="C108" s="28" t="s">
        <v>1351</v>
      </c>
      <c r="D108" s="28" t="s">
        <v>1360</v>
      </c>
      <c r="H108" s="82">
        <f t="shared" si="3"/>
        <v>0</v>
      </c>
      <c r="I108" s="83">
        <f t="shared" si="4"/>
        <v>0</v>
      </c>
      <c r="J108" s="84" t="str">
        <f t="shared" si="5"/>
        <v>OK</v>
      </c>
    </row>
    <row r="109" spans="1:10" x14ac:dyDescent="0.25">
      <c r="A109" s="29">
        <v>107</v>
      </c>
      <c r="B109" s="30" t="s">
        <v>1351</v>
      </c>
      <c r="C109" s="28" t="s">
        <v>1351</v>
      </c>
      <c r="D109" s="28" t="s">
        <v>1361</v>
      </c>
      <c r="H109" s="82">
        <f t="shared" si="3"/>
        <v>0</v>
      </c>
      <c r="I109" s="83">
        <f t="shared" si="4"/>
        <v>0</v>
      </c>
      <c r="J109" s="84" t="str">
        <f t="shared" si="5"/>
        <v>OK</v>
      </c>
    </row>
    <row r="110" spans="1:10" x14ac:dyDescent="0.25">
      <c r="A110" s="29">
        <v>108</v>
      </c>
      <c r="B110" s="30" t="s">
        <v>1351</v>
      </c>
      <c r="C110" s="28" t="s">
        <v>1351</v>
      </c>
      <c r="D110" s="28" t="s">
        <v>1362</v>
      </c>
      <c r="H110" s="82">
        <f t="shared" si="3"/>
        <v>0</v>
      </c>
      <c r="I110" s="83">
        <f t="shared" si="4"/>
        <v>0</v>
      </c>
      <c r="J110" s="84" t="str">
        <f t="shared" si="5"/>
        <v>OK</v>
      </c>
    </row>
    <row r="111" spans="1:10" x14ac:dyDescent="0.25">
      <c r="A111" s="29">
        <v>109</v>
      </c>
      <c r="B111" s="30" t="s">
        <v>1351</v>
      </c>
      <c r="C111" s="28" t="s">
        <v>1351</v>
      </c>
      <c r="D111" s="28" t="s">
        <v>1363</v>
      </c>
      <c r="H111" s="82">
        <f t="shared" si="3"/>
        <v>0</v>
      </c>
      <c r="I111" s="83">
        <f t="shared" si="4"/>
        <v>0</v>
      </c>
      <c r="J111" s="84" t="str">
        <f t="shared" si="5"/>
        <v>OK</v>
      </c>
    </row>
    <row r="112" spans="1:10" x14ac:dyDescent="0.25">
      <c r="A112" s="29">
        <v>110</v>
      </c>
      <c r="B112" s="30" t="s">
        <v>1351</v>
      </c>
      <c r="C112" s="28" t="s">
        <v>1263</v>
      </c>
      <c r="D112" s="28" t="s">
        <v>1364</v>
      </c>
      <c r="H112" s="82">
        <f t="shared" si="3"/>
        <v>0</v>
      </c>
      <c r="I112" s="83">
        <f t="shared" si="4"/>
        <v>0</v>
      </c>
      <c r="J112" s="84" t="str">
        <f t="shared" si="5"/>
        <v>OK</v>
      </c>
    </row>
    <row r="113" spans="1:10" x14ac:dyDescent="0.25">
      <c r="A113" s="29">
        <v>111</v>
      </c>
      <c r="B113" s="30" t="s">
        <v>1351</v>
      </c>
      <c r="C113" s="28" t="s">
        <v>1263</v>
      </c>
      <c r="D113" s="28" t="s">
        <v>1265</v>
      </c>
      <c r="H113" s="82">
        <f t="shared" si="3"/>
        <v>0</v>
      </c>
      <c r="I113" s="83">
        <f t="shared" si="4"/>
        <v>0</v>
      </c>
      <c r="J113" s="84" t="str">
        <f t="shared" si="5"/>
        <v>OK</v>
      </c>
    </row>
    <row r="114" spans="1:10" x14ac:dyDescent="0.25">
      <c r="A114" s="29">
        <v>112</v>
      </c>
      <c r="B114" s="30" t="s">
        <v>1351</v>
      </c>
      <c r="C114" s="28" t="s">
        <v>1263</v>
      </c>
      <c r="D114" s="28" t="s">
        <v>1266</v>
      </c>
      <c r="H114" s="82">
        <f t="shared" si="3"/>
        <v>0</v>
      </c>
      <c r="I114" s="83">
        <f t="shared" si="4"/>
        <v>0</v>
      </c>
      <c r="J114" s="84" t="str">
        <f t="shared" si="5"/>
        <v>OK</v>
      </c>
    </row>
    <row r="115" spans="1:10" x14ac:dyDescent="0.25">
      <c r="A115" s="29">
        <v>113</v>
      </c>
      <c r="B115" s="30" t="s">
        <v>1351</v>
      </c>
      <c r="C115" s="28" t="s">
        <v>1263</v>
      </c>
      <c r="D115" s="28" t="s">
        <v>1365</v>
      </c>
      <c r="H115" s="82">
        <f t="shared" si="3"/>
        <v>0</v>
      </c>
      <c r="I115" s="83">
        <f t="shared" si="4"/>
        <v>0</v>
      </c>
      <c r="J115" s="84" t="str">
        <f t="shared" si="5"/>
        <v>OK</v>
      </c>
    </row>
    <row r="116" spans="1:10" x14ac:dyDescent="0.25">
      <c r="A116" s="29">
        <v>114</v>
      </c>
      <c r="B116" s="30" t="s">
        <v>1351</v>
      </c>
      <c r="C116" s="28" t="s">
        <v>1366</v>
      </c>
      <c r="D116" s="28" t="s">
        <v>1367</v>
      </c>
      <c r="H116" s="82">
        <f t="shared" si="3"/>
        <v>0</v>
      </c>
      <c r="I116" s="83">
        <f t="shared" si="4"/>
        <v>0</v>
      </c>
      <c r="J116" s="84" t="str">
        <f t="shared" si="5"/>
        <v>OK</v>
      </c>
    </row>
    <row r="117" spans="1:10" x14ac:dyDescent="0.25">
      <c r="A117" s="29">
        <v>115</v>
      </c>
      <c r="B117" s="30" t="s">
        <v>1351</v>
      </c>
      <c r="C117" s="28" t="s">
        <v>1366</v>
      </c>
      <c r="D117" s="28" t="s">
        <v>1368</v>
      </c>
      <c r="H117" s="82">
        <f t="shared" si="3"/>
        <v>0</v>
      </c>
      <c r="I117" s="83">
        <f t="shared" si="4"/>
        <v>0</v>
      </c>
      <c r="J117" s="84" t="str">
        <f t="shared" si="5"/>
        <v>OK</v>
      </c>
    </row>
    <row r="118" spans="1:10" x14ac:dyDescent="0.25">
      <c r="A118" s="29">
        <v>116</v>
      </c>
      <c r="B118" s="30" t="s">
        <v>1351</v>
      </c>
      <c r="C118" s="28" t="s">
        <v>1366</v>
      </c>
      <c r="D118" s="28" t="s">
        <v>1369</v>
      </c>
      <c r="H118" s="82">
        <f t="shared" si="3"/>
        <v>0</v>
      </c>
      <c r="I118" s="83">
        <f t="shared" si="4"/>
        <v>0</v>
      </c>
      <c r="J118" s="84" t="str">
        <f t="shared" si="5"/>
        <v>OK</v>
      </c>
    </row>
    <row r="119" spans="1:10" x14ac:dyDescent="0.25">
      <c r="A119" s="29">
        <v>117</v>
      </c>
      <c r="B119" s="30" t="s">
        <v>1351</v>
      </c>
      <c r="C119" s="28" t="s">
        <v>1366</v>
      </c>
      <c r="D119" s="28" t="s">
        <v>1370</v>
      </c>
      <c r="H119" s="82">
        <f t="shared" si="3"/>
        <v>0</v>
      </c>
      <c r="I119" s="83">
        <f t="shared" si="4"/>
        <v>0</v>
      </c>
      <c r="J119" s="84" t="str">
        <f t="shared" si="5"/>
        <v>OK</v>
      </c>
    </row>
    <row r="120" spans="1:10" x14ac:dyDescent="0.25">
      <c r="A120" s="29">
        <v>118</v>
      </c>
      <c r="B120" s="30" t="s">
        <v>1351</v>
      </c>
      <c r="C120" s="28" t="s">
        <v>1366</v>
      </c>
      <c r="D120" s="28" t="s">
        <v>1371</v>
      </c>
      <c r="H120" s="82">
        <f t="shared" si="3"/>
        <v>0</v>
      </c>
      <c r="I120" s="83">
        <f t="shared" si="4"/>
        <v>0</v>
      </c>
      <c r="J120" s="84" t="str">
        <f t="shared" si="5"/>
        <v>OK</v>
      </c>
    </row>
    <row r="121" spans="1:10" x14ac:dyDescent="0.25">
      <c r="A121" s="29">
        <v>119</v>
      </c>
      <c r="B121" s="30" t="s">
        <v>1351</v>
      </c>
      <c r="C121" s="28" t="s">
        <v>1366</v>
      </c>
      <c r="D121" s="28" t="s">
        <v>1372</v>
      </c>
      <c r="H121" s="82">
        <f t="shared" si="3"/>
        <v>0</v>
      </c>
      <c r="I121" s="83">
        <f t="shared" si="4"/>
        <v>0</v>
      </c>
      <c r="J121" s="84" t="str">
        <f t="shared" si="5"/>
        <v>OK</v>
      </c>
    </row>
    <row r="122" spans="1:10" x14ac:dyDescent="0.25">
      <c r="A122" s="29">
        <v>120</v>
      </c>
      <c r="B122" s="30" t="s">
        <v>1351</v>
      </c>
      <c r="C122" s="28" t="s">
        <v>1373</v>
      </c>
      <c r="D122" s="28" t="s">
        <v>1374</v>
      </c>
      <c r="H122" s="82">
        <f t="shared" si="3"/>
        <v>0</v>
      </c>
      <c r="I122" s="83">
        <f t="shared" si="4"/>
        <v>0</v>
      </c>
      <c r="J122" s="84" t="str">
        <f t="shared" si="5"/>
        <v>OK</v>
      </c>
    </row>
    <row r="123" spans="1:10" x14ac:dyDescent="0.25">
      <c r="A123" s="29">
        <v>121</v>
      </c>
      <c r="B123" s="30" t="s">
        <v>1351</v>
      </c>
      <c r="C123" s="28" t="s">
        <v>1373</v>
      </c>
      <c r="D123" s="28" t="s">
        <v>1375</v>
      </c>
      <c r="H123" s="82">
        <f t="shared" si="3"/>
        <v>0</v>
      </c>
      <c r="I123" s="83">
        <f t="shared" si="4"/>
        <v>0</v>
      </c>
      <c r="J123" s="84" t="str">
        <f t="shared" si="5"/>
        <v>OK</v>
      </c>
    </row>
    <row r="124" spans="1:10" x14ac:dyDescent="0.25">
      <c r="A124" s="29">
        <v>122</v>
      </c>
      <c r="B124" s="30" t="s">
        <v>1351</v>
      </c>
      <c r="C124" s="28" t="s">
        <v>1373</v>
      </c>
      <c r="D124" s="28" t="s">
        <v>1376</v>
      </c>
      <c r="H124" s="82">
        <f t="shared" si="3"/>
        <v>0</v>
      </c>
      <c r="I124" s="83">
        <f t="shared" si="4"/>
        <v>0</v>
      </c>
      <c r="J124" s="84" t="str">
        <f t="shared" si="5"/>
        <v>OK</v>
      </c>
    </row>
    <row r="125" spans="1:10" x14ac:dyDescent="0.25">
      <c r="A125" s="29">
        <v>123</v>
      </c>
      <c r="B125" s="30" t="s">
        <v>1351</v>
      </c>
      <c r="C125" s="28" t="s">
        <v>1373</v>
      </c>
      <c r="D125" s="28" t="s">
        <v>1377</v>
      </c>
      <c r="H125" s="82">
        <f t="shared" si="3"/>
        <v>0</v>
      </c>
      <c r="I125" s="83">
        <f t="shared" si="4"/>
        <v>0</v>
      </c>
      <c r="J125" s="84" t="str">
        <f t="shared" si="5"/>
        <v>OK</v>
      </c>
    </row>
    <row r="126" spans="1:10" x14ac:dyDescent="0.25">
      <c r="A126" s="29">
        <v>124</v>
      </c>
      <c r="B126" s="30" t="s">
        <v>1351</v>
      </c>
      <c r="C126" s="28" t="s">
        <v>1373</v>
      </c>
      <c r="D126" s="28" t="s">
        <v>1378</v>
      </c>
      <c r="H126" s="82">
        <f t="shared" si="3"/>
        <v>0</v>
      </c>
      <c r="I126" s="83">
        <f t="shared" si="4"/>
        <v>0</v>
      </c>
      <c r="J126" s="84" t="str">
        <f t="shared" si="5"/>
        <v>OK</v>
      </c>
    </row>
    <row r="127" spans="1:10" x14ac:dyDescent="0.25">
      <c r="A127" s="29">
        <v>125</v>
      </c>
      <c r="B127" s="30" t="s">
        <v>1379</v>
      </c>
      <c r="C127" s="34" t="s">
        <v>1380</v>
      </c>
      <c r="D127" s="28" t="s">
        <v>1381</v>
      </c>
      <c r="H127" s="82">
        <f t="shared" si="3"/>
        <v>0</v>
      </c>
      <c r="I127" s="83">
        <f t="shared" si="4"/>
        <v>0</v>
      </c>
      <c r="J127" s="84" t="str">
        <f t="shared" si="5"/>
        <v>OK</v>
      </c>
    </row>
    <row r="128" spans="1:10" x14ac:dyDescent="0.25">
      <c r="A128" s="29">
        <v>126</v>
      </c>
      <c r="B128" s="30" t="s">
        <v>1379</v>
      </c>
      <c r="C128" s="34" t="s">
        <v>1380</v>
      </c>
      <c r="D128" s="88" t="s">
        <v>1382</v>
      </c>
      <c r="H128" s="82">
        <f t="shared" si="3"/>
        <v>0</v>
      </c>
      <c r="I128" s="83">
        <f t="shared" si="4"/>
        <v>0</v>
      </c>
      <c r="J128" s="84" t="str">
        <f t="shared" si="5"/>
        <v>OK</v>
      </c>
    </row>
    <row r="129" spans="1:10" x14ac:dyDescent="0.25">
      <c r="A129" s="29">
        <v>127</v>
      </c>
      <c r="B129" s="30" t="s">
        <v>1379</v>
      </c>
      <c r="C129" s="34" t="s">
        <v>1380</v>
      </c>
      <c r="D129" s="88" t="s">
        <v>1383</v>
      </c>
      <c r="H129" s="82">
        <f t="shared" si="3"/>
        <v>0</v>
      </c>
      <c r="I129" s="83">
        <f t="shared" si="4"/>
        <v>0</v>
      </c>
      <c r="J129" s="84" t="str">
        <f t="shared" si="5"/>
        <v>OK</v>
      </c>
    </row>
    <row r="130" spans="1:10" x14ac:dyDescent="0.25">
      <c r="A130" s="29">
        <v>128</v>
      </c>
      <c r="B130" s="30" t="s">
        <v>1379</v>
      </c>
      <c r="C130" s="34" t="s">
        <v>1380</v>
      </c>
      <c r="D130" s="88" t="s">
        <v>1384</v>
      </c>
      <c r="H130" s="82">
        <f t="shared" si="3"/>
        <v>0</v>
      </c>
      <c r="I130" s="83">
        <f t="shared" si="4"/>
        <v>0</v>
      </c>
      <c r="J130" s="84" t="str">
        <f t="shared" si="5"/>
        <v>OK</v>
      </c>
    </row>
    <row r="131" spans="1:10" x14ac:dyDescent="0.25">
      <c r="A131" s="29">
        <v>129</v>
      </c>
      <c r="B131" s="30" t="s">
        <v>1379</v>
      </c>
      <c r="C131" s="34" t="s">
        <v>1380</v>
      </c>
      <c r="D131" s="88" t="s">
        <v>1385</v>
      </c>
      <c r="H131" s="82">
        <f t="shared" si="3"/>
        <v>0</v>
      </c>
      <c r="I131" s="83">
        <f t="shared" si="4"/>
        <v>0</v>
      </c>
      <c r="J131" s="84" t="str">
        <f t="shared" si="5"/>
        <v>OK</v>
      </c>
    </row>
    <row r="132" spans="1:10" x14ac:dyDescent="0.25">
      <c r="A132" s="29">
        <v>130</v>
      </c>
      <c r="B132" s="30" t="s">
        <v>1379</v>
      </c>
      <c r="C132" s="34" t="s">
        <v>1380</v>
      </c>
      <c r="D132" s="88" t="s">
        <v>1386</v>
      </c>
      <c r="H132" s="82">
        <f t="shared" ref="H132:H165" si="6">(F132*G132)*(1+$D$1)</f>
        <v>0</v>
      </c>
      <c r="I132" s="83">
        <f t="shared" ref="I132:I165" si="7">H132-E132</f>
        <v>0</v>
      </c>
      <c r="J132" s="84" t="str">
        <f t="shared" si="5"/>
        <v>OK</v>
      </c>
    </row>
    <row r="133" spans="1:10" x14ac:dyDescent="0.25">
      <c r="A133" s="29">
        <v>131</v>
      </c>
      <c r="B133" s="30" t="s">
        <v>1379</v>
      </c>
      <c r="C133" s="34" t="s">
        <v>1380</v>
      </c>
      <c r="D133" s="88" t="s">
        <v>1387</v>
      </c>
      <c r="H133" s="82">
        <f t="shared" si="6"/>
        <v>0</v>
      </c>
      <c r="I133" s="83">
        <f t="shared" si="7"/>
        <v>0</v>
      </c>
      <c r="J133" s="84" t="str">
        <f t="shared" si="5"/>
        <v>OK</v>
      </c>
    </row>
    <row r="134" spans="1:10" x14ac:dyDescent="0.25">
      <c r="A134" s="29">
        <v>132</v>
      </c>
      <c r="B134" s="30" t="s">
        <v>1379</v>
      </c>
      <c r="C134" s="34" t="s">
        <v>1380</v>
      </c>
      <c r="D134" s="88" t="s">
        <v>1388</v>
      </c>
      <c r="H134" s="82">
        <f t="shared" si="6"/>
        <v>0</v>
      </c>
      <c r="I134" s="83">
        <f t="shared" si="7"/>
        <v>0</v>
      </c>
      <c r="J134" s="84" t="str">
        <f t="shared" si="5"/>
        <v>OK</v>
      </c>
    </row>
    <row r="135" spans="1:10" x14ac:dyDescent="0.25">
      <c r="A135" s="29">
        <v>133</v>
      </c>
      <c r="B135" s="30" t="s">
        <v>1379</v>
      </c>
      <c r="C135" s="34" t="s">
        <v>1380</v>
      </c>
      <c r="D135" s="88" t="s">
        <v>1389</v>
      </c>
      <c r="H135" s="82">
        <f t="shared" si="6"/>
        <v>0</v>
      </c>
      <c r="I135" s="83">
        <f t="shared" si="7"/>
        <v>0</v>
      </c>
      <c r="J135" s="84" t="str">
        <f t="shared" si="5"/>
        <v>OK</v>
      </c>
    </row>
    <row r="136" spans="1:10" x14ac:dyDescent="0.25">
      <c r="A136" s="29">
        <v>134</v>
      </c>
      <c r="B136" s="30" t="s">
        <v>1379</v>
      </c>
      <c r="C136" s="34" t="s">
        <v>1380</v>
      </c>
      <c r="D136" s="88" t="s">
        <v>1390</v>
      </c>
      <c r="H136" s="82">
        <f t="shared" si="6"/>
        <v>0</v>
      </c>
      <c r="I136" s="83">
        <f t="shared" si="7"/>
        <v>0</v>
      </c>
      <c r="J136" s="84" t="str">
        <f t="shared" si="5"/>
        <v>OK</v>
      </c>
    </row>
    <row r="137" spans="1:10" x14ac:dyDescent="0.25">
      <c r="A137" s="29">
        <v>135</v>
      </c>
      <c r="B137" s="30" t="s">
        <v>1379</v>
      </c>
      <c r="C137" s="34" t="s">
        <v>1391</v>
      </c>
      <c r="D137" s="88" t="s">
        <v>1392</v>
      </c>
      <c r="H137" s="82">
        <f t="shared" si="6"/>
        <v>0</v>
      </c>
      <c r="I137" s="83">
        <f t="shared" si="7"/>
        <v>0</v>
      </c>
      <c r="J137" s="84" t="str">
        <f t="shared" si="5"/>
        <v>OK</v>
      </c>
    </row>
    <row r="138" spans="1:10" x14ac:dyDescent="0.25">
      <c r="A138" s="29">
        <v>136</v>
      </c>
      <c r="B138" s="30" t="s">
        <v>1379</v>
      </c>
      <c r="C138" s="34" t="s">
        <v>1391</v>
      </c>
      <c r="D138" s="88" t="s">
        <v>1393</v>
      </c>
      <c r="H138" s="82">
        <f t="shared" si="6"/>
        <v>0</v>
      </c>
      <c r="I138" s="83">
        <f t="shared" si="7"/>
        <v>0</v>
      </c>
      <c r="J138" s="84" t="str">
        <f t="shared" ref="J138:J165" si="8">IF(E138&lt;H138,"PEDIR","OK")</f>
        <v>OK</v>
      </c>
    </row>
    <row r="139" spans="1:10" x14ac:dyDescent="0.25">
      <c r="A139" s="29">
        <v>137</v>
      </c>
      <c r="B139" s="30" t="s">
        <v>1379</v>
      </c>
      <c r="C139" s="34" t="s">
        <v>1391</v>
      </c>
      <c r="D139" s="88" t="s">
        <v>1394</v>
      </c>
      <c r="H139" s="82">
        <f t="shared" si="6"/>
        <v>0</v>
      </c>
      <c r="I139" s="83">
        <f t="shared" si="7"/>
        <v>0</v>
      </c>
      <c r="J139" s="84" t="str">
        <f t="shared" si="8"/>
        <v>OK</v>
      </c>
    </row>
    <row r="140" spans="1:10" x14ac:dyDescent="0.25">
      <c r="A140" s="29">
        <v>138</v>
      </c>
      <c r="B140" s="30" t="s">
        <v>1379</v>
      </c>
      <c r="C140" s="34" t="s">
        <v>1391</v>
      </c>
      <c r="D140" s="88" t="s">
        <v>1395</v>
      </c>
      <c r="H140" s="82">
        <f t="shared" si="6"/>
        <v>0</v>
      </c>
      <c r="I140" s="83">
        <f t="shared" si="7"/>
        <v>0</v>
      </c>
      <c r="J140" s="84" t="str">
        <f t="shared" si="8"/>
        <v>OK</v>
      </c>
    </row>
    <row r="141" spans="1:10" x14ac:dyDescent="0.25">
      <c r="A141" s="29">
        <v>139</v>
      </c>
      <c r="B141" s="30" t="s">
        <v>1379</v>
      </c>
      <c r="C141" s="34" t="s">
        <v>1391</v>
      </c>
      <c r="D141" s="88" t="s">
        <v>1396</v>
      </c>
      <c r="H141" s="82">
        <f t="shared" si="6"/>
        <v>0</v>
      </c>
      <c r="I141" s="83">
        <f t="shared" si="7"/>
        <v>0</v>
      </c>
      <c r="J141" s="84" t="str">
        <f t="shared" si="8"/>
        <v>OK</v>
      </c>
    </row>
    <row r="142" spans="1:10" x14ac:dyDescent="0.25">
      <c r="A142" s="29">
        <v>140</v>
      </c>
      <c r="B142" s="30" t="s">
        <v>1379</v>
      </c>
      <c r="C142" s="34" t="s">
        <v>1391</v>
      </c>
      <c r="D142" s="88" t="s">
        <v>1397</v>
      </c>
      <c r="H142" s="82">
        <f t="shared" si="6"/>
        <v>0</v>
      </c>
      <c r="I142" s="83">
        <f t="shared" si="7"/>
        <v>0</v>
      </c>
      <c r="J142" s="84" t="str">
        <f t="shared" si="8"/>
        <v>OK</v>
      </c>
    </row>
    <row r="143" spans="1:10" x14ac:dyDescent="0.25">
      <c r="A143" s="29">
        <v>141</v>
      </c>
      <c r="B143" s="30" t="s">
        <v>1379</v>
      </c>
      <c r="C143" s="34" t="s">
        <v>1391</v>
      </c>
      <c r="D143" s="88" t="s">
        <v>1398</v>
      </c>
      <c r="H143" s="82">
        <f t="shared" si="6"/>
        <v>0</v>
      </c>
      <c r="I143" s="83">
        <f t="shared" si="7"/>
        <v>0</v>
      </c>
      <c r="J143" s="84" t="str">
        <f t="shared" si="8"/>
        <v>OK</v>
      </c>
    </row>
    <row r="144" spans="1:10" x14ac:dyDescent="0.25">
      <c r="A144" s="29">
        <v>142</v>
      </c>
      <c r="B144" s="30" t="s">
        <v>1379</v>
      </c>
      <c r="C144" s="34" t="s">
        <v>1391</v>
      </c>
      <c r="D144" s="88" t="s">
        <v>1399</v>
      </c>
      <c r="H144" s="82">
        <f t="shared" si="6"/>
        <v>0</v>
      </c>
      <c r="I144" s="83">
        <f t="shared" si="7"/>
        <v>0</v>
      </c>
      <c r="J144" s="84" t="str">
        <f t="shared" si="8"/>
        <v>OK</v>
      </c>
    </row>
    <row r="145" spans="1:10" x14ac:dyDescent="0.25">
      <c r="A145" s="29">
        <v>143</v>
      </c>
      <c r="B145" s="30" t="s">
        <v>1379</v>
      </c>
      <c r="C145" s="28" t="s">
        <v>1400</v>
      </c>
      <c r="D145" s="88" t="s">
        <v>1401</v>
      </c>
      <c r="H145" s="82">
        <f t="shared" si="6"/>
        <v>0</v>
      </c>
      <c r="I145" s="83">
        <f t="shared" si="7"/>
        <v>0</v>
      </c>
      <c r="J145" s="84" t="str">
        <f t="shared" si="8"/>
        <v>OK</v>
      </c>
    </row>
    <row r="146" spans="1:10" x14ac:dyDescent="0.25">
      <c r="A146" s="29">
        <v>144</v>
      </c>
      <c r="B146" s="30" t="s">
        <v>1379</v>
      </c>
      <c r="C146" s="28" t="s">
        <v>1400</v>
      </c>
      <c r="D146" s="88" t="s">
        <v>1402</v>
      </c>
      <c r="H146" s="82">
        <f t="shared" si="6"/>
        <v>0</v>
      </c>
      <c r="I146" s="83">
        <f t="shared" si="7"/>
        <v>0</v>
      </c>
      <c r="J146" s="84" t="str">
        <f t="shared" si="8"/>
        <v>OK</v>
      </c>
    </row>
    <row r="147" spans="1:10" x14ac:dyDescent="0.25">
      <c r="A147" s="29">
        <v>145</v>
      </c>
      <c r="B147" s="30" t="s">
        <v>1379</v>
      </c>
      <c r="C147" s="28" t="s">
        <v>1400</v>
      </c>
      <c r="D147" s="88" t="s">
        <v>1403</v>
      </c>
      <c r="H147" s="82">
        <f t="shared" si="6"/>
        <v>0</v>
      </c>
      <c r="I147" s="83">
        <f t="shared" si="7"/>
        <v>0</v>
      </c>
      <c r="J147" s="84" t="str">
        <f t="shared" si="8"/>
        <v>OK</v>
      </c>
    </row>
    <row r="148" spans="1:10" x14ac:dyDescent="0.25">
      <c r="A148" s="29">
        <v>146</v>
      </c>
      <c r="B148" s="30" t="s">
        <v>1379</v>
      </c>
      <c r="C148" s="28" t="s">
        <v>1400</v>
      </c>
      <c r="D148" s="88" t="s">
        <v>1404</v>
      </c>
      <c r="H148" s="82">
        <f t="shared" si="6"/>
        <v>0</v>
      </c>
      <c r="I148" s="83">
        <f t="shared" si="7"/>
        <v>0</v>
      </c>
      <c r="J148" s="84" t="str">
        <f t="shared" si="8"/>
        <v>OK</v>
      </c>
    </row>
    <row r="149" spans="1:10" x14ac:dyDescent="0.25">
      <c r="A149" s="29">
        <v>147</v>
      </c>
      <c r="B149" s="30" t="s">
        <v>1379</v>
      </c>
      <c r="C149" s="28" t="s">
        <v>1400</v>
      </c>
      <c r="D149" s="88" t="s">
        <v>1405</v>
      </c>
      <c r="H149" s="82">
        <f t="shared" si="6"/>
        <v>0</v>
      </c>
      <c r="I149" s="83">
        <f t="shared" si="7"/>
        <v>0</v>
      </c>
      <c r="J149" s="84" t="str">
        <f t="shared" si="8"/>
        <v>OK</v>
      </c>
    </row>
    <row r="150" spans="1:10" x14ac:dyDescent="0.25">
      <c r="A150" s="29">
        <v>148</v>
      </c>
      <c r="B150" s="30" t="s">
        <v>1379</v>
      </c>
      <c r="C150" s="28" t="s">
        <v>1400</v>
      </c>
      <c r="D150" s="88" t="s">
        <v>1406</v>
      </c>
      <c r="H150" s="82">
        <f t="shared" si="6"/>
        <v>0</v>
      </c>
      <c r="I150" s="83">
        <f t="shared" si="7"/>
        <v>0</v>
      </c>
      <c r="J150" s="84" t="str">
        <f t="shared" si="8"/>
        <v>OK</v>
      </c>
    </row>
    <row r="151" spans="1:10" x14ac:dyDescent="0.25">
      <c r="A151" s="29">
        <v>149</v>
      </c>
      <c r="B151" s="30" t="s">
        <v>1379</v>
      </c>
      <c r="C151" s="28" t="s">
        <v>1400</v>
      </c>
      <c r="D151" s="88" t="s">
        <v>1407</v>
      </c>
      <c r="H151" s="82">
        <f t="shared" si="6"/>
        <v>0</v>
      </c>
      <c r="I151" s="83">
        <f t="shared" si="7"/>
        <v>0</v>
      </c>
      <c r="J151" s="84" t="str">
        <f t="shared" si="8"/>
        <v>OK</v>
      </c>
    </row>
    <row r="152" spans="1:10" x14ac:dyDescent="0.25">
      <c r="A152" s="29">
        <v>150</v>
      </c>
      <c r="B152" s="30" t="s">
        <v>1379</v>
      </c>
      <c r="C152" s="28" t="s">
        <v>1400</v>
      </c>
      <c r="D152" s="88" t="s">
        <v>1408</v>
      </c>
      <c r="H152" s="82">
        <f t="shared" si="6"/>
        <v>0</v>
      </c>
      <c r="I152" s="83">
        <f t="shared" si="7"/>
        <v>0</v>
      </c>
      <c r="J152" s="84" t="str">
        <f t="shared" si="8"/>
        <v>OK</v>
      </c>
    </row>
    <row r="153" spans="1:10" x14ac:dyDescent="0.25">
      <c r="A153" s="29">
        <v>151</v>
      </c>
      <c r="B153" s="30" t="s">
        <v>1379</v>
      </c>
      <c r="C153" s="28" t="s">
        <v>1400</v>
      </c>
      <c r="D153" s="88" t="s">
        <v>1409</v>
      </c>
      <c r="H153" s="82">
        <f t="shared" si="6"/>
        <v>0</v>
      </c>
      <c r="I153" s="83">
        <f t="shared" si="7"/>
        <v>0</v>
      </c>
      <c r="J153" s="84" t="str">
        <f t="shared" si="8"/>
        <v>OK</v>
      </c>
    </row>
    <row r="154" spans="1:10" x14ac:dyDescent="0.25">
      <c r="A154" s="29">
        <v>152</v>
      </c>
      <c r="B154" s="30" t="s">
        <v>1379</v>
      </c>
      <c r="C154" s="28" t="s">
        <v>1400</v>
      </c>
      <c r="D154" s="88" t="s">
        <v>1410</v>
      </c>
      <c r="H154" s="82">
        <f t="shared" si="6"/>
        <v>0</v>
      </c>
      <c r="I154" s="83">
        <f t="shared" si="7"/>
        <v>0</v>
      </c>
      <c r="J154" s="84" t="str">
        <f t="shared" si="8"/>
        <v>OK</v>
      </c>
    </row>
    <row r="155" spans="1:10" x14ac:dyDescent="0.25">
      <c r="A155" s="29">
        <v>153</v>
      </c>
      <c r="B155" s="30" t="s">
        <v>1379</v>
      </c>
      <c r="C155" s="28" t="s">
        <v>1400</v>
      </c>
      <c r="D155" s="88" t="s">
        <v>1411</v>
      </c>
      <c r="H155" s="82">
        <f t="shared" si="6"/>
        <v>0</v>
      </c>
      <c r="I155" s="83">
        <f t="shared" si="7"/>
        <v>0</v>
      </c>
      <c r="J155" s="84" t="str">
        <f t="shared" si="8"/>
        <v>OK</v>
      </c>
    </row>
    <row r="156" spans="1:10" x14ac:dyDescent="0.25">
      <c r="A156" s="29">
        <v>154</v>
      </c>
      <c r="B156" s="30" t="s">
        <v>1379</v>
      </c>
      <c r="C156" s="28" t="s">
        <v>1400</v>
      </c>
      <c r="D156" s="88" t="s">
        <v>1412</v>
      </c>
      <c r="H156" s="82">
        <f t="shared" si="6"/>
        <v>0</v>
      </c>
      <c r="I156" s="83">
        <f t="shared" si="7"/>
        <v>0</v>
      </c>
      <c r="J156" s="84" t="str">
        <f t="shared" si="8"/>
        <v>OK</v>
      </c>
    </row>
    <row r="157" spans="1:10" x14ac:dyDescent="0.25">
      <c r="A157" s="29">
        <v>155</v>
      </c>
      <c r="B157" s="30" t="s">
        <v>1379</v>
      </c>
      <c r="C157" s="28" t="s">
        <v>1413</v>
      </c>
      <c r="D157" s="88" t="s">
        <v>1414</v>
      </c>
      <c r="H157" s="82">
        <f t="shared" si="6"/>
        <v>0</v>
      </c>
      <c r="I157" s="83">
        <f t="shared" si="7"/>
        <v>0</v>
      </c>
      <c r="J157" s="84" t="str">
        <f t="shared" si="8"/>
        <v>OK</v>
      </c>
    </row>
    <row r="158" spans="1:10" x14ac:dyDescent="0.25">
      <c r="A158" s="29">
        <v>156</v>
      </c>
      <c r="B158" s="30" t="s">
        <v>1379</v>
      </c>
      <c r="C158" s="28" t="s">
        <v>1413</v>
      </c>
      <c r="D158" s="88" t="s">
        <v>1415</v>
      </c>
      <c r="H158" s="82">
        <f t="shared" si="6"/>
        <v>0</v>
      </c>
      <c r="I158" s="83">
        <f t="shared" si="7"/>
        <v>0</v>
      </c>
      <c r="J158" s="84" t="str">
        <f t="shared" si="8"/>
        <v>OK</v>
      </c>
    </row>
    <row r="159" spans="1:10" x14ac:dyDescent="0.25">
      <c r="A159" s="29">
        <v>157</v>
      </c>
      <c r="B159" s="30" t="s">
        <v>1379</v>
      </c>
      <c r="C159" s="28" t="s">
        <v>1413</v>
      </c>
      <c r="D159" s="88" t="s">
        <v>1416</v>
      </c>
      <c r="H159" s="82">
        <f t="shared" si="6"/>
        <v>0</v>
      </c>
      <c r="I159" s="83">
        <f t="shared" si="7"/>
        <v>0</v>
      </c>
      <c r="J159" s="84" t="str">
        <f t="shared" si="8"/>
        <v>OK</v>
      </c>
    </row>
    <row r="160" spans="1:10" x14ac:dyDescent="0.25">
      <c r="A160" s="29">
        <v>158</v>
      </c>
      <c r="B160" s="30" t="s">
        <v>1379</v>
      </c>
      <c r="C160" s="28" t="s">
        <v>1413</v>
      </c>
      <c r="D160" s="88" t="s">
        <v>1417</v>
      </c>
      <c r="H160" s="82">
        <f t="shared" si="6"/>
        <v>0</v>
      </c>
      <c r="I160" s="83">
        <f t="shared" si="7"/>
        <v>0</v>
      </c>
      <c r="J160" s="84" t="str">
        <f t="shared" si="8"/>
        <v>OK</v>
      </c>
    </row>
    <row r="161" spans="1:10" x14ac:dyDescent="0.25">
      <c r="A161" s="29">
        <v>159</v>
      </c>
      <c r="B161" s="30" t="s">
        <v>1379</v>
      </c>
      <c r="C161" s="28" t="s">
        <v>1413</v>
      </c>
      <c r="D161" s="88" t="s">
        <v>1418</v>
      </c>
      <c r="H161" s="82">
        <f t="shared" si="6"/>
        <v>0</v>
      </c>
      <c r="I161" s="83">
        <f t="shared" si="7"/>
        <v>0</v>
      </c>
      <c r="J161" s="84" t="str">
        <f t="shared" si="8"/>
        <v>OK</v>
      </c>
    </row>
    <row r="162" spans="1:10" x14ac:dyDescent="0.25">
      <c r="A162" s="29">
        <v>160</v>
      </c>
      <c r="B162" s="30" t="s">
        <v>1379</v>
      </c>
      <c r="C162" s="28" t="s">
        <v>1413</v>
      </c>
      <c r="D162" s="88" t="s">
        <v>1419</v>
      </c>
      <c r="H162" s="82">
        <f t="shared" si="6"/>
        <v>0</v>
      </c>
      <c r="I162" s="83">
        <f t="shared" si="7"/>
        <v>0</v>
      </c>
      <c r="J162" s="84" t="str">
        <f t="shared" si="8"/>
        <v>OK</v>
      </c>
    </row>
    <row r="163" spans="1:10" x14ac:dyDescent="0.25">
      <c r="A163" s="29">
        <v>161</v>
      </c>
      <c r="B163" s="30" t="s">
        <v>1379</v>
      </c>
      <c r="C163" s="28" t="s">
        <v>1413</v>
      </c>
      <c r="D163" s="88" t="s">
        <v>1420</v>
      </c>
      <c r="H163" s="82">
        <f t="shared" si="6"/>
        <v>0</v>
      </c>
      <c r="I163" s="83">
        <f t="shared" si="7"/>
        <v>0</v>
      </c>
      <c r="J163" s="84" t="str">
        <f t="shared" si="8"/>
        <v>OK</v>
      </c>
    </row>
    <row r="164" spans="1:10" x14ac:dyDescent="0.25">
      <c r="A164" s="29">
        <v>162</v>
      </c>
      <c r="B164" s="30" t="s">
        <v>1379</v>
      </c>
      <c r="C164" s="28" t="s">
        <v>1413</v>
      </c>
      <c r="D164" s="88" t="s">
        <v>1421</v>
      </c>
      <c r="H164" s="82">
        <f t="shared" si="6"/>
        <v>0</v>
      </c>
      <c r="I164" s="83">
        <f t="shared" si="7"/>
        <v>0</v>
      </c>
      <c r="J164" s="84" t="str">
        <f t="shared" si="8"/>
        <v>OK</v>
      </c>
    </row>
    <row r="165" spans="1:10" x14ac:dyDescent="0.25">
      <c r="A165" s="29">
        <v>163</v>
      </c>
      <c r="B165" s="30" t="s">
        <v>1379</v>
      </c>
      <c r="C165" s="28" t="s">
        <v>1413</v>
      </c>
      <c r="D165" s="88" t="s">
        <v>1422</v>
      </c>
      <c r="H165" s="82">
        <f t="shared" si="6"/>
        <v>0</v>
      </c>
      <c r="I165" s="83">
        <f t="shared" si="7"/>
        <v>0</v>
      </c>
      <c r="J165" s="84" t="str">
        <f t="shared" si="8"/>
        <v>OK</v>
      </c>
    </row>
  </sheetData>
  <mergeCells count="2">
    <mergeCell ref="E1:J1"/>
    <mergeCell ref="K1:P1"/>
  </mergeCells>
  <conditionalFormatting sqref="J3:J165">
    <cfRule type="cellIs" dxfId="7" priority="2" operator="equal">
      <formula>"""PEDIR"""</formula>
    </cfRule>
  </conditionalFormatting>
  <conditionalFormatting sqref="J3:J165">
    <cfRule type="cellIs" dxfId="6" priority="1" operator="equal">
      <formula>"PEDIR"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2:G15"/>
  <sheetViews>
    <sheetView workbookViewId="0">
      <selection activeCell="L13" sqref="L13"/>
    </sheetView>
  </sheetViews>
  <sheetFormatPr defaultRowHeight="15" x14ac:dyDescent="0.25"/>
  <sheetData>
    <row r="2" spans="2:7" x14ac:dyDescent="0.25">
      <c r="D2" s="71" t="s">
        <v>1221</v>
      </c>
    </row>
    <row r="4" spans="2:7" x14ac:dyDescent="0.25">
      <c r="B4" s="63" t="s">
        <v>1217</v>
      </c>
    </row>
    <row r="5" spans="2:7" x14ac:dyDescent="0.25">
      <c r="B5" t="s">
        <v>1216</v>
      </c>
      <c r="C5" s="62">
        <v>1</v>
      </c>
    </row>
    <row r="6" spans="2:7" x14ac:dyDescent="0.25">
      <c r="B6" t="s">
        <v>1210</v>
      </c>
      <c r="C6" s="61" t="s">
        <v>1218</v>
      </c>
    </row>
    <row r="9" spans="2:7" x14ac:dyDescent="0.25">
      <c r="C9" t="s">
        <v>1113</v>
      </c>
      <c r="D9" t="s">
        <v>1114</v>
      </c>
      <c r="E9" t="s">
        <v>1115</v>
      </c>
      <c r="F9" t="s">
        <v>1219</v>
      </c>
      <c r="G9" t="s">
        <v>1220</v>
      </c>
    </row>
    <row r="10" spans="2:7" x14ac:dyDescent="0.25">
      <c r="F10" s="61"/>
    </row>
    <row r="11" spans="2:7" x14ac:dyDescent="0.25">
      <c r="F11" s="61"/>
    </row>
    <row r="12" spans="2:7" x14ac:dyDescent="0.25">
      <c r="F12" s="61"/>
    </row>
    <row r="13" spans="2:7" x14ac:dyDescent="0.25">
      <c r="F13" s="61"/>
    </row>
    <row r="14" spans="2:7" x14ac:dyDescent="0.25">
      <c r="F14" s="61"/>
    </row>
    <row r="15" spans="2:7" x14ac:dyDescent="0.25">
      <c r="F15" s="6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B2:J35"/>
  <sheetViews>
    <sheetView workbookViewId="0">
      <selection activeCell="L13" sqref="L13"/>
    </sheetView>
  </sheetViews>
  <sheetFormatPr defaultRowHeight="15" x14ac:dyDescent="0.25"/>
  <sheetData>
    <row r="2" spans="2:10" x14ac:dyDescent="0.25">
      <c r="D2" s="71" t="s">
        <v>1221</v>
      </c>
    </row>
    <row r="4" spans="2:10" x14ac:dyDescent="0.25">
      <c r="B4" s="63" t="s">
        <v>1225</v>
      </c>
    </row>
    <row r="5" spans="2:10" x14ac:dyDescent="0.25">
      <c r="B5" t="s">
        <v>1216</v>
      </c>
      <c r="C5" s="62">
        <v>1</v>
      </c>
    </row>
    <row r="6" spans="2:10" x14ac:dyDescent="0.25">
      <c r="B6" t="s">
        <v>1210</v>
      </c>
      <c r="C6" s="61" t="s">
        <v>991</v>
      </c>
      <c r="D6" t="s">
        <v>1223</v>
      </c>
    </row>
    <row r="7" spans="2:10" x14ac:dyDescent="0.25">
      <c r="C7" s="61" t="s">
        <v>1226</v>
      </c>
    </row>
    <row r="8" spans="2:10" x14ac:dyDescent="0.25">
      <c r="C8" s="61" t="s">
        <v>1227</v>
      </c>
    </row>
    <row r="9" spans="2:10" x14ac:dyDescent="0.25">
      <c r="B9" t="s">
        <v>145</v>
      </c>
      <c r="C9" s="61" t="s">
        <v>137</v>
      </c>
      <c r="D9" t="s">
        <v>1223</v>
      </c>
    </row>
    <row r="10" spans="2:10" x14ac:dyDescent="0.25">
      <c r="C10" s="61" t="s">
        <v>139</v>
      </c>
    </row>
    <row r="11" spans="2:10" x14ac:dyDescent="0.25">
      <c r="C11" s="61" t="s">
        <v>140</v>
      </c>
    </row>
    <row r="13" spans="2:10" x14ac:dyDescent="0.25">
      <c r="B13" s="3"/>
      <c r="C13" s="3"/>
      <c r="D13" s="3"/>
      <c r="E13" s="4"/>
      <c r="F13" s="4" t="s">
        <v>1222</v>
      </c>
      <c r="G13" s="4" t="s">
        <v>137</v>
      </c>
      <c r="H13" s="4" t="s">
        <v>138</v>
      </c>
      <c r="I13" s="4" t="s">
        <v>139</v>
      </c>
      <c r="J13" s="4" t="s">
        <v>140</v>
      </c>
    </row>
    <row r="14" spans="2:10" x14ac:dyDescent="0.25">
      <c r="B14" s="196" t="s">
        <v>142</v>
      </c>
      <c r="C14" s="198" t="s">
        <v>16</v>
      </c>
      <c r="D14" s="6" t="s">
        <v>108</v>
      </c>
      <c r="E14" s="7"/>
      <c r="F14" s="24">
        <f>SUM(G14:K14)</f>
        <v>0</v>
      </c>
      <c r="G14" s="24"/>
      <c r="H14" s="24"/>
      <c r="I14" s="24"/>
      <c r="J14" s="24"/>
    </row>
    <row r="15" spans="2:10" x14ac:dyDescent="0.25">
      <c r="B15" s="197"/>
      <c r="C15" s="198"/>
      <c r="D15" s="6" t="s">
        <v>109</v>
      </c>
      <c r="E15" s="7"/>
      <c r="F15" s="24">
        <f t="shared" ref="F15:F35" si="0">SUM(G15:K15)</f>
        <v>0</v>
      </c>
      <c r="G15" s="24"/>
      <c r="H15" s="24"/>
      <c r="I15" s="24"/>
      <c r="J15" s="24"/>
    </row>
    <row r="16" spans="2:10" x14ac:dyDescent="0.25">
      <c r="B16" s="197"/>
      <c r="C16" s="198"/>
      <c r="D16" s="6" t="s">
        <v>110</v>
      </c>
      <c r="E16" s="7"/>
      <c r="F16" s="24">
        <f t="shared" si="0"/>
        <v>0</v>
      </c>
      <c r="G16" s="24"/>
      <c r="H16" s="24"/>
      <c r="I16" s="24"/>
      <c r="J16" s="24"/>
    </row>
    <row r="17" spans="2:10" x14ac:dyDescent="0.25">
      <c r="B17" s="197"/>
      <c r="C17" s="198"/>
      <c r="D17" s="6" t="s">
        <v>111</v>
      </c>
      <c r="E17" s="7"/>
      <c r="F17" s="24">
        <f t="shared" si="0"/>
        <v>0</v>
      </c>
      <c r="G17" s="24"/>
      <c r="H17" s="24"/>
      <c r="I17" s="24"/>
      <c r="J17" s="24"/>
    </row>
    <row r="18" spans="2:10" x14ac:dyDescent="0.25">
      <c r="B18" s="197"/>
      <c r="C18" s="186" t="s">
        <v>112</v>
      </c>
      <c r="D18" s="8">
        <v>1</v>
      </c>
      <c r="E18" s="9"/>
      <c r="F18" s="65">
        <f t="shared" si="0"/>
        <v>0</v>
      </c>
      <c r="G18" s="9"/>
      <c r="H18" s="9"/>
      <c r="I18" s="9"/>
      <c r="J18" s="9"/>
    </row>
    <row r="19" spans="2:10" x14ac:dyDescent="0.25">
      <c r="B19" s="197"/>
      <c r="C19" s="187"/>
      <c r="D19" s="10">
        <v>2</v>
      </c>
      <c r="E19" s="9"/>
      <c r="F19" s="65">
        <f t="shared" si="0"/>
        <v>0</v>
      </c>
      <c r="G19" s="9"/>
      <c r="H19" s="9"/>
      <c r="I19" s="9"/>
      <c r="J19" s="9"/>
    </row>
    <row r="20" spans="2:10" x14ac:dyDescent="0.25">
      <c r="B20" s="197"/>
      <c r="C20" s="187"/>
      <c r="D20" s="10">
        <v>3</v>
      </c>
      <c r="E20" s="9"/>
      <c r="F20" s="65">
        <f t="shared" si="0"/>
        <v>0</v>
      </c>
      <c r="G20" s="9"/>
      <c r="H20" s="9"/>
      <c r="I20" s="9"/>
      <c r="J20" s="9"/>
    </row>
    <row r="21" spans="2:10" x14ac:dyDescent="0.25">
      <c r="B21" s="197"/>
      <c r="C21" s="187"/>
      <c r="D21" s="10">
        <v>4</v>
      </c>
      <c r="E21" s="9"/>
      <c r="F21" s="65">
        <f t="shared" si="0"/>
        <v>0</v>
      </c>
      <c r="G21" s="9"/>
      <c r="H21" s="9"/>
      <c r="I21" s="9"/>
      <c r="J21" s="9"/>
    </row>
    <row r="22" spans="2:10" x14ac:dyDescent="0.25">
      <c r="B22" s="197"/>
      <c r="C22" s="187"/>
      <c r="D22" s="10">
        <v>5</v>
      </c>
      <c r="E22" s="9"/>
      <c r="F22" s="65">
        <f t="shared" si="0"/>
        <v>0</v>
      </c>
      <c r="G22" s="9"/>
      <c r="H22" s="9"/>
      <c r="I22" s="9"/>
      <c r="J22" s="9"/>
    </row>
    <row r="23" spans="2:10" x14ac:dyDescent="0.25">
      <c r="B23" s="197"/>
      <c r="C23" s="187"/>
      <c r="D23" s="8">
        <v>6</v>
      </c>
      <c r="E23" s="9"/>
      <c r="F23" s="65">
        <f t="shared" si="0"/>
        <v>0</v>
      </c>
      <c r="G23" s="9"/>
      <c r="H23" s="9"/>
      <c r="I23" s="9"/>
      <c r="J23" s="9"/>
    </row>
    <row r="24" spans="2:10" x14ac:dyDescent="0.25">
      <c r="B24" s="197"/>
      <c r="C24" s="187"/>
      <c r="D24" s="10">
        <v>7</v>
      </c>
      <c r="E24" s="9"/>
      <c r="F24" s="65">
        <f t="shared" si="0"/>
        <v>0</v>
      </c>
      <c r="G24" s="9"/>
      <c r="H24" s="9"/>
      <c r="I24" s="9"/>
      <c r="J24" s="9"/>
    </row>
    <row r="25" spans="2:10" x14ac:dyDescent="0.25">
      <c r="B25" s="197"/>
      <c r="C25" s="187"/>
      <c r="D25" s="10">
        <v>8</v>
      </c>
      <c r="E25" s="9"/>
      <c r="F25" s="65">
        <f t="shared" si="0"/>
        <v>0</v>
      </c>
      <c r="G25" s="9"/>
      <c r="H25" s="9"/>
      <c r="I25" s="9"/>
      <c r="J25" s="9"/>
    </row>
    <row r="26" spans="2:10" x14ac:dyDescent="0.25">
      <c r="B26" s="197"/>
      <c r="C26" s="188"/>
      <c r="D26" s="10">
        <v>9</v>
      </c>
      <c r="E26" s="9"/>
      <c r="F26" s="65">
        <f t="shared" si="0"/>
        <v>0</v>
      </c>
      <c r="G26" s="9"/>
      <c r="H26" s="9"/>
      <c r="I26" s="9"/>
      <c r="J26" s="9"/>
    </row>
    <row r="27" spans="2:10" x14ac:dyDescent="0.25">
      <c r="B27" s="197"/>
      <c r="C27" s="189" t="s">
        <v>113</v>
      </c>
      <c r="D27" s="13">
        <v>1</v>
      </c>
      <c r="E27" s="14"/>
      <c r="F27" s="66">
        <f t="shared" si="0"/>
        <v>0</v>
      </c>
      <c r="G27" s="14"/>
      <c r="H27" s="14"/>
      <c r="I27" s="14"/>
      <c r="J27" s="14"/>
    </row>
    <row r="28" spans="2:10" x14ac:dyDescent="0.25">
      <c r="B28" s="197"/>
      <c r="C28" s="189"/>
      <c r="D28" s="13">
        <v>2</v>
      </c>
      <c r="E28" s="14"/>
      <c r="F28" s="66">
        <f t="shared" si="0"/>
        <v>0</v>
      </c>
      <c r="G28" s="14"/>
      <c r="H28" s="14"/>
      <c r="I28" s="14"/>
      <c r="J28" s="14"/>
    </row>
    <row r="29" spans="2:10" x14ac:dyDescent="0.25">
      <c r="B29" s="197"/>
      <c r="C29" s="192" t="s">
        <v>114</v>
      </c>
      <c r="D29" s="11">
        <v>1</v>
      </c>
      <c r="E29" s="12"/>
      <c r="F29" s="67">
        <f t="shared" si="0"/>
        <v>0</v>
      </c>
      <c r="G29" s="12"/>
      <c r="H29" s="12"/>
      <c r="I29" s="12"/>
      <c r="J29" s="12"/>
    </row>
    <row r="30" spans="2:10" x14ac:dyDescent="0.25">
      <c r="B30" s="197"/>
      <c r="C30" s="192"/>
      <c r="D30" s="11">
        <v>2</v>
      </c>
      <c r="E30" s="12"/>
      <c r="F30" s="67">
        <f t="shared" si="0"/>
        <v>0</v>
      </c>
      <c r="G30" s="12"/>
      <c r="H30" s="12"/>
      <c r="I30" s="12"/>
      <c r="J30" s="12"/>
    </row>
    <row r="31" spans="2:10" x14ac:dyDescent="0.25">
      <c r="B31" s="197"/>
      <c r="C31" s="192"/>
      <c r="D31" s="11">
        <v>3</v>
      </c>
      <c r="E31" s="12"/>
      <c r="F31" s="67">
        <f t="shared" si="0"/>
        <v>0</v>
      </c>
      <c r="G31" s="12"/>
      <c r="H31" s="12"/>
      <c r="I31" s="12"/>
      <c r="J31" s="12"/>
    </row>
    <row r="32" spans="2:10" x14ac:dyDescent="0.25">
      <c r="B32" s="197"/>
      <c r="C32" s="185" t="s">
        <v>126</v>
      </c>
      <c r="D32" s="21">
        <v>1</v>
      </c>
      <c r="E32" s="22"/>
      <c r="F32" s="68">
        <f t="shared" si="0"/>
        <v>0</v>
      </c>
      <c r="G32" s="22"/>
      <c r="H32" s="22"/>
      <c r="I32" s="22"/>
      <c r="J32" s="22"/>
    </row>
    <row r="33" spans="2:10" x14ac:dyDescent="0.25">
      <c r="B33" s="197"/>
      <c r="C33" s="185"/>
      <c r="D33" s="21">
        <v>2</v>
      </c>
      <c r="E33" s="22"/>
      <c r="F33" s="68">
        <f t="shared" si="0"/>
        <v>0</v>
      </c>
      <c r="G33" s="22"/>
      <c r="H33" s="22"/>
      <c r="I33" s="22"/>
      <c r="J33" s="22"/>
    </row>
    <row r="34" spans="2:10" x14ac:dyDescent="0.25">
      <c r="B34" s="197"/>
      <c r="C34" s="185"/>
      <c r="D34" s="21">
        <v>3</v>
      </c>
      <c r="E34" s="22"/>
      <c r="F34" s="68">
        <f t="shared" si="0"/>
        <v>0</v>
      </c>
      <c r="G34" s="22"/>
      <c r="H34" s="22"/>
      <c r="I34" s="22"/>
      <c r="J34" s="22"/>
    </row>
    <row r="35" spans="2:10" x14ac:dyDescent="0.25">
      <c r="B35" s="197"/>
      <c r="C35" s="185"/>
      <c r="D35" s="21">
        <v>4</v>
      </c>
      <c r="E35" s="22"/>
      <c r="F35" s="68">
        <f t="shared" si="0"/>
        <v>0</v>
      </c>
      <c r="G35" s="22"/>
      <c r="H35" s="22"/>
      <c r="I35" s="22"/>
      <c r="J35" s="22"/>
    </row>
  </sheetData>
  <mergeCells count="6">
    <mergeCell ref="B14:B35"/>
    <mergeCell ref="C14:C17"/>
    <mergeCell ref="C18:C26"/>
    <mergeCell ref="C27:C28"/>
    <mergeCell ref="C29:C31"/>
    <mergeCell ref="C32:C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B2:J35"/>
  <sheetViews>
    <sheetView workbookViewId="0">
      <selection activeCell="L13" sqref="L13"/>
    </sheetView>
  </sheetViews>
  <sheetFormatPr defaultRowHeight="15" x14ac:dyDescent="0.25"/>
  <sheetData>
    <row r="2" spans="2:10" x14ac:dyDescent="0.25">
      <c r="D2" s="71" t="s">
        <v>1221</v>
      </c>
    </row>
    <row r="4" spans="2:10" x14ac:dyDescent="0.25">
      <c r="B4" s="63" t="s">
        <v>1225</v>
      </c>
    </row>
    <row r="5" spans="2:10" x14ac:dyDescent="0.25">
      <c r="B5" t="s">
        <v>1216</v>
      </c>
      <c r="C5" s="62">
        <v>1</v>
      </c>
    </row>
    <row r="6" spans="2:10" x14ac:dyDescent="0.25">
      <c r="B6" t="s">
        <v>1210</v>
      </c>
      <c r="C6" s="61" t="s">
        <v>991</v>
      </c>
      <c r="D6" t="s">
        <v>1223</v>
      </c>
    </row>
    <row r="7" spans="2:10" x14ac:dyDescent="0.25">
      <c r="C7" s="61" t="s">
        <v>1226</v>
      </c>
    </row>
    <row r="8" spans="2:10" x14ac:dyDescent="0.25">
      <c r="C8" s="61" t="s">
        <v>1227</v>
      </c>
      <c r="J8" s="75" t="s">
        <v>1423</v>
      </c>
    </row>
    <row r="9" spans="2:10" x14ac:dyDescent="0.25">
      <c r="C9" s="61"/>
      <c r="J9" t="s">
        <v>1230</v>
      </c>
    </row>
    <row r="10" spans="2:10" x14ac:dyDescent="0.25">
      <c r="C10" s="61"/>
    </row>
    <row r="11" spans="2:10" x14ac:dyDescent="0.25">
      <c r="C11" s="61"/>
    </row>
    <row r="13" spans="2:10" x14ac:dyDescent="0.25">
      <c r="B13" s="3"/>
      <c r="C13" s="3"/>
      <c r="D13" s="3"/>
      <c r="E13" s="4"/>
      <c r="F13" s="4" t="s">
        <v>1222</v>
      </c>
      <c r="G13" s="4" t="s">
        <v>137</v>
      </c>
      <c r="H13" s="4" t="s">
        <v>138</v>
      </c>
      <c r="I13" s="4" t="s">
        <v>139</v>
      </c>
      <c r="J13" s="4" t="s">
        <v>140</v>
      </c>
    </row>
    <row r="14" spans="2:10" x14ac:dyDescent="0.25">
      <c r="B14" s="196" t="s">
        <v>142</v>
      </c>
      <c r="C14" s="198" t="s">
        <v>16</v>
      </c>
      <c r="D14" s="6" t="s">
        <v>108</v>
      </c>
      <c r="E14" s="7"/>
      <c r="F14" s="24">
        <f>SUM(G14:K14)</f>
        <v>0</v>
      </c>
      <c r="G14" s="24"/>
      <c r="H14" s="24"/>
      <c r="I14" s="24"/>
      <c r="J14" s="24"/>
    </row>
    <row r="15" spans="2:10" x14ac:dyDescent="0.25">
      <c r="B15" s="197"/>
      <c r="C15" s="198"/>
      <c r="D15" s="6" t="s">
        <v>109</v>
      </c>
      <c r="E15" s="7"/>
      <c r="F15" s="24">
        <f t="shared" ref="F15:F35" si="0">SUM(G15:K15)</f>
        <v>0</v>
      </c>
      <c r="G15" s="24"/>
      <c r="H15" s="24"/>
      <c r="I15" s="24"/>
      <c r="J15" s="24"/>
    </row>
    <row r="16" spans="2:10" x14ac:dyDescent="0.25">
      <c r="B16" s="197"/>
      <c r="C16" s="198"/>
      <c r="D16" s="6" t="s">
        <v>110</v>
      </c>
      <c r="E16" s="7"/>
      <c r="F16" s="24">
        <f t="shared" si="0"/>
        <v>0</v>
      </c>
      <c r="G16" s="24"/>
      <c r="H16" s="24"/>
      <c r="I16" s="24"/>
      <c r="J16" s="24"/>
    </row>
    <row r="17" spans="2:10" x14ac:dyDescent="0.25">
      <c r="B17" s="197"/>
      <c r="C17" s="198"/>
      <c r="D17" s="6" t="s">
        <v>111</v>
      </c>
      <c r="E17" s="7"/>
      <c r="F17" s="24">
        <f t="shared" si="0"/>
        <v>0</v>
      </c>
      <c r="G17" s="24"/>
      <c r="H17" s="24"/>
      <c r="I17" s="24"/>
      <c r="J17" s="24"/>
    </row>
    <row r="18" spans="2:10" x14ac:dyDescent="0.25">
      <c r="B18" s="197"/>
      <c r="C18" s="186" t="s">
        <v>112</v>
      </c>
      <c r="D18" s="8">
        <v>1</v>
      </c>
      <c r="E18" s="9"/>
      <c r="F18" s="65">
        <f t="shared" si="0"/>
        <v>0</v>
      </c>
      <c r="G18" s="9"/>
      <c r="H18" s="9"/>
      <c r="I18" s="9"/>
      <c r="J18" s="9"/>
    </row>
    <row r="19" spans="2:10" x14ac:dyDescent="0.25">
      <c r="B19" s="197"/>
      <c r="C19" s="187"/>
      <c r="D19" s="10">
        <v>2</v>
      </c>
      <c r="E19" s="9"/>
      <c r="F19" s="65">
        <f t="shared" si="0"/>
        <v>0</v>
      </c>
      <c r="G19" s="9"/>
      <c r="H19" s="9"/>
      <c r="I19" s="9"/>
      <c r="J19" s="9"/>
    </row>
    <row r="20" spans="2:10" x14ac:dyDescent="0.25">
      <c r="B20" s="197"/>
      <c r="C20" s="187"/>
      <c r="D20" s="10">
        <v>3</v>
      </c>
      <c r="E20" s="9"/>
      <c r="F20" s="65">
        <f t="shared" si="0"/>
        <v>0</v>
      </c>
      <c r="G20" s="9"/>
      <c r="H20" s="9"/>
      <c r="I20" s="9"/>
      <c r="J20" s="9"/>
    </row>
    <row r="21" spans="2:10" x14ac:dyDescent="0.25">
      <c r="B21" s="197"/>
      <c r="C21" s="187"/>
      <c r="D21" s="10">
        <v>4</v>
      </c>
      <c r="E21" s="9"/>
      <c r="F21" s="65">
        <f t="shared" si="0"/>
        <v>0</v>
      </c>
      <c r="G21" s="9"/>
      <c r="H21" s="9"/>
      <c r="I21" s="9"/>
      <c r="J21" s="9"/>
    </row>
    <row r="22" spans="2:10" x14ac:dyDescent="0.25">
      <c r="B22" s="197"/>
      <c r="C22" s="187"/>
      <c r="D22" s="10">
        <v>5</v>
      </c>
      <c r="E22" s="9"/>
      <c r="F22" s="65">
        <f t="shared" si="0"/>
        <v>0</v>
      </c>
      <c r="G22" s="9"/>
      <c r="H22" s="9"/>
      <c r="I22" s="9"/>
      <c r="J22" s="9"/>
    </row>
    <row r="23" spans="2:10" x14ac:dyDescent="0.25">
      <c r="B23" s="197"/>
      <c r="C23" s="187"/>
      <c r="D23" s="8">
        <v>6</v>
      </c>
      <c r="E23" s="9"/>
      <c r="F23" s="65">
        <f t="shared" si="0"/>
        <v>0</v>
      </c>
      <c r="G23" s="9"/>
      <c r="H23" s="9"/>
      <c r="I23" s="9"/>
      <c r="J23" s="9"/>
    </row>
    <row r="24" spans="2:10" x14ac:dyDescent="0.25">
      <c r="B24" s="197"/>
      <c r="C24" s="187"/>
      <c r="D24" s="10">
        <v>7</v>
      </c>
      <c r="E24" s="9"/>
      <c r="F24" s="65">
        <f t="shared" si="0"/>
        <v>0</v>
      </c>
      <c r="G24" s="9"/>
      <c r="H24" s="9"/>
      <c r="I24" s="9"/>
      <c r="J24" s="9"/>
    </row>
    <row r="25" spans="2:10" x14ac:dyDescent="0.25">
      <c r="B25" s="197"/>
      <c r="C25" s="187"/>
      <c r="D25" s="10">
        <v>8</v>
      </c>
      <c r="E25" s="9"/>
      <c r="F25" s="65">
        <f t="shared" si="0"/>
        <v>0</v>
      </c>
      <c r="G25" s="9"/>
      <c r="H25" s="9"/>
      <c r="I25" s="9"/>
      <c r="J25" s="9"/>
    </row>
    <row r="26" spans="2:10" x14ac:dyDescent="0.25">
      <c r="B26" s="197"/>
      <c r="C26" s="188"/>
      <c r="D26" s="10">
        <v>9</v>
      </c>
      <c r="E26" s="9"/>
      <c r="F26" s="65">
        <f t="shared" si="0"/>
        <v>0</v>
      </c>
      <c r="G26" s="9"/>
      <c r="H26" s="9"/>
      <c r="I26" s="9"/>
      <c r="J26" s="9"/>
    </row>
    <row r="27" spans="2:10" x14ac:dyDescent="0.25">
      <c r="B27" s="197"/>
      <c r="C27" s="189" t="s">
        <v>113</v>
      </c>
      <c r="D27" s="13">
        <v>1</v>
      </c>
      <c r="E27" s="14"/>
      <c r="F27" s="66">
        <f t="shared" si="0"/>
        <v>0</v>
      </c>
      <c r="G27" s="14"/>
      <c r="H27" s="14"/>
      <c r="I27" s="14"/>
      <c r="J27" s="14"/>
    </row>
    <row r="28" spans="2:10" x14ac:dyDescent="0.25">
      <c r="B28" s="197"/>
      <c r="C28" s="189"/>
      <c r="D28" s="13">
        <v>2</v>
      </c>
      <c r="E28" s="14"/>
      <c r="F28" s="66">
        <f t="shared" si="0"/>
        <v>0</v>
      </c>
      <c r="G28" s="14"/>
      <c r="H28" s="14"/>
      <c r="I28" s="14"/>
      <c r="J28" s="14"/>
    </row>
    <row r="29" spans="2:10" x14ac:dyDescent="0.25">
      <c r="B29" s="197"/>
      <c r="C29" s="192" t="s">
        <v>114</v>
      </c>
      <c r="D29" s="11">
        <v>1</v>
      </c>
      <c r="E29" s="12"/>
      <c r="F29" s="67">
        <f t="shared" si="0"/>
        <v>0</v>
      </c>
      <c r="G29" s="12"/>
      <c r="H29" s="12"/>
      <c r="I29" s="12"/>
      <c r="J29" s="12"/>
    </row>
    <row r="30" spans="2:10" x14ac:dyDescent="0.25">
      <c r="B30" s="197"/>
      <c r="C30" s="192"/>
      <c r="D30" s="11">
        <v>2</v>
      </c>
      <c r="E30" s="12"/>
      <c r="F30" s="67">
        <f t="shared" si="0"/>
        <v>0</v>
      </c>
      <c r="G30" s="12"/>
      <c r="H30" s="12"/>
      <c r="I30" s="12"/>
      <c r="J30" s="12"/>
    </row>
    <row r="31" spans="2:10" x14ac:dyDescent="0.25">
      <c r="B31" s="197"/>
      <c r="C31" s="192"/>
      <c r="D31" s="11">
        <v>3</v>
      </c>
      <c r="E31" s="12"/>
      <c r="F31" s="67">
        <f t="shared" si="0"/>
        <v>0</v>
      </c>
      <c r="G31" s="12"/>
      <c r="H31" s="12"/>
      <c r="I31" s="12"/>
      <c r="J31" s="12"/>
    </row>
    <row r="32" spans="2:10" x14ac:dyDescent="0.25">
      <c r="B32" s="197"/>
      <c r="C32" s="185" t="s">
        <v>126</v>
      </c>
      <c r="D32" s="21">
        <v>1</v>
      </c>
      <c r="E32" s="22"/>
      <c r="F32" s="68">
        <f t="shared" si="0"/>
        <v>0</v>
      </c>
      <c r="G32" s="22"/>
      <c r="H32" s="22"/>
      <c r="I32" s="22"/>
      <c r="J32" s="22"/>
    </row>
    <row r="33" spans="2:10" x14ac:dyDescent="0.25">
      <c r="B33" s="197"/>
      <c r="C33" s="185"/>
      <c r="D33" s="21">
        <v>2</v>
      </c>
      <c r="E33" s="22"/>
      <c r="F33" s="68">
        <f t="shared" si="0"/>
        <v>0</v>
      </c>
      <c r="G33" s="22"/>
      <c r="H33" s="22"/>
      <c r="I33" s="22"/>
      <c r="J33" s="22"/>
    </row>
    <row r="34" spans="2:10" x14ac:dyDescent="0.25">
      <c r="B34" s="197"/>
      <c r="C34" s="185"/>
      <c r="D34" s="21">
        <v>3</v>
      </c>
      <c r="E34" s="22"/>
      <c r="F34" s="68">
        <f t="shared" si="0"/>
        <v>0</v>
      </c>
      <c r="G34" s="22"/>
      <c r="H34" s="22"/>
      <c r="I34" s="22"/>
      <c r="J34" s="22"/>
    </row>
    <row r="35" spans="2:10" x14ac:dyDescent="0.25">
      <c r="B35" s="197"/>
      <c r="C35" s="185"/>
      <c r="D35" s="21">
        <v>4</v>
      </c>
      <c r="E35" s="22"/>
      <c r="F35" s="68">
        <f t="shared" si="0"/>
        <v>0</v>
      </c>
      <c r="G35" s="22"/>
      <c r="H35" s="22"/>
      <c r="I35" s="22"/>
      <c r="J35" s="22"/>
    </row>
  </sheetData>
  <mergeCells count="6">
    <mergeCell ref="B14:B35"/>
    <mergeCell ref="C14:C17"/>
    <mergeCell ref="C18:C26"/>
    <mergeCell ref="C27:C28"/>
    <mergeCell ref="C29:C31"/>
    <mergeCell ref="C32:C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Plan Cardapio</vt:lpstr>
      <vt:lpstr>Cardapio</vt:lpstr>
      <vt:lpstr>Novas Fichas</vt:lpstr>
      <vt:lpstr>Modo de preparo</vt:lpstr>
      <vt:lpstr>Ficha Tecnica</vt:lpstr>
      <vt:lpstr>Pratos Master </vt:lpstr>
      <vt:lpstr>Pratos Master (new)</vt:lpstr>
      <vt:lpstr>Ingrediente Master</vt:lpstr>
      <vt:lpstr>Estoque</vt:lpstr>
      <vt:lpstr>Lista Compras</vt:lpstr>
      <vt:lpstr>Lista Producao</vt:lpstr>
      <vt:lpstr>Lista Expedicao</vt:lpstr>
      <vt:lpstr>'Pratos Master '!Print_Area</vt:lpstr>
      <vt:lpstr>'Pratos Master (new)'!Print_Area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Calfa</dc:creator>
  <cp:lastModifiedBy>VEIGA</cp:lastModifiedBy>
  <cp:lastPrinted>2018-11-28T12:02:06Z</cp:lastPrinted>
  <dcterms:created xsi:type="dcterms:W3CDTF">2018-10-20T21:03:02Z</dcterms:created>
  <dcterms:modified xsi:type="dcterms:W3CDTF">2019-01-14T19:53:14Z</dcterms:modified>
</cp:coreProperties>
</file>