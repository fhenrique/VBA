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d82b5df00452a4/DOCUMENTOS/"/>
    </mc:Choice>
  </mc:AlternateContent>
  <xr:revisionPtr revIDLastSave="2851" documentId="8_{7FEF679C-5A20-4440-97A7-D039C3D58535}" xr6:coauthVersionLast="46" xr6:coauthVersionMax="46" xr10:uidLastSave="{61E402F0-D577-4B72-829A-F1D853B49516}"/>
  <bookViews>
    <workbookView xWindow="-120" yWindow="-120" windowWidth="20730" windowHeight="11160" xr2:uid="{B272F740-CFA5-4D23-8F63-025EEA606C9F}"/>
  </bookViews>
  <sheets>
    <sheet name="Entrada" sheetId="2" r:id="rId1"/>
    <sheet name="calc Hier" sheetId="1" r:id="rId2"/>
    <sheet name="Mapas de posicionamento" sheetId="6" r:id="rId3"/>
    <sheet name="Radar" sheetId="5" r:id="rId4"/>
    <sheet name="Kano" sheetId="10" r:id="rId5"/>
    <sheet name="Planilha do artigo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1" l="1"/>
  <c r="B19" i="11"/>
  <c r="F19" i="11"/>
  <c r="F3" i="11"/>
  <c r="F4" i="11"/>
  <c r="F5" i="11"/>
  <c r="E20" i="11"/>
  <c r="B18" i="11"/>
  <c r="C18" i="11"/>
  <c r="D18" i="11"/>
  <c r="F18" i="11"/>
  <c r="E18" i="11"/>
  <c r="C19" i="11"/>
  <c r="D19" i="11"/>
  <c r="E19" i="11"/>
  <c r="B20" i="11"/>
  <c r="C20" i="11"/>
  <c r="D20" i="11"/>
  <c r="B4" i="10"/>
  <c r="C4" i="10"/>
  <c r="B13" i="5"/>
  <c r="B4" i="6"/>
  <c r="A5" i="5" s="1"/>
  <c r="A15" i="5" s="1"/>
  <c r="B8" i="10" s="1"/>
  <c r="B5" i="6"/>
  <c r="A6" i="5" s="1"/>
  <c r="A16" i="5" s="1"/>
  <c r="B6" i="10" s="1"/>
  <c r="C3" i="6"/>
  <c r="C4" i="5" s="1"/>
  <c r="G4" i="6"/>
  <c r="G5" i="5" s="1"/>
  <c r="G5" i="6"/>
  <c r="G6" i="5" s="1"/>
  <c r="G6" i="6"/>
  <c r="G7" i="5" s="1"/>
  <c r="G7" i="6"/>
  <c r="G8" i="5" s="1"/>
  <c r="G8" i="6"/>
  <c r="G9" i="5" s="1"/>
  <c r="G9" i="6"/>
  <c r="G10" i="5" s="1"/>
  <c r="G3" i="6"/>
  <c r="G4" i="5" s="1"/>
  <c r="F4" i="6"/>
  <c r="F5" i="5" s="1"/>
  <c r="F5" i="6"/>
  <c r="F6" i="5" s="1"/>
  <c r="F6" i="6"/>
  <c r="F7" i="5" s="1"/>
  <c r="F7" i="6"/>
  <c r="F8" i="5" s="1"/>
  <c r="F8" i="6"/>
  <c r="F9" i="5" s="1"/>
  <c r="F9" i="6"/>
  <c r="F10" i="5" s="1"/>
  <c r="F3" i="6"/>
  <c r="F4" i="5" s="1"/>
  <c r="E4" i="6"/>
  <c r="E5" i="5" s="1"/>
  <c r="E5" i="6"/>
  <c r="E6" i="5" s="1"/>
  <c r="E6" i="6"/>
  <c r="E7" i="5" s="1"/>
  <c r="E7" i="6"/>
  <c r="E8" i="5" s="1"/>
  <c r="E8" i="6"/>
  <c r="E9" i="5" s="1"/>
  <c r="E9" i="6"/>
  <c r="E10" i="5" s="1"/>
  <c r="E3" i="6"/>
  <c r="E4" i="5" s="1"/>
  <c r="D4" i="6"/>
  <c r="D5" i="5" s="1"/>
  <c r="D5" i="6"/>
  <c r="D6" i="5" s="1"/>
  <c r="D6" i="6"/>
  <c r="D7" i="5" s="1"/>
  <c r="D7" i="6"/>
  <c r="D8" i="5" s="1"/>
  <c r="D8" i="6"/>
  <c r="D9" i="5" s="1"/>
  <c r="D9" i="6"/>
  <c r="D10" i="5" s="1"/>
  <c r="D3" i="6"/>
  <c r="D4" i="5" s="1"/>
  <c r="C4" i="6"/>
  <c r="C5" i="5" s="1"/>
  <c r="C5" i="6"/>
  <c r="C6" i="5" s="1"/>
  <c r="C6" i="6"/>
  <c r="C7" i="5" s="1"/>
  <c r="C7" i="6"/>
  <c r="C8" i="5" s="1"/>
  <c r="C8" i="6"/>
  <c r="C9" i="5" s="1"/>
  <c r="C9" i="6"/>
  <c r="C10" i="5" s="1"/>
  <c r="G2" i="6"/>
  <c r="G3" i="5" s="1"/>
  <c r="L3" i="5" s="1"/>
  <c r="F2" i="6"/>
  <c r="F3" i="5" s="1"/>
  <c r="K3" i="5" s="1"/>
  <c r="E2" i="6"/>
  <c r="E3" i="5" s="1"/>
  <c r="J3" i="5" s="1"/>
  <c r="D2" i="6"/>
  <c r="D3" i="5" s="1"/>
  <c r="I3" i="5" s="1"/>
  <c r="C2" i="6"/>
  <c r="C3" i="5" s="1"/>
  <c r="H3" i="5" s="1"/>
  <c r="B8" i="6"/>
  <c r="A9" i="5" s="1"/>
  <c r="A19" i="5" s="1"/>
  <c r="B7" i="10" s="1"/>
  <c r="B9" i="6"/>
  <c r="A10" i="5" s="1"/>
  <c r="A20" i="5" s="1"/>
  <c r="B5" i="10" s="1"/>
  <c r="B6" i="6"/>
  <c r="A7" i="5" s="1"/>
  <c r="A17" i="5" s="1"/>
  <c r="B9" i="10" s="1"/>
  <c r="B7" i="6"/>
  <c r="A8" i="5" s="1"/>
  <c r="A18" i="5" s="1"/>
  <c r="B10" i="10" s="1"/>
  <c r="B3" i="6"/>
  <c r="A4" i="5" s="1"/>
  <c r="A14" i="5" s="1"/>
  <c r="B11" i="10" s="1"/>
  <c r="P32" i="2"/>
  <c r="P25" i="2"/>
  <c r="P18" i="2"/>
  <c r="P11" i="2"/>
  <c r="Q10" i="2"/>
  <c r="Q24" i="2" s="1"/>
  <c r="Q9" i="2"/>
  <c r="Q37" i="2" s="1"/>
  <c r="Q8" i="2"/>
  <c r="Q29" i="2" s="1"/>
  <c r="Q7" i="2"/>
  <c r="Q14" i="2" s="1"/>
  <c r="Q6" i="2"/>
  <c r="Q27" i="2" s="1"/>
  <c r="Q5" i="2"/>
  <c r="Q33" i="2" s="1"/>
  <c r="Q4" i="2"/>
  <c r="Q18" i="2"/>
  <c r="P4" i="2"/>
  <c r="B17" i="1"/>
  <c r="B16" i="1"/>
  <c r="B15" i="1"/>
  <c r="B14" i="1"/>
  <c r="B13" i="1"/>
  <c r="B12" i="1"/>
  <c r="B11" i="1"/>
  <c r="B9" i="1"/>
  <c r="I8" i="1"/>
  <c r="H9" i="1" s="1"/>
  <c r="B8" i="1"/>
  <c r="I7" i="1"/>
  <c r="G9" i="1" s="1"/>
  <c r="H7" i="1"/>
  <c r="G8" i="1" s="1"/>
  <c r="B7" i="1"/>
  <c r="I6" i="1"/>
  <c r="F9" i="1" s="1"/>
  <c r="H6" i="1"/>
  <c r="F8" i="1" s="1"/>
  <c r="G6" i="1"/>
  <c r="F7" i="1" s="1"/>
  <c r="B6" i="1"/>
  <c r="I5" i="1"/>
  <c r="H5" i="1"/>
  <c r="E8" i="1" s="1"/>
  <c r="G5" i="1"/>
  <c r="E7" i="1" s="1"/>
  <c r="F5" i="1"/>
  <c r="E6" i="1" s="1"/>
  <c r="B5" i="1"/>
  <c r="I4" i="1"/>
  <c r="H4" i="1"/>
  <c r="D8" i="1" s="1"/>
  <c r="G4" i="1"/>
  <c r="D7" i="1" s="1"/>
  <c r="F4" i="1"/>
  <c r="D6" i="1" s="1"/>
  <c r="E4" i="1"/>
  <c r="D5" i="1" s="1"/>
  <c r="B4" i="1"/>
  <c r="I3" i="1"/>
  <c r="H3" i="1"/>
  <c r="G3" i="1"/>
  <c r="C7" i="1" s="1"/>
  <c r="F3" i="1"/>
  <c r="C6" i="1" s="1"/>
  <c r="E3" i="1"/>
  <c r="C5" i="1" s="1"/>
  <c r="D3" i="1"/>
  <c r="C4" i="1" s="1"/>
  <c r="B3" i="1"/>
  <c r="D31" i="2"/>
  <c r="D10" i="2"/>
  <c r="I7" i="2"/>
  <c r="D7" i="2"/>
  <c r="I64" i="2"/>
  <c r="D64" i="2"/>
  <c r="I61" i="2"/>
  <c r="D61" i="2"/>
  <c r="I58" i="2"/>
  <c r="D58" i="2"/>
  <c r="I55" i="2"/>
  <c r="D55" i="2"/>
  <c r="I52" i="2"/>
  <c r="D52" i="2"/>
  <c r="I49" i="2"/>
  <c r="D49" i="2"/>
  <c r="I46" i="2"/>
  <c r="D46" i="2"/>
  <c r="I43" i="2"/>
  <c r="D43" i="2"/>
  <c r="I40" i="2"/>
  <c r="D40" i="2"/>
  <c r="I37" i="2"/>
  <c r="D37" i="2"/>
  <c r="I34" i="2"/>
  <c r="D34" i="2"/>
  <c r="I31" i="2"/>
  <c r="I28" i="2"/>
  <c r="D28" i="2"/>
  <c r="I25" i="2"/>
  <c r="D25" i="2"/>
  <c r="I22" i="2"/>
  <c r="D22" i="2"/>
  <c r="I19" i="2"/>
  <c r="D19" i="2"/>
  <c r="I16" i="2"/>
  <c r="D16" i="2"/>
  <c r="I13" i="2"/>
  <c r="D13" i="2"/>
  <c r="I10" i="2"/>
  <c r="I4" i="2"/>
  <c r="D4" i="2"/>
  <c r="F20" i="11"/>
  <c r="Q30" i="2"/>
  <c r="Q20" i="2"/>
  <c r="Q11" i="2"/>
  <c r="Q32" i="2"/>
  <c r="Q31" i="2"/>
  <c r="Q38" i="2"/>
  <c r="Q23" i="2"/>
  <c r="Q22" i="2"/>
  <c r="Q15" i="2"/>
  <c r="Q36" i="2"/>
  <c r="Q12" i="2"/>
  <c r="Q26" i="2"/>
  <c r="Q19" i="2"/>
  <c r="Q25" i="2"/>
  <c r="C8" i="1"/>
  <c r="E9" i="1"/>
  <c r="C9" i="1"/>
  <c r="I10" i="1" l="1"/>
  <c r="I11" i="1" s="1"/>
  <c r="D9" i="1"/>
  <c r="H10" i="1"/>
  <c r="D10" i="1"/>
  <c r="D12" i="1" s="1"/>
  <c r="G10" i="1"/>
  <c r="F10" i="1"/>
  <c r="E10" i="1"/>
  <c r="E11" i="1" s="1"/>
  <c r="C10" i="1"/>
  <c r="C12" i="1" s="1"/>
  <c r="Q17" i="2"/>
  <c r="C2" i="1" a="1"/>
  <c r="Q16" i="2"/>
  <c r="Q13" i="2"/>
  <c r="Q34" i="2"/>
  <c r="Q35" i="2"/>
  <c r="Q28" i="2"/>
  <c r="Q21" i="2"/>
  <c r="I17" i="1" l="1"/>
  <c r="C2" i="1"/>
  <c r="C20" i="1" s="1"/>
  <c r="I20" i="1"/>
  <c r="D20" i="1"/>
  <c r="G20" i="1"/>
  <c r="E20" i="1"/>
  <c r="F20" i="1"/>
  <c r="H20" i="1"/>
  <c r="I15" i="1"/>
  <c r="I16" i="1"/>
  <c r="I14" i="1"/>
  <c r="I12" i="1"/>
  <c r="I13" i="1"/>
  <c r="H13" i="1"/>
  <c r="H17" i="1"/>
  <c r="H11" i="1"/>
  <c r="H14" i="1"/>
  <c r="H15" i="1"/>
  <c r="H16" i="1"/>
  <c r="H12" i="1"/>
  <c r="D11" i="1"/>
  <c r="D17" i="1"/>
  <c r="D14" i="1"/>
  <c r="D15" i="1"/>
  <c r="D16" i="1"/>
  <c r="D13" i="1"/>
  <c r="G12" i="1"/>
  <c r="G13" i="1"/>
  <c r="G15" i="1"/>
  <c r="G17" i="1"/>
  <c r="G16" i="1"/>
  <c r="G14" i="1"/>
  <c r="G11" i="1"/>
  <c r="F15" i="1"/>
  <c r="F13" i="1"/>
  <c r="F16" i="1"/>
  <c r="F12" i="1"/>
  <c r="F14" i="1"/>
  <c r="F17" i="1"/>
  <c r="F11" i="1"/>
  <c r="E16" i="1"/>
  <c r="E17" i="1"/>
  <c r="E15" i="1"/>
  <c r="E12" i="1"/>
  <c r="E13" i="1"/>
  <c r="E14" i="1"/>
  <c r="C14" i="1"/>
  <c r="C17" i="1"/>
  <c r="C15" i="1"/>
  <c r="C16" i="1"/>
  <c r="C13" i="1"/>
  <c r="C11" i="1"/>
  <c r="J16" i="1" l="1"/>
  <c r="J12" i="1"/>
  <c r="D27" i="1" s="1"/>
  <c r="J13" i="1"/>
  <c r="E26" i="1" s="1"/>
  <c r="J11" i="1"/>
  <c r="C27" i="1" s="1"/>
  <c r="J17" i="1"/>
  <c r="I21" i="1" s="1"/>
  <c r="B15" i="5"/>
  <c r="J14" i="1"/>
  <c r="F26" i="1" s="1"/>
  <c r="J15" i="1"/>
  <c r="L21" i="6" s="1"/>
  <c r="D24" i="1"/>
  <c r="E25" i="1"/>
  <c r="H23" i="1"/>
  <c r="H21" i="1"/>
  <c r="H22" i="1"/>
  <c r="H27" i="1"/>
  <c r="B19" i="5"/>
  <c r="H26" i="1"/>
  <c r="H24" i="1"/>
  <c r="H25" i="1"/>
  <c r="K26" i="1"/>
  <c r="L11" i="6"/>
  <c r="K22" i="1" l="1"/>
  <c r="D22" i="1"/>
  <c r="E22" i="1"/>
  <c r="D23" i="1"/>
  <c r="D25" i="1"/>
  <c r="E23" i="1"/>
  <c r="L8" i="6"/>
  <c r="E24" i="1"/>
  <c r="E27" i="1"/>
  <c r="D26" i="1"/>
  <c r="D21" i="1"/>
  <c r="C24" i="1"/>
  <c r="K23" i="1"/>
  <c r="B16" i="5"/>
  <c r="L14" i="6"/>
  <c r="C21" i="1"/>
  <c r="E21" i="1"/>
  <c r="L15" i="6"/>
  <c r="B20" i="5"/>
  <c r="L6" i="6"/>
  <c r="K25" i="1"/>
  <c r="F27" i="1"/>
  <c r="G22" i="1"/>
  <c r="K24" i="1"/>
  <c r="L13" i="6"/>
  <c r="F24" i="1"/>
  <c r="I26" i="1"/>
  <c r="L16" i="6"/>
  <c r="I25" i="1"/>
  <c r="L7" i="6"/>
  <c r="L22" i="6"/>
  <c r="B14" i="5"/>
  <c r="K27" i="1"/>
  <c r="I27" i="1"/>
  <c r="I24" i="1"/>
  <c r="I22" i="1"/>
  <c r="L12" i="6"/>
  <c r="C26" i="1"/>
  <c r="C25" i="1"/>
  <c r="I23" i="1"/>
  <c r="L10" i="6"/>
  <c r="G24" i="1"/>
  <c r="L2" i="6"/>
  <c r="K21" i="1"/>
  <c r="C23" i="1"/>
  <c r="L20" i="6"/>
  <c r="C22" i="1"/>
  <c r="L3" i="6"/>
  <c r="L5" i="6"/>
  <c r="G21" i="1"/>
  <c r="G23" i="1"/>
  <c r="G27" i="1"/>
  <c r="G25" i="1"/>
  <c r="G26" i="1"/>
  <c r="B18" i="5"/>
  <c r="L17" i="6"/>
  <c r="F21" i="1"/>
  <c r="L18" i="6"/>
  <c r="L9" i="6"/>
  <c r="L4" i="6"/>
  <c r="L19" i="6"/>
  <c r="F22" i="1"/>
  <c r="B17" i="5"/>
  <c r="F25" i="1"/>
  <c r="F23" i="1"/>
  <c r="C15" i="5" l="1"/>
  <c r="C8" i="10" s="1"/>
  <c r="J24" i="1"/>
  <c r="L24" i="1" s="1"/>
  <c r="J27" i="1"/>
  <c r="L27" i="1" s="1"/>
  <c r="J26" i="1"/>
  <c r="L26" i="1" s="1"/>
  <c r="C18" i="5"/>
  <c r="B8" i="5" s="1"/>
  <c r="J21" i="1"/>
  <c r="L21" i="1" s="1"/>
  <c r="C20" i="5"/>
  <c r="B10" i="5" s="1"/>
  <c r="C14" i="5"/>
  <c r="C11" i="10" s="1"/>
  <c r="C19" i="5"/>
  <c r="B9" i="5" s="1"/>
  <c r="I9" i="5" s="1"/>
  <c r="J22" i="1"/>
  <c r="L22" i="1" s="1"/>
  <c r="C16" i="5"/>
  <c r="B6" i="5" s="1"/>
  <c r="L6" i="5" s="1"/>
  <c r="C17" i="5"/>
  <c r="C9" i="10" s="1"/>
  <c r="B12" i="5"/>
  <c r="J23" i="1"/>
  <c r="L23" i="1" s="1"/>
  <c r="J25" i="1"/>
  <c r="L25" i="1" s="1"/>
  <c r="C5" i="10"/>
  <c r="C7" i="10" l="1"/>
  <c r="J9" i="5"/>
  <c r="B5" i="5"/>
  <c r="I5" i="5" s="1"/>
  <c r="B7" i="5"/>
  <c r="K7" i="5" s="1"/>
  <c r="B4" i="5"/>
  <c r="L29" i="1"/>
  <c r="L30" i="1" s="1"/>
  <c r="L31" i="1" s="1"/>
  <c r="J6" i="5"/>
  <c r="L9" i="5"/>
  <c r="I6" i="5"/>
  <c r="H9" i="5"/>
  <c r="H8" i="5"/>
  <c r="J8" i="5"/>
  <c r="I8" i="5"/>
  <c r="C10" i="10"/>
  <c r="K9" i="5"/>
  <c r="H6" i="5"/>
  <c r="K6" i="5"/>
  <c r="L5" i="5"/>
  <c r="L8" i="5"/>
  <c r="K8" i="5"/>
  <c r="C6" i="10"/>
  <c r="L10" i="5"/>
  <c r="J10" i="5"/>
  <c r="H10" i="5"/>
  <c r="I10" i="5"/>
  <c r="K10" i="5"/>
  <c r="J4" i="5"/>
  <c r="I4" i="5"/>
  <c r="L4" i="5"/>
  <c r="H4" i="5"/>
  <c r="K4" i="5"/>
  <c r="L7" i="5"/>
  <c r="J7" i="5"/>
  <c r="I7" i="5" l="1"/>
  <c r="H7" i="5"/>
  <c r="J5" i="5"/>
  <c r="K5" i="5"/>
  <c r="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<sst xmlns="http://schemas.openxmlformats.org/spreadsheetml/2006/main" count="151" uniqueCount="64">
  <si>
    <t>Critérios</t>
  </si>
  <si>
    <t>Soma</t>
  </si>
  <si>
    <t>X</t>
  </si>
  <si>
    <t>Preço</t>
  </si>
  <si>
    <t>Oportunidade</t>
  </si>
  <si>
    <t>Satisfação</t>
  </si>
  <si>
    <t>Importância</t>
  </si>
  <si>
    <t>Item a ser avaliado</t>
  </si>
  <si>
    <t>Concorrentes</t>
  </si>
  <si>
    <t>Design</t>
  </si>
  <si>
    <t>Cor</t>
  </si>
  <si>
    <t>Embalagem</t>
  </si>
  <si>
    <t>Bico</t>
  </si>
  <si>
    <t>Anti-cólica</t>
  </si>
  <si>
    <t>Análise Pareada (atribua notas entre 1 e 9)</t>
  </si>
  <si>
    <t>Vendedor</t>
  </si>
  <si>
    <t>Peso do critério</t>
  </si>
  <si>
    <t>soma</t>
  </si>
  <si>
    <t>Soma/Peso</t>
  </si>
  <si>
    <t>CI</t>
  </si>
  <si>
    <t>CR (CI/RI)</t>
  </si>
  <si>
    <t>Notas para cada concorrente</t>
  </si>
  <si>
    <t>Entre 1 e 9</t>
  </si>
  <si>
    <t>Acabamento</t>
  </si>
  <si>
    <t>Motorização</t>
  </si>
  <si>
    <t>Estabilidade</t>
  </si>
  <si>
    <t>Serviço</t>
  </si>
  <si>
    <t>pós-venda</t>
  </si>
  <si>
    <t>Critério 1</t>
  </si>
  <si>
    <t>Critério 2</t>
  </si>
  <si>
    <t>Fator de Impacto</t>
  </si>
  <si>
    <t>Tamanho da bola</t>
  </si>
  <si>
    <t>Importância (norm em 9)</t>
  </si>
  <si>
    <t>Perfil de liderança</t>
  </si>
  <si>
    <t>Formação Profissional</t>
  </si>
  <si>
    <t>Nível de experiência</t>
  </si>
  <si>
    <t>Capacidade de trabalhar em equipe</t>
  </si>
  <si>
    <t>Candidato C</t>
  </si>
  <si>
    <t>Candidato B</t>
  </si>
  <si>
    <t>Candidato A</t>
  </si>
  <si>
    <t>2 X (6,67)</t>
  </si>
  <si>
    <t>1 X (5,20)</t>
  </si>
  <si>
    <t>5 X (9,33)</t>
  </si>
  <si>
    <t>5 X (5,20)</t>
  </si>
  <si>
    <t>5 X (6,67)</t>
  </si>
  <si>
    <t>4 X (5,20)</t>
  </si>
  <si>
    <t>3 X (9,33)</t>
  </si>
  <si>
    <t>1 X (6,67)</t>
  </si>
  <si>
    <t>2 X (9,33)</t>
  </si>
  <si>
    <t>3 X (5,20)</t>
  </si>
  <si>
    <t>SOMA</t>
  </si>
  <si>
    <t>CRITÉRIOS</t>
  </si>
  <si>
    <t>Durabilidade</t>
  </si>
  <si>
    <t>Garantia</t>
  </si>
  <si>
    <t>Peso</t>
  </si>
  <si>
    <t>arno</t>
  </si>
  <si>
    <t>wallita</t>
  </si>
  <si>
    <t>black</t>
  </si>
  <si>
    <t>singer</t>
  </si>
  <si>
    <t>Mondial</t>
  </si>
  <si>
    <t>KANO</t>
  </si>
  <si>
    <t>radar de oportunidade</t>
  </si>
  <si>
    <t>MAPA DE POSICIONAMENTO</t>
  </si>
  <si>
    <t>Lâmbda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</si>
</sst>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Times New Roman"/>
      <family val="1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0" xfId="0" applyFill="1" applyBorder="1"/>
    <xf numFmtId="0" fontId="0" fillId="0" borderId="0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0" fillId="9" borderId="0" xfId="0" applyFill="1" applyBorder="1"/>
    <xf numFmtId="0" fontId="2" fillId="9" borderId="0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13" xfId="0" applyFill="1" applyBorder="1"/>
    <xf numFmtId="0" fontId="0" fillId="9" borderId="14" xfId="0" applyFill="1" applyBorder="1"/>
    <xf numFmtId="0" fontId="0" fillId="9" borderId="5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9" borderId="1" xfId="0" applyFont="1" applyFill="1" applyBorder="1"/>
    <xf numFmtId="165" fontId="0" fillId="0" borderId="1" xfId="1" applyNumberFormat="1" applyFont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0" fillId="5" borderId="0" xfId="0" applyFill="1"/>
    <xf numFmtId="165" fontId="0" fillId="5" borderId="1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6" fillId="7" borderId="0" xfId="0" applyFont="1" applyFill="1"/>
    <xf numFmtId="0" fontId="7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/>
    <xf numFmtId="0" fontId="3" fillId="2" borderId="0" xfId="0" applyNumberFormat="1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2" fontId="11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2" fontId="13" fillId="12" borderId="1" xfId="0" applyNumberFormat="1" applyFont="1" applyFill="1" applyBorder="1" applyAlignment="1">
      <alignment horizontal="center" vertical="center" wrapText="1"/>
    </xf>
    <xf numFmtId="12" fontId="9" fillId="0" borderId="1" xfId="0" applyNumberFormat="1" applyFont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/>
    </xf>
    <xf numFmtId="0" fontId="6" fillId="7" borderId="0" xfId="0" applyFont="1" applyFill="1" applyBorder="1"/>
    <xf numFmtId="0" fontId="20" fillId="7" borderId="0" xfId="0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16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7" borderId="16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5" xfId="0" applyBorder="1" applyAlignment="1"/>
    <xf numFmtId="0" fontId="2" fillId="6" borderId="10" xfId="0" applyFont="1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5" xfId="0" applyFill="1" applyBorder="1" applyAlignment="1"/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CONSISTÊNCIA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'calc Hier'!$K$31</c:f>
              <c:strCache>
                <c:ptCount val="1"/>
                <c:pt idx="0">
                  <c:v>CR (CI/RI)</c:v>
                </c:pt>
              </c:strCache>
            </c:strRef>
          </c:cat>
          <c:val>
            <c:numRef>
              <c:f>'calc Hier'!$L$31</c:f>
              <c:numCache>
                <c:formatCode>0%</c:formatCode>
                <c:ptCount val="1"/>
                <c:pt idx="0">
                  <c:v>0.1773094346891704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7-437C-88C4-84E07C798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40112"/>
        <c:axId val="794239456"/>
      </c:barChart>
      <c:catAx>
        <c:axId val="7942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4239456"/>
        <c:crosses val="autoZero"/>
        <c:auto val="1"/>
        <c:lblAlgn val="ctr"/>
        <c:lblOffset val="100"/>
        <c:noMultiLvlLbl val="0"/>
      </c:catAx>
      <c:valAx>
        <c:axId val="7942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424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Kano!$B$5:$B$11</c:f>
              <c:strCache>
                <c:ptCount val="7"/>
                <c:pt idx="0">
                  <c:v>Peso</c:v>
                </c:pt>
                <c:pt idx="1">
                  <c:v>Cor</c:v>
                </c:pt>
                <c:pt idx="2">
                  <c:v>Garantia</c:v>
                </c:pt>
                <c:pt idx="3">
                  <c:v>Durabilidade</c:v>
                </c:pt>
                <c:pt idx="4">
                  <c:v>Acabamento</c:v>
                </c:pt>
                <c:pt idx="5">
                  <c:v>Design</c:v>
                </c:pt>
                <c:pt idx="6">
                  <c:v>Preço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Kano!$B$5:$B$11</c:f>
              <c:strCache>
                <c:ptCount val="7"/>
                <c:pt idx="0">
                  <c:v>Peso</c:v>
                </c:pt>
                <c:pt idx="1">
                  <c:v>Cor</c:v>
                </c:pt>
                <c:pt idx="2">
                  <c:v>Garantia</c:v>
                </c:pt>
                <c:pt idx="3">
                  <c:v>Durabilidade</c:v>
                </c:pt>
                <c:pt idx="4">
                  <c:v>Acabamento</c:v>
                </c:pt>
                <c:pt idx="5">
                  <c:v>Design</c:v>
                </c:pt>
                <c:pt idx="6">
                  <c:v>Preço</c:v>
                </c:pt>
              </c:strCache>
            </c:strRef>
          </c:cat>
          <c:val>
            <c:numRef>
              <c:f>Kano!$C$5:$C$11</c:f>
              <c:numCache>
                <c:formatCode>0</c:formatCode>
                <c:ptCount val="7"/>
                <c:pt idx="0">
                  <c:v>1.5346397695686109</c:v>
                </c:pt>
                <c:pt idx="1">
                  <c:v>2.5307949394473104</c:v>
                </c:pt>
                <c:pt idx="2">
                  <c:v>3.9383231324973855</c:v>
                </c:pt>
                <c:pt idx="3">
                  <c:v>3.9577256876341069</c:v>
                </c:pt>
                <c:pt idx="4">
                  <c:v>5.0502237187255918</c:v>
                </c:pt>
                <c:pt idx="5">
                  <c:v>5.4868054353417373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5-4966-9EDB-B0BBCC11C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290808"/>
        <c:axId val="683291464"/>
      </c:barChart>
      <c:catAx>
        <c:axId val="68329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3291464"/>
        <c:crosses val="autoZero"/>
        <c:auto val="1"/>
        <c:lblAlgn val="ctr"/>
        <c:lblOffset val="100"/>
        <c:noMultiLvlLbl val="0"/>
      </c:catAx>
      <c:valAx>
        <c:axId val="68329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3290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Radar!$C$3</c:f>
          <c:strCache>
            <c:ptCount val="1"/>
            <c:pt idx="0">
              <c:v>arno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142299933068418"/>
          <c:y val="0.22489075281008289"/>
          <c:w val="0.64672533586930103"/>
          <c:h val="0.71367411385009183"/>
        </c:manualLayout>
      </c:layout>
      <c:radarChart>
        <c:radarStyle val="filled"/>
        <c:varyColors val="0"/>
        <c:ser>
          <c:idx val="0"/>
          <c:order val="0"/>
          <c:tx>
            <c:strRef>
              <c:f>Radar!$B$3</c:f>
              <c:strCache>
                <c:ptCount val="1"/>
                <c:pt idx="0">
                  <c:v>Importância</c:v>
                </c:pt>
              </c:strCache>
            </c:strRef>
          </c:tx>
          <c:spPr>
            <a:solidFill>
              <a:schemeClr val="accent1">
                <a:alpha val="10196"/>
              </a:schemeClr>
            </a:solidFill>
            <a:ln w="50800">
              <a:solidFill>
                <a:schemeClr val="accent1">
                  <a:alpha val="30000"/>
                </a:scheme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Radar!$B$4:$B$10</c:f>
              <c:numCache>
                <c:formatCode>0</c:formatCode>
                <c:ptCount val="7"/>
                <c:pt idx="0">
                  <c:v>9</c:v>
                </c:pt>
                <c:pt idx="1">
                  <c:v>3.9577256876341069</c:v>
                </c:pt>
                <c:pt idx="2">
                  <c:v>2.5307949394473104</c:v>
                </c:pt>
                <c:pt idx="3">
                  <c:v>5.0502237187255918</c:v>
                </c:pt>
                <c:pt idx="4">
                  <c:v>5.4868054353417373</c:v>
                </c:pt>
                <c:pt idx="5">
                  <c:v>3.9383231324973855</c:v>
                </c:pt>
                <c:pt idx="6">
                  <c:v>1.5346397695686109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AE5-B517-B15F55CF8970}"/>
            </c:ext>
          </c:extLst>
        </c:ser>
        <c:ser>
          <c:idx val="1"/>
          <c:order val="1"/>
          <c:tx>
            <c:strRef>
              <c:f>Radar!$C$2</c:f>
              <c:strCache>
                <c:ptCount val="1"/>
                <c:pt idx="0">
                  <c:v>Satisfação</c:v>
                </c:pt>
              </c:strCache>
            </c:strRef>
          </c:tx>
          <c:spPr>
            <a:solidFill>
              <a:schemeClr val="accent2">
                <a:alpha val="10196"/>
              </a:schemeClr>
            </a:solidFill>
            <a:ln w="50800">
              <a:solidFill>
                <a:schemeClr val="accent2">
                  <a:alpha val="30000"/>
                </a:scheme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Radar!$C$4:$C$10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3-4AE5-B517-B15F55CF8970}"/>
            </c:ext>
          </c:extLst>
        </c:ser>
        <c:ser>
          <c:idx val="2"/>
          <c:order val="2"/>
          <c:tx>
            <c:strRef>
              <c:f>Radar!$H$2</c:f>
              <c:strCache>
                <c:ptCount val="1"/>
                <c:pt idx="0">
                  <c:v>Oportunidade</c:v>
                </c:pt>
              </c:strCache>
            </c:strRef>
          </c:tx>
          <c:spPr>
            <a:solidFill>
              <a:schemeClr val="accent3">
                <a:alpha val="10196"/>
              </a:schemeClr>
            </a:solidFill>
            <a:ln w="50800">
              <a:solidFill>
                <a:srgbClr val="FF0000">
                  <a:alpha val="30000"/>
                </a:srgb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Radar!$H$4:$H$10</c:f>
              <c:numCache>
                <c:formatCode>0</c:formatCode>
                <c:ptCount val="7"/>
                <c:pt idx="0">
                  <c:v>12</c:v>
                </c:pt>
                <c:pt idx="1">
                  <c:v>0.91545137526821385</c:v>
                </c:pt>
                <c:pt idx="2">
                  <c:v>2.0615898788946208</c:v>
                </c:pt>
                <c:pt idx="3">
                  <c:v>8.1004474374511837</c:v>
                </c:pt>
                <c:pt idx="4">
                  <c:v>8.9736108706834745</c:v>
                </c:pt>
                <c:pt idx="5">
                  <c:v>4.8766462649947711</c:v>
                </c:pt>
                <c:pt idx="6">
                  <c:v>-0.93072046086277815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3-4AE5-B517-B15F55CF8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43392"/>
        <c:axId val="543745032"/>
      </c:radarChart>
      <c:catAx>
        <c:axId val="5437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745032"/>
        <c:crosses val="autoZero"/>
        <c:auto val="1"/>
        <c:lblAlgn val="ctr"/>
        <c:lblOffset val="100"/>
        <c:noMultiLvlLbl val="0"/>
      </c:catAx>
      <c:valAx>
        <c:axId val="5437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7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Radar!$D$3</c:f>
          <c:strCache>
            <c:ptCount val="1"/>
            <c:pt idx="0">
              <c:v>wallita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142299933068418"/>
          <c:y val="0.22489075281008289"/>
          <c:w val="0.64672533586930103"/>
          <c:h val="0.71367411385009183"/>
        </c:manualLayout>
      </c:layout>
      <c:radarChart>
        <c:radarStyle val="filled"/>
        <c:varyColors val="0"/>
        <c:ser>
          <c:idx val="0"/>
          <c:order val="0"/>
          <c:tx>
            <c:strRef>
              <c:f>Radar!$B$3</c:f>
              <c:strCache>
                <c:ptCount val="1"/>
                <c:pt idx="0">
                  <c:v>Importância</c:v>
                </c:pt>
              </c:strCache>
            </c:strRef>
          </c:tx>
          <c:spPr>
            <a:solidFill>
              <a:schemeClr val="accent1">
                <a:alpha val="10196"/>
              </a:schemeClr>
            </a:solidFill>
            <a:ln w="50800">
              <a:solidFill>
                <a:schemeClr val="accent1">
                  <a:alpha val="30000"/>
                </a:scheme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Radar!$B$4:$B$10</c:f>
              <c:numCache>
                <c:formatCode>0</c:formatCode>
                <c:ptCount val="7"/>
                <c:pt idx="0">
                  <c:v>9</c:v>
                </c:pt>
                <c:pt idx="1">
                  <c:v>3.9577256876341069</c:v>
                </c:pt>
                <c:pt idx="2">
                  <c:v>2.5307949394473104</c:v>
                </c:pt>
                <c:pt idx="3">
                  <c:v>5.0502237187255918</c:v>
                </c:pt>
                <c:pt idx="4">
                  <c:v>5.4868054353417373</c:v>
                </c:pt>
                <c:pt idx="5">
                  <c:v>3.9383231324973855</c:v>
                </c:pt>
                <c:pt idx="6">
                  <c:v>1.5346397695686109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3-4853-8BF4-869DF347E82E}"/>
            </c:ext>
          </c:extLst>
        </c:ser>
        <c:ser>
          <c:idx val="1"/>
          <c:order val="1"/>
          <c:tx>
            <c:strRef>
              <c:f>Radar!$C$2</c:f>
              <c:strCache>
                <c:ptCount val="1"/>
                <c:pt idx="0">
                  <c:v>Satisfação</c:v>
                </c:pt>
              </c:strCache>
            </c:strRef>
          </c:tx>
          <c:spPr>
            <a:solidFill>
              <a:schemeClr val="accent2">
                <a:alpha val="10196"/>
              </a:schemeClr>
            </a:solidFill>
            <a:ln w="50800">
              <a:solidFill>
                <a:schemeClr val="accent2">
                  <a:alpha val="30000"/>
                </a:scheme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Radar!$D$4:$D$10</c:f>
              <c:numCache>
                <c:formatCode>General</c:formatCode>
                <c:ptCount val="7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3-4853-8BF4-869DF347E82E}"/>
            </c:ext>
          </c:extLst>
        </c:ser>
        <c:ser>
          <c:idx val="2"/>
          <c:order val="2"/>
          <c:tx>
            <c:strRef>
              <c:f>Radar!$H$2</c:f>
              <c:strCache>
                <c:ptCount val="1"/>
                <c:pt idx="0">
                  <c:v>Oportunidade</c:v>
                </c:pt>
              </c:strCache>
            </c:strRef>
          </c:tx>
          <c:spPr>
            <a:solidFill>
              <a:schemeClr val="accent3">
                <a:alpha val="10196"/>
              </a:schemeClr>
            </a:solidFill>
            <a:ln w="50800">
              <a:solidFill>
                <a:srgbClr val="FF0000">
                  <a:alpha val="30000"/>
                </a:srgb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Radar!$I$4:$I$10</c:f>
              <c:numCache>
                <c:formatCode>0</c:formatCode>
                <c:ptCount val="7"/>
                <c:pt idx="0">
                  <c:v>14</c:v>
                </c:pt>
                <c:pt idx="1">
                  <c:v>1.9154513752682139</c:v>
                </c:pt>
                <c:pt idx="2">
                  <c:v>1.0615898788946208</c:v>
                </c:pt>
                <c:pt idx="3">
                  <c:v>1.1004474374511837</c:v>
                </c:pt>
                <c:pt idx="4">
                  <c:v>3.9736108706834745</c:v>
                </c:pt>
                <c:pt idx="5">
                  <c:v>2.8766462649947711</c:v>
                </c:pt>
                <c:pt idx="6">
                  <c:v>2.0692795391372218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53-4853-8BF4-869DF347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43392"/>
        <c:axId val="543745032"/>
      </c:radarChart>
      <c:catAx>
        <c:axId val="5437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745032"/>
        <c:crosses val="autoZero"/>
        <c:auto val="1"/>
        <c:lblAlgn val="ctr"/>
        <c:lblOffset val="100"/>
        <c:noMultiLvlLbl val="0"/>
      </c:catAx>
      <c:valAx>
        <c:axId val="5437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7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275675313348103E-2"/>
          <c:y val="0.11973234758058625"/>
          <c:w val="0.87537734637025311"/>
          <c:h val="0.7693719154527451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B2-45C2-A1B1-22D3FB3F28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B2-45C2-A1B1-22D3FB3F28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B2-45C2-A1B1-22D3FB3F289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B2-45C2-A1B1-22D3FB3F289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B2-45C2-A1B1-22D3FB3F289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7F02552-4807-4651-A74F-191F755D740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3B2-45C2-A1B1-22D3FB3F28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5D27B0-FCB6-4CD7-B771-9F85A4AA53A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3B2-45C2-A1B1-22D3FB3F28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8CAB6F-7D3A-4DFE-8016-E4A1E57F556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3B2-45C2-A1B1-22D3FB3F28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6CC510-CE86-4535-A29F-40DBE45A970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3B2-45C2-A1B1-22D3FB3F28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6EB1E7-EC7A-491C-8951-E663D2C3D0B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3B2-45C2-A1B1-22D3FB3F2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'Mapas de posicionamento'!$C$3:$G$3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xVal>
          <c:yVal>
            <c:numRef>
              <c:f>'Mapas de posicionamento'!$C$4:$G$4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yVal>
          <c:bubbleSize>
            <c:numRef>
              <c:f>'Mapas de posicionamento'!$C$1:$G$1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'Mapas de posicionamento'!$C$2:$G$2</c15:f>
                <c15:dlblRangeCache>
                  <c:ptCount val="5"/>
                  <c:pt idx="0">
                    <c:v>arno</c:v>
                  </c:pt>
                  <c:pt idx="1">
                    <c:v>wallita</c:v>
                  </c:pt>
                  <c:pt idx="2">
                    <c:v>black</c:v>
                  </c:pt>
                  <c:pt idx="3">
                    <c:v>singer</c:v>
                  </c:pt>
                  <c:pt idx="4">
                    <c:v>Mondial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43B2-45C2-A1B1-22D3FB3F2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05249552"/>
        <c:axId val="1005250208"/>
      </c:bubbleChart>
      <c:valAx>
        <c:axId val="1005249552"/>
        <c:scaling>
          <c:orientation val="minMax"/>
          <c:max val="9"/>
          <c:min val="1"/>
        </c:scaling>
        <c:delete val="0"/>
        <c:axPos val="b"/>
        <c:title>
          <c:tx>
            <c:strRef>
              <c:f>'Mapas de posicionamento'!$B$3</c:f>
              <c:strCache>
                <c:ptCount val="1"/>
                <c:pt idx="0">
                  <c:v>Preço</c:v>
                </c:pt>
              </c:strCache>
            </c:strRef>
          </c:tx>
          <c:layout>
            <c:manualLayout>
              <c:xMode val="edge"/>
              <c:yMode val="edge"/>
              <c:x val="0.92281649814588562"/>
              <c:y val="0.432718492004747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alpha val="8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250208"/>
        <c:crossesAt val="5"/>
        <c:crossBetween val="midCat"/>
      </c:valAx>
      <c:valAx>
        <c:axId val="1005250208"/>
        <c:scaling>
          <c:orientation val="minMax"/>
          <c:max val="9"/>
          <c:min val="1"/>
        </c:scaling>
        <c:delete val="0"/>
        <c:axPos val="l"/>
        <c:title>
          <c:tx>
            <c:strRef>
              <c:f>'Mapas de posicionamento'!$B$4</c:f>
              <c:strCache>
                <c:ptCount val="1"/>
                <c:pt idx="0">
                  <c:v>Durabilidade</c:v>
                </c:pt>
              </c:strCache>
            </c:strRef>
          </c:tx>
          <c:layout>
            <c:manualLayout>
              <c:xMode val="edge"/>
              <c:yMode val="edge"/>
              <c:x val="0.46415498751555068"/>
              <c:y val="3.53363128766485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alpha val="8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249552"/>
        <c:crossesAt val="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75675313348103E-2"/>
          <c:y val="0.11973234758058625"/>
          <c:w val="0.87537734637025311"/>
          <c:h val="0.7693719154527451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5E-47A9-9213-2A7DBEC1E23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5E-47A9-9213-2A7DBEC1E23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5E-47A9-9213-2A7DBEC1E23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5E-47A9-9213-2A7DBEC1E23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5E-47A9-9213-2A7DBEC1E23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9B3DE33-AA65-4C2C-A927-8BD9F5F8E57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35E-47A9-9213-2A7DBEC1E2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424097-79C3-451D-8499-B6FB0601408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35E-47A9-9213-2A7DBEC1E2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349FF1-8759-43DA-9D6B-28A677ADD00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35E-47A9-9213-2A7DBEC1E2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3E0233-6EAC-47A6-A958-CF107235EEC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35E-47A9-9213-2A7DBEC1E2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C20929-FC79-48A2-B253-98AD9037F4E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35E-47A9-9213-2A7DBEC1E2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'Mapas de posicionamento'!$C$3:$G$3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xVal>
          <c:yVal>
            <c:numRef>
              <c:f>'Mapas de posicionamento'!$C$5:$G$5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4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0"/>
          <c:extLst>
            <c:ext xmlns:c15="http://schemas.microsoft.com/office/drawing/2012/chart" uri="{02D57815-91ED-43cb-92C2-25804820EDAC}">
              <c15:datalabelsRange>
                <c15:f>'Mapas de posicionamento'!$C$2:$G$2</c15:f>
                <c15:dlblRangeCache>
                  <c:ptCount val="5"/>
                  <c:pt idx="0">
                    <c:v>arno</c:v>
                  </c:pt>
                  <c:pt idx="1">
                    <c:v>wallita</c:v>
                  </c:pt>
                  <c:pt idx="2">
                    <c:v>black</c:v>
                  </c:pt>
                  <c:pt idx="3">
                    <c:v>singer</c:v>
                  </c:pt>
                  <c:pt idx="4">
                    <c:v>Mondial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35E-47A9-9213-2A7DBEC1E2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05249552"/>
        <c:axId val="1005250208"/>
      </c:bubbleChart>
      <c:valAx>
        <c:axId val="1005249552"/>
        <c:scaling>
          <c:orientation val="minMax"/>
          <c:max val="9"/>
          <c:min val="1"/>
        </c:scaling>
        <c:delete val="0"/>
        <c:axPos val="b"/>
        <c:title>
          <c:tx>
            <c:strRef>
              <c:f>'Mapas de posicionamento'!$B$3</c:f>
              <c:strCache>
                <c:ptCount val="1"/>
                <c:pt idx="0">
                  <c:v>Preço</c:v>
                </c:pt>
              </c:strCache>
            </c:strRef>
          </c:tx>
          <c:layout>
            <c:manualLayout>
              <c:xMode val="edge"/>
              <c:yMode val="edge"/>
              <c:x val="0.91214876158305869"/>
              <c:y val="0.43578148375661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alpha val="8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250208"/>
        <c:crossesAt val="5"/>
        <c:crossBetween val="midCat"/>
      </c:valAx>
      <c:valAx>
        <c:axId val="1005250208"/>
        <c:scaling>
          <c:orientation val="minMax"/>
          <c:max val="9"/>
          <c:min val="1"/>
        </c:scaling>
        <c:delete val="0"/>
        <c:axPos val="l"/>
        <c:title>
          <c:tx>
            <c:strRef>
              <c:f>'Mapas de posicionamento'!$B$5</c:f>
              <c:strCache>
                <c:ptCount val="1"/>
                <c:pt idx="0">
                  <c:v>Cor</c:v>
                </c:pt>
              </c:strCache>
            </c:strRef>
          </c:tx>
          <c:layout>
            <c:manualLayout>
              <c:xMode val="edge"/>
              <c:yMode val="edge"/>
              <c:x val="0.42411195848200678"/>
              <c:y val="3.09104103854232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alpha val="8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249552"/>
        <c:crossesAt val="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75675313348103E-2"/>
          <c:y val="0.11973234758058625"/>
          <c:w val="0.87537734637025311"/>
          <c:h val="0.7693719154527451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25-42BB-BBA3-41554F75FA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25-42BB-BBA3-41554F75FA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25-42BB-BBA3-41554F75FA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25-42BB-BBA3-41554F75FA0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25-42BB-BBA3-41554F75FA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B1CCF4B-2F7E-4116-A480-455E0699CD8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625-42BB-BBA3-41554F75FA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102289-7EF9-407F-BB82-1EB94CB59CF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625-42BB-BBA3-41554F75FA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5B30E0-8703-4507-96E9-C8AD17CA5B8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625-42BB-BBA3-41554F75FA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F8FBBE9-0F92-44C8-934D-56A7AD43C6D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625-42BB-BBA3-41554F75FA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7992B1-202D-4854-9AED-4DE6F7D1E6F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25-42BB-BBA3-41554F75F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'Mapas de posicionamento'!$C$3:$G$3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xVal>
          <c:yVal>
            <c:numRef>
              <c:f>'Mapas de posicionamento'!$C$6:$G$6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</c:numCache>
            </c:numRef>
          </c:yVal>
          <c:bubbleSize>
            <c:numRef>
              <c:f>'Mapas de posicionamento'!$C$1:$G$1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'Mapas de posicionamento'!$C$2:$G$2</c15:f>
                <c15:dlblRangeCache>
                  <c:ptCount val="5"/>
                  <c:pt idx="0">
                    <c:v>arno</c:v>
                  </c:pt>
                  <c:pt idx="1">
                    <c:v>wallita</c:v>
                  </c:pt>
                  <c:pt idx="2">
                    <c:v>black</c:v>
                  </c:pt>
                  <c:pt idx="3">
                    <c:v>singer</c:v>
                  </c:pt>
                  <c:pt idx="4">
                    <c:v>Mondial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3625-42BB-BBA3-41554F75FA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05249552"/>
        <c:axId val="1005250208"/>
      </c:bubbleChart>
      <c:valAx>
        <c:axId val="1005249552"/>
        <c:scaling>
          <c:orientation val="minMax"/>
          <c:max val="9"/>
          <c:min val="1"/>
        </c:scaling>
        <c:delete val="0"/>
        <c:axPos val="b"/>
        <c:title>
          <c:tx>
            <c:strRef>
              <c:f>'Mapas de posicionamento'!$B$3</c:f>
              <c:strCache>
                <c:ptCount val="1"/>
                <c:pt idx="0">
                  <c:v>Preço</c:v>
                </c:pt>
              </c:strCache>
            </c:strRef>
          </c:tx>
          <c:layout>
            <c:manualLayout>
              <c:xMode val="edge"/>
              <c:yMode val="edge"/>
              <c:x val="0.90634428431762004"/>
              <c:y val="0.43148403493768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alpha val="8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250208"/>
        <c:crossesAt val="5"/>
        <c:crossBetween val="midCat"/>
      </c:valAx>
      <c:valAx>
        <c:axId val="1005250208"/>
        <c:scaling>
          <c:orientation val="minMax"/>
          <c:max val="9"/>
          <c:min val="1"/>
        </c:scaling>
        <c:delete val="0"/>
        <c:axPos val="l"/>
        <c:title>
          <c:tx>
            <c:strRef>
              <c:f>'Mapas de posicionamento'!$B$6</c:f>
              <c:strCache>
                <c:ptCount val="1"/>
                <c:pt idx="0">
                  <c:v>Acabamento</c:v>
                </c:pt>
              </c:strCache>
            </c:strRef>
          </c:tx>
          <c:layout>
            <c:manualLayout>
              <c:xMode val="edge"/>
              <c:yMode val="edge"/>
              <c:x val="0.42695411341243644"/>
              <c:y val="2.36425132842002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alpha val="8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249552"/>
        <c:crossesAt val="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Radar!$D$3</c:f>
          <c:strCache>
            <c:ptCount val="1"/>
            <c:pt idx="0">
              <c:v>wallita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142299933068418"/>
          <c:y val="0.22489075281008289"/>
          <c:w val="0.64672533586930103"/>
          <c:h val="0.71367411385009183"/>
        </c:manualLayout>
      </c:layout>
      <c:radarChart>
        <c:radarStyle val="filled"/>
        <c:varyColors val="0"/>
        <c:ser>
          <c:idx val="0"/>
          <c:order val="0"/>
          <c:tx>
            <c:strRef>
              <c:f>Radar!$B$3</c:f>
              <c:strCache>
                <c:ptCount val="1"/>
                <c:pt idx="0">
                  <c:v>Importância</c:v>
                </c:pt>
              </c:strCache>
            </c:strRef>
          </c:tx>
          <c:spPr>
            <a:solidFill>
              <a:schemeClr val="accent1">
                <a:alpha val="10196"/>
              </a:schemeClr>
            </a:solidFill>
            <a:ln w="50800">
              <a:solidFill>
                <a:schemeClr val="accent1">
                  <a:alpha val="30000"/>
                </a:scheme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Radar!$B$4:$B$10</c:f>
              <c:numCache>
                <c:formatCode>0</c:formatCode>
                <c:ptCount val="7"/>
                <c:pt idx="0">
                  <c:v>9</c:v>
                </c:pt>
                <c:pt idx="1">
                  <c:v>3.9577256876341069</c:v>
                </c:pt>
                <c:pt idx="2">
                  <c:v>2.5307949394473104</c:v>
                </c:pt>
                <c:pt idx="3">
                  <c:v>5.0502237187255918</c:v>
                </c:pt>
                <c:pt idx="4">
                  <c:v>5.4868054353417373</c:v>
                </c:pt>
                <c:pt idx="5">
                  <c:v>3.9383231324973855</c:v>
                </c:pt>
                <c:pt idx="6">
                  <c:v>1.5346397695686109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8-4CDB-BAFD-7FFC4EBB53AD}"/>
            </c:ext>
          </c:extLst>
        </c:ser>
        <c:ser>
          <c:idx val="1"/>
          <c:order val="1"/>
          <c:tx>
            <c:strRef>
              <c:f>Radar!$C$2</c:f>
              <c:strCache>
                <c:ptCount val="1"/>
                <c:pt idx="0">
                  <c:v>Satisfação</c:v>
                </c:pt>
              </c:strCache>
            </c:strRef>
          </c:tx>
          <c:spPr>
            <a:solidFill>
              <a:schemeClr val="accent2">
                <a:alpha val="10196"/>
              </a:schemeClr>
            </a:solidFill>
            <a:ln w="50800">
              <a:solidFill>
                <a:schemeClr val="accent2">
                  <a:alpha val="30000"/>
                </a:scheme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Radar!$D$4:$D$10</c:f>
              <c:numCache>
                <c:formatCode>General</c:formatCode>
                <c:ptCount val="7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8-4CDB-BAFD-7FFC4EBB53AD}"/>
            </c:ext>
          </c:extLst>
        </c:ser>
        <c:ser>
          <c:idx val="2"/>
          <c:order val="2"/>
          <c:tx>
            <c:strRef>
              <c:f>Radar!$H$2</c:f>
              <c:strCache>
                <c:ptCount val="1"/>
                <c:pt idx="0">
                  <c:v>Oportunidade</c:v>
                </c:pt>
              </c:strCache>
            </c:strRef>
          </c:tx>
          <c:spPr>
            <a:solidFill>
              <a:schemeClr val="accent3">
                <a:alpha val="10196"/>
              </a:schemeClr>
            </a:solidFill>
            <a:ln w="50800">
              <a:solidFill>
                <a:srgbClr val="FF0000">
                  <a:alpha val="30000"/>
                </a:srgbClr>
              </a:solidFill>
            </a:ln>
            <a:effectLst/>
          </c:spPr>
          <c:cat>
            <c:strRef>
              <c:f>Radar!$A$4:$A$10</c:f>
              <c:strCache>
                <c:ptCount val="7"/>
                <c:pt idx="0">
                  <c:v>Preço</c:v>
                </c:pt>
                <c:pt idx="1">
                  <c:v>Durabilidade</c:v>
                </c:pt>
                <c:pt idx="2">
                  <c:v>Cor</c:v>
                </c:pt>
                <c:pt idx="3">
                  <c:v>Acabamento</c:v>
                </c:pt>
                <c:pt idx="4">
                  <c:v>Design</c:v>
                </c:pt>
                <c:pt idx="5">
                  <c:v>Garantia</c:v>
                </c:pt>
                <c:pt idx="6">
                  <c:v>Peso</c:v>
                </c:pt>
              </c:strCache>
            </c:strRef>
          </c:cat>
          <c:val>
            <c:numRef>
              <c:f>Radar!$I$4:$I$10</c:f>
              <c:numCache>
                <c:formatCode>0</c:formatCode>
                <c:ptCount val="7"/>
                <c:pt idx="0">
                  <c:v>14</c:v>
                </c:pt>
                <c:pt idx="1">
                  <c:v>1.9154513752682139</c:v>
                </c:pt>
                <c:pt idx="2">
                  <c:v>1.0615898788946208</c:v>
                </c:pt>
                <c:pt idx="3">
                  <c:v>1.1004474374511837</c:v>
                </c:pt>
                <c:pt idx="4">
                  <c:v>3.9736108706834745</c:v>
                </c:pt>
                <c:pt idx="5">
                  <c:v>2.8766462649947711</c:v>
                </c:pt>
                <c:pt idx="6">
                  <c:v>2.0692795391372218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8-4CDB-BAFD-7FFC4EBB5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43392"/>
        <c:axId val="543745032"/>
      </c:radarChart>
      <c:catAx>
        <c:axId val="5437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745032"/>
        <c:crosses val="autoZero"/>
        <c:auto val="1"/>
        <c:lblAlgn val="ctr"/>
        <c:lblOffset val="100"/>
        <c:noMultiLvlLbl val="0"/>
      </c:catAx>
      <c:valAx>
        <c:axId val="5437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7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74085</xdr:colOff>
      <xdr:row>10</xdr:row>
      <xdr:rowOff>134936</xdr:rowOff>
    </xdr:from>
    <xdr:to>
      <xdr:col>1</xdr:col>
      <xdr:colOff>1725084</xdr:colOff>
      <xdr:row>30</xdr:row>
      <xdr:rowOff>6349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90688EB-CB40-49F7-9E1E-22DFF8840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217713</xdr:colOff>
      <xdr:row>68</xdr:row>
      <xdr:rowOff>190499</xdr:rowOff>
    </xdr:from>
    <xdr:to>
      <xdr:col>7</xdr:col>
      <xdr:colOff>95249</xdr:colOff>
      <xdr:row>85</xdr:row>
      <xdr:rowOff>13606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545E68-608B-4B57-AC5C-05123CAE9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60</xdr:row>
      <xdr:rowOff>19051</xdr:rowOff>
    </xdr:from>
    <xdr:to>
      <xdr:col>19</xdr:col>
      <xdr:colOff>79375</xdr:colOff>
      <xdr:row>86</xdr:row>
      <xdr:rowOff>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97CC73-3C1A-48CB-BEB1-D758D2283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117474</xdr:colOff>
      <xdr:row>60</xdr:row>
      <xdr:rowOff>0</xdr:rowOff>
    </xdr:from>
    <xdr:to>
      <xdr:col>24</xdr:col>
      <xdr:colOff>891117</xdr:colOff>
      <xdr:row>85</xdr:row>
      <xdr:rowOff>152401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F495A0-6651-4E66-A0CE-A155343AC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231322</xdr:colOff>
      <xdr:row>90</xdr:row>
      <xdr:rowOff>171567</xdr:rowOff>
    </xdr:from>
    <xdr:to>
      <xdr:col>11</xdr:col>
      <xdr:colOff>183402</xdr:colOff>
      <xdr:row>112</xdr:row>
      <xdr:rowOff>126840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B3EDE0-32B3-4E1E-AA9F-5E93BC3EC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162107</xdr:colOff>
      <xdr:row>90</xdr:row>
      <xdr:rowOff>136072</xdr:rowOff>
    </xdr:from>
    <xdr:to>
      <xdr:col>16</xdr:col>
      <xdr:colOff>753129</xdr:colOff>
      <xdr:row>112</xdr:row>
      <xdr:rowOff>91345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77AB98-86BD-4063-9F64-D372053EA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1364858</xdr:colOff>
      <xdr:row>91</xdr:row>
      <xdr:rowOff>21297</xdr:rowOff>
    </xdr:from>
    <xdr:to>
      <xdr:col>23</xdr:col>
      <xdr:colOff>91112</xdr:colOff>
      <xdr:row>112</xdr:row>
      <xdr:rowOff>183638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14B6387-F900-4433-AFF1-D09855681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232521</xdr:colOff>
      <xdr:row>68</xdr:row>
      <xdr:rowOff>176893</xdr:rowOff>
    </xdr:from>
    <xdr:to>
      <xdr:col>13</xdr:col>
      <xdr:colOff>2965163</xdr:colOff>
      <xdr:row>84</xdr:row>
      <xdr:rowOff>149678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D3462E5-6A84-40BB-9F1D-F289B4FB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6985" y="13688786"/>
          <a:ext cx="5413249" cy="302078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0.07336</cdr:x>
      <cdr:y>0.05713</cdr:y>
    </cdr:from>
    <cdr:to>
      <cdr:x>0.27429</cdr:x>
      <cdr:y>0.12505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2BA9879-799A-414E-AC0C-E8428EDF84C2}"/>
            </a:ext>
          </a:extLst>
        </cdr:cNvPr>
        <cdr:cNvSpPr txBox="1"/>
      </cdr:nvSpPr>
      <cdr:spPr>
        <a:xfrm xmlns:a="http://schemas.openxmlformats.org/drawingml/2006/main">
          <a:off x="459687" y="236884"/>
          <a:ext cx="1258957" cy="281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0.16722</cdr:x>
      <cdr:y>0.002</cdr:y>
    </cdr:from>
    <cdr:to>
      <cdr:x>0.2505</cdr:x>
      <cdr:y>0.06992</cdr:y>
    </cdr:to>
    <cdr:sp macro="" textlink="'Mapas de posicionamento'!$L$2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D498287B-AA9F-4E8E-94AB-3243D841105E}"/>
            </a:ext>
          </a:extLst>
        </cdr:cNvPr>
        <cdr:cNvSpPr txBox="1"/>
      </cdr:nvSpPr>
      <cdr:spPr>
        <a:xfrm xmlns:a="http://schemas.openxmlformats.org/drawingml/2006/main">
          <a:off x="1047754" y="8282"/>
          <a:ext cx="521804" cy="281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37D08A79-92B2-4588-A1F0-03AE9E0B209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0,036</a:t>
          </a:fld>
          <a:endParaRPr lang="pt-BR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0.20687</cdr:x>
      <cdr:y>0.05993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C4A71152-AD1F-43A9-9C26-283B9D39B84D}"/>
            </a:ext>
          </a:extLst>
        </cdr:cNvPr>
        <cdr:cNvSpPr txBox="1"/>
      </cdr:nvSpPr>
      <cdr:spPr>
        <a:xfrm xmlns:a="http://schemas.openxmlformats.org/drawingml/2006/main">
          <a:off x="0" y="0"/>
          <a:ext cx="1296231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Fator de Impacto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0.17662</cdr:x>
      <cdr:y>0.002</cdr:y>
    </cdr:from>
    <cdr:to>
      <cdr:x>0.26448</cdr:x>
      <cdr:y>0.06992</cdr:y>
    </cdr:to>
    <cdr:sp macro="" textlink="'Mapas de posicionamento'!$L$3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D0B22E8-6EC9-4921-AAD7-1EB054E99AC4}"/>
            </a:ext>
          </a:extLst>
        </cdr:cNvPr>
        <cdr:cNvSpPr txBox="1"/>
      </cdr:nvSpPr>
      <cdr:spPr>
        <a:xfrm xmlns:a="http://schemas.openxmlformats.org/drawingml/2006/main">
          <a:off x="1048858" y="8282"/>
          <a:ext cx="521804" cy="281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723507F-6E41-49E8-9F14-ACE4765E0EE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0,023</a:t>
          </a:fld>
          <a:endParaRPr lang="pt-BR" sz="1100"/>
        </a:p>
      </cdr:txBody>
    </cdr:sp>
  </cdr:relSizeAnchor>
  <cdr:relSizeAnchor xmlns:cdr="http://schemas.openxmlformats.org/drawingml/2006/chartDrawing">
    <cdr:from>
      <cdr:x>0.00019</cdr:x>
      <cdr:y>0</cdr:y>
    </cdr:from>
    <cdr:to>
      <cdr:x>0.21846</cdr:x>
      <cdr:y>0.05993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CB0A377C-D314-40E4-95A6-5594A252CBC1}"/>
            </a:ext>
          </a:extLst>
        </cdr:cNvPr>
        <cdr:cNvSpPr txBox="1"/>
      </cdr:nvSpPr>
      <cdr:spPr>
        <a:xfrm xmlns:a="http://schemas.openxmlformats.org/drawingml/2006/main">
          <a:off x="1104" y="0"/>
          <a:ext cx="1296231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/>
            <a:t>Fator de Impacto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0.17498</cdr:x>
      <cdr:y>0.01419</cdr:y>
    </cdr:from>
    <cdr:to>
      <cdr:x>0.25809</cdr:x>
      <cdr:y>0.08184</cdr:y>
    </cdr:to>
    <cdr:sp macro="" textlink="'Mapas de posicionamento'!$L$4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8A81339-D202-48B2-AA2B-6116DA59DAF7}"/>
            </a:ext>
          </a:extLst>
        </cdr:cNvPr>
        <cdr:cNvSpPr txBox="1"/>
      </cdr:nvSpPr>
      <cdr:spPr>
        <a:xfrm xmlns:a="http://schemas.openxmlformats.org/drawingml/2006/main">
          <a:off x="1098554" y="59082"/>
          <a:ext cx="521804" cy="281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BCBE6EF0-A6F7-47B2-B01F-CC1C0D6FEF42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0,046</a:t>
          </a:fld>
          <a:endParaRPr lang="pt-BR" sz="1100"/>
        </a:p>
      </cdr:txBody>
    </cdr:sp>
  </cdr:relSizeAnchor>
  <cdr:relSizeAnchor xmlns:cdr="http://schemas.openxmlformats.org/drawingml/2006/chartDrawing">
    <cdr:from>
      <cdr:x>0.00809</cdr:x>
      <cdr:y>0.0122</cdr:y>
    </cdr:from>
    <cdr:to>
      <cdr:x>0.21456</cdr:x>
      <cdr:y>0.07189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39699C2E-CE04-42AA-ADE9-BBD856CAC68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96231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/>
            <a:t>Fator de Impacto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352424</xdr:colOff>
      <xdr:row>11</xdr:row>
      <xdr:rowOff>19048</xdr:rowOff>
    </xdr:from>
    <xdr:to>
      <xdr:col>15</xdr:col>
      <xdr:colOff>76200</xdr:colOff>
      <xdr:row>36</xdr:row>
      <xdr:rowOff>171449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5FE5AE-3EDA-4D69-B3EB-F6B14BC4B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4233-7471-4B98-A387-F3F4599718EA}">
  <dimension ref="A3:Z134"/>
  <sheetViews>
    <sheetView tabSelected="1" topLeftCell="A65" zoomScale="70" zoomScaleNormal="70" workbookViewId="0">
      <selection activeCell="O83" sqref="O83"/>
    </sheetView>
  </sheetViews>
  <sheetFormatPr defaultColWidth="9.140625" defaultRowHeight="15" x14ac:dyDescent="0.25"/>
  <cols>
    <col min="1" max="1" width="3.28515625" style="9" customWidth="1"/>
    <col min="2" max="2" width="26.28515625" style="9" customWidth="1"/>
    <col min="3" max="3" width="2.42578125" style="9" customWidth="1"/>
    <col min="4" max="7" width="9.140625" style="9"/>
    <col min="8" max="8" width="1.7109375" style="9" customWidth="1"/>
    <col min="9" max="12" width="9.140625" style="9"/>
    <col min="13" max="13" width="3.42578125" style="9" customWidth="1"/>
    <col min="14" max="14" width="49.5703125" style="9" customWidth="1"/>
    <col min="15" max="15" width="3.7109375" style="9" customWidth="1"/>
    <col min="16" max="16" width="26.85546875" style="39" customWidth="1"/>
    <col min="17" max="17" width="28.7109375" style="9" customWidth="1"/>
    <col min="18" max="18" width="14.140625" style="10" customWidth="1"/>
    <col min="19" max="23" width="14.140625" style="9" customWidth="1"/>
    <col min="24" max="25" width="17.42578125" style="10" customWidth="1"/>
    <col min="26" max="26" width="43.42578125" style="10" customWidth="1"/>
    <col min="27" max="16384" width="9.140625" style="9"/>
  </cols>
  <sheetData>
    <row r="3" spans="1:26" ht="27.75" customHeight="1" x14ac:dyDescent="0.3">
      <c r="B3" s="40" t="s">
        <v>0</v>
      </c>
      <c r="C3" s="41"/>
      <c r="D3" s="107" t="s">
        <v>14</v>
      </c>
      <c r="E3" s="108"/>
      <c r="F3" s="108"/>
      <c r="G3" s="108"/>
      <c r="H3" s="109"/>
      <c r="I3" s="108"/>
      <c r="J3" s="108"/>
      <c r="K3" s="108"/>
      <c r="L3" s="110"/>
      <c r="M3" s="42"/>
      <c r="N3" s="40" t="s">
        <v>8</v>
      </c>
      <c r="O3" s="41"/>
      <c r="P3" s="104" t="s">
        <v>21</v>
      </c>
      <c r="Q3" s="104"/>
      <c r="R3" s="43" t="s">
        <v>22</v>
      </c>
    </row>
    <row r="4" spans="1:26" customFormat="1" x14ac:dyDescent="0.25">
      <c r="A4" s="7">
        <v>1</v>
      </c>
      <c r="B4" s="66" t="s">
        <v>3</v>
      </c>
      <c r="C4" s="13"/>
      <c r="D4" s="94" t="str">
        <f>B4</f>
        <v>Preço</v>
      </c>
      <c r="E4" s="94"/>
      <c r="F4" s="94"/>
      <c r="G4" s="95"/>
      <c r="H4" s="23"/>
      <c r="I4" s="96" t="str">
        <f>B5</f>
        <v>Durabilidade</v>
      </c>
      <c r="J4" s="94"/>
      <c r="K4" s="94"/>
      <c r="L4" s="94"/>
      <c r="M4" s="9"/>
      <c r="N4" s="15" t="s">
        <v>55</v>
      </c>
      <c r="O4" s="9"/>
      <c r="P4" s="105" t="str">
        <f>N4</f>
        <v>arno</v>
      </c>
      <c r="Q4" s="44" t="str">
        <f>B4</f>
        <v>Preço</v>
      </c>
      <c r="R4" s="30">
        <v>6</v>
      </c>
      <c r="S4" s="9"/>
      <c r="T4" s="9"/>
      <c r="U4" s="9"/>
      <c r="V4" s="9"/>
      <c r="W4" s="9"/>
      <c r="X4" s="10"/>
      <c r="Y4" s="10"/>
      <c r="Z4" s="10"/>
    </row>
    <row r="5" spans="1:26" customFormat="1" x14ac:dyDescent="0.25">
      <c r="A5" s="7">
        <v>2</v>
      </c>
      <c r="B5" s="66" t="s">
        <v>52</v>
      </c>
      <c r="C5" s="13"/>
      <c r="D5" s="111">
        <v>4</v>
      </c>
      <c r="E5" s="112"/>
      <c r="F5" s="112"/>
      <c r="G5" s="113"/>
      <c r="H5" s="22"/>
      <c r="I5" s="114"/>
      <c r="J5" s="112"/>
      <c r="K5" s="112"/>
      <c r="L5" s="112"/>
      <c r="M5" s="9"/>
      <c r="N5" s="15" t="s">
        <v>56</v>
      </c>
      <c r="O5" s="9"/>
      <c r="P5" s="92"/>
      <c r="Q5" s="44" t="str">
        <f t="shared" ref="Q5:Q9" si="0">B5</f>
        <v>Durabilidade</v>
      </c>
      <c r="R5" s="30">
        <v>7</v>
      </c>
      <c r="S5" s="9"/>
      <c r="T5" s="9"/>
      <c r="U5" s="9"/>
      <c r="V5" s="9"/>
      <c r="W5" s="9"/>
      <c r="X5" s="10"/>
      <c r="Y5" s="10"/>
      <c r="Z5" s="10"/>
    </row>
    <row r="6" spans="1:26" customFormat="1" x14ac:dyDescent="0.25">
      <c r="A6" s="7">
        <v>3</v>
      </c>
      <c r="B6" s="66" t="s">
        <v>10</v>
      </c>
      <c r="C6" s="13"/>
      <c r="D6" s="25"/>
      <c r="E6" s="22"/>
      <c r="F6" s="22"/>
      <c r="G6" s="22"/>
      <c r="H6" s="22"/>
      <c r="I6" s="22"/>
      <c r="J6" s="22"/>
      <c r="K6" s="22"/>
      <c r="L6" s="26"/>
      <c r="M6" s="9"/>
      <c r="N6" s="15" t="s">
        <v>57</v>
      </c>
      <c r="O6" s="9"/>
      <c r="P6" s="92"/>
      <c r="Q6" s="44" t="str">
        <f t="shared" si="0"/>
        <v>Cor</v>
      </c>
      <c r="R6" s="30">
        <v>3</v>
      </c>
      <c r="S6" s="9"/>
      <c r="T6" s="9"/>
      <c r="U6" s="9"/>
      <c r="V6" s="9"/>
      <c r="W6" s="9"/>
      <c r="X6" s="10"/>
      <c r="Y6" s="10"/>
      <c r="Z6" s="10"/>
    </row>
    <row r="7" spans="1:26" customFormat="1" x14ac:dyDescent="0.25">
      <c r="A7" s="14">
        <v>4</v>
      </c>
      <c r="B7" s="66" t="s">
        <v>23</v>
      </c>
      <c r="C7" s="13"/>
      <c r="D7" s="101" t="str">
        <f>B4</f>
        <v>Preço</v>
      </c>
      <c r="E7" s="101"/>
      <c r="F7" s="101"/>
      <c r="G7" s="102"/>
      <c r="H7" s="24"/>
      <c r="I7" s="106" t="str">
        <f>B6</f>
        <v>Cor</v>
      </c>
      <c r="J7" s="101"/>
      <c r="K7" s="101"/>
      <c r="L7" s="101"/>
      <c r="M7" s="9"/>
      <c r="N7" s="15" t="s">
        <v>58</v>
      </c>
      <c r="O7" s="9"/>
      <c r="P7" s="92"/>
      <c r="Q7" s="44" t="str">
        <f t="shared" si="0"/>
        <v>Acabamento</v>
      </c>
      <c r="R7" s="30">
        <v>2</v>
      </c>
      <c r="S7" s="9"/>
      <c r="T7" s="9"/>
      <c r="U7" s="9"/>
      <c r="V7" s="9"/>
      <c r="W7" s="9"/>
      <c r="X7" s="10"/>
      <c r="Y7" s="10"/>
      <c r="Z7" s="10"/>
    </row>
    <row r="8" spans="1:26" customFormat="1" x14ac:dyDescent="0.25">
      <c r="A8" s="14">
        <v>5</v>
      </c>
      <c r="B8" s="16" t="s">
        <v>9</v>
      </c>
      <c r="C8" s="13"/>
      <c r="D8" s="97">
        <v>2</v>
      </c>
      <c r="E8" s="98"/>
      <c r="F8" s="98"/>
      <c r="G8" s="99"/>
      <c r="H8" s="24"/>
      <c r="I8" s="100"/>
      <c r="J8" s="98"/>
      <c r="K8" s="98"/>
      <c r="L8" s="98"/>
      <c r="M8" s="9"/>
      <c r="N8" s="15" t="s">
        <v>59</v>
      </c>
      <c r="O8" s="9"/>
      <c r="P8" s="92"/>
      <c r="Q8" s="44" t="str">
        <f t="shared" si="0"/>
        <v>Design</v>
      </c>
      <c r="R8" s="30">
        <v>2</v>
      </c>
      <c r="S8" s="9"/>
      <c r="T8" s="9"/>
      <c r="U8" s="9"/>
      <c r="V8" s="9"/>
      <c r="W8" s="9"/>
      <c r="X8" s="10"/>
      <c r="Y8" s="10"/>
      <c r="Z8" s="10"/>
    </row>
    <row r="9" spans="1:26" customFormat="1" x14ac:dyDescent="0.25">
      <c r="A9" s="14">
        <v>6</v>
      </c>
      <c r="B9" s="16" t="s">
        <v>53</v>
      </c>
      <c r="C9" s="13"/>
      <c r="D9" s="25"/>
      <c r="E9" s="22"/>
      <c r="F9" s="22"/>
      <c r="G9" s="22"/>
      <c r="H9" s="22"/>
      <c r="I9" s="22"/>
      <c r="J9" s="22"/>
      <c r="K9" s="22"/>
      <c r="L9" s="26"/>
      <c r="M9" s="9"/>
      <c r="N9" s="9"/>
      <c r="O9" s="9"/>
      <c r="P9" s="92"/>
      <c r="Q9" s="44" t="str">
        <f t="shared" si="0"/>
        <v>Garantia</v>
      </c>
      <c r="R9" s="30">
        <v>3</v>
      </c>
      <c r="S9" s="9"/>
      <c r="T9" s="9"/>
      <c r="U9" s="9"/>
      <c r="V9" s="9"/>
      <c r="W9" s="9"/>
      <c r="X9" s="10"/>
      <c r="Y9" s="10"/>
      <c r="Z9" s="10"/>
    </row>
    <row r="10" spans="1:26" customFormat="1" ht="15.75" thickBot="1" x14ac:dyDescent="0.3">
      <c r="A10" s="14">
        <v>7</v>
      </c>
      <c r="B10" s="16" t="s">
        <v>54</v>
      </c>
      <c r="C10" s="13"/>
      <c r="D10" s="101" t="str">
        <f>B4</f>
        <v>Preço</v>
      </c>
      <c r="E10" s="101"/>
      <c r="F10" s="101"/>
      <c r="G10" s="102"/>
      <c r="H10" s="24"/>
      <c r="I10" s="106" t="str">
        <f>B7</f>
        <v>Acabamento</v>
      </c>
      <c r="J10" s="101"/>
      <c r="K10" s="101"/>
      <c r="L10" s="101"/>
      <c r="M10" s="9"/>
      <c r="N10" s="9"/>
      <c r="O10" s="9"/>
      <c r="P10" s="93"/>
      <c r="Q10" s="45" t="str">
        <f>B10</f>
        <v>Peso</v>
      </c>
      <c r="R10" s="49">
        <v>4</v>
      </c>
      <c r="S10" s="9"/>
      <c r="T10" s="9"/>
      <c r="U10" s="9"/>
      <c r="V10" s="9"/>
      <c r="W10" s="9"/>
      <c r="X10" s="10"/>
      <c r="Y10" s="10"/>
      <c r="Z10" s="10"/>
    </row>
    <row r="11" spans="1:26" customFormat="1" x14ac:dyDescent="0.25">
      <c r="A11" s="9"/>
      <c r="B11" s="13"/>
      <c r="C11" s="13"/>
      <c r="D11" s="103"/>
      <c r="E11" s="98"/>
      <c r="F11" s="98"/>
      <c r="G11" s="99"/>
      <c r="H11" s="24"/>
      <c r="I11" s="100">
        <v>2</v>
      </c>
      <c r="J11" s="98"/>
      <c r="K11" s="98"/>
      <c r="L11" s="98"/>
      <c r="M11" s="9"/>
      <c r="N11" s="9"/>
      <c r="O11" s="9"/>
      <c r="P11" s="88" t="str">
        <f>N5</f>
        <v>wallita</v>
      </c>
      <c r="Q11" s="47" t="str">
        <f t="shared" ref="Q11:Q17" si="1">Q4</f>
        <v>Preço</v>
      </c>
      <c r="R11" s="50">
        <v>4</v>
      </c>
      <c r="S11" s="9"/>
      <c r="T11" s="9"/>
      <c r="U11" s="9"/>
      <c r="V11" s="9"/>
      <c r="W11" s="9"/>
      <c r="X11" s="10"/>
      <c r="Y11" s="10"/>
      <c r="Z11" s="10"/>
    </row>
    <row r="12" spans="1:26" customFormat="1" x14ac:dyDescent="0.25">
      <c r="A12" s="13"/>
      <c r="B12" s="13"/>
      <c r="C12" s="13"/>
      <c r="D12" s="25"/>
      <c r="E12" s="22"/>
      <c r="F12" s="22"/>
      <c r="G12" s="22"/>
      <c r="H12" s="22"/>
      <c r="I12" s="22"/>
      <c r="J12" s="22"/>
      <c r="K12" s="22"/>
      <c r="L12" s="26"/>
      <c r="M12" s="9"/>
      <c r="N12" s="9"/>
      <c r="O12" s="9"/>
      <c r="P12" s="89"/>
      <c r="Q12" s="16" t="str">
        <f t="shared" si="1"/>
        <v>Durabilidade</v>
      </c>
      <c r="R12" s="15">
        <v>6</v>
      </c>
      <c r="S12" s="9"/>
      <c r="T12" s="9"/>
      <c r="U12" s="9"/>
      <c r="V12" s="9"/>
      <c r="W12" s="9"/>
      <c r="X12" s="10"/>
      <c r="Y12" s="10"/>
      <c r="Z12" s="10"/>
    </row>
    <row r="13" spans="1:26" customFormat="1" x14ac:dyDescent="0.25">
      <c r="A13" s="13"/>
      <c r="B13" s="13"/>
      <c r="C13" s="13"/>
      <c r="D13" s="94" t="str">
        <f>B4</f>
        <v>Preço</v>
      </c>
      <c r="E13" s="94"/>
      <c r="F13" s="94"/>
      <c r="G13" s="95"/>
      <c r="H13" s="23"/>
      <c r="I13" s="96" t="str">
        <f>B8</f>
        <v>Design</v>
      </c>
      <c r="J13" s="94"/>
      <c r="K13" s="94"/>
      <c r="L13" s="94"/>
      <c r="M13" s="9"/>
      <c r="N13" s="9"/>
      <c r="O13" s="9"/>
      <c r="P13" s="89"/>
      <c r="Q13" s="16" t="str">
        <f t="shared" si="1"/>
        <v>Cor</v>
      </c>
      <c r="R13" s="15">
        <v>4</v>
      </c>
      <c r="S13" s="9"/>
      <c r="T13" s="9"/>
      <c r="U13" s="9"/>
      <c r="V13" s="9"/>
      <c r="W13" s="9"/>
      <c r="X13" s="10"/>
      <c r="Y13" s="10"/>
      <c r="Z13" s="10"/>
    </row>
    <row r="14" spans="1:26" customFormat="1" x14ac:dyDescent="0.25">
      <c r="A14" s="13"/>
      <c r="B14" s="13"/>
      <c r="C14" s="13"/>
      <c r="D14" s="97">
        <v>4</v>
      </c>
      <c r="E14" s="98"/>
      <c r="F14" s="98"/>
      <c r="G14" s="99"/>
      <c r="H14" s="24"/>
      <c r="I14" s="100"/>
      <c r="J14" s="98"/>
      <c r="K14" s="98"/>
      <c r="L14" s="98"/>
      <c r="M14" s="9"/>
      <c r="N14" s="9"/>
      <c r="O14" s="9"/>
      <c r="P14" s="89"/>
      <c r="Q14" s="16" t="str">
        <f t="shared" si="1"/>
        <v>Acabamento</v>
      </c>
      <c r="R14" s="15">
        <v>9</v>
      </c>
      <c r="S14" s="9"/>
      <c r="T14" s="9"/>
      <c r="U14" s="9"/>
      <c r="V14" s="9"/>
      <c r="W14" s="9"/>
      <c r="X14" s="10"/>
      <c r="Y14" s="10"/>
      <c r="Z14" s="10"/>
    </row>
    <row r="15" spans="1:26" customFormat="1" x14ac:dyDescent="0.25">
      <c r="A15" s="13"/>
      <c r="B15" s="13"/>
      <c r="C15" s="13"/>
      <c r="D15" s="25"/>
      <c r="E15" s="22"/>
      <c r="F15" s="22"/>
      <c r="G15" s="22"/>
      <c r="H15" s="22"/>
      <c r="I15" s="22"/>
      <c r="J15" s="22"/>
      <c r="K15" s="22"/>
      <c r="L15" s="26"/>
      <c r="M15" s="9"/>
      <c r="N15" s="9"/>
      <c r="O15" s="9"/>
      <c r="P15" s="89"/>
      <c r="Q15" s="16" t="str">
        <f t="shared" si="1"/>
        <v>Design</v>
      </c>
      <c r="R15" s="15">
        <v>7</v>
      </c>
      <c r="S15" s="9"/>
      <c r="T15" s="9"/>
      <c r="U15" s="9"/>
      <c r="V15" s="9"/>
      <c r="W15" s="9"/>
      <c r="X15" s="10"/>
      <c r="Y15" s="10"/>
      <c r="Z15" s="10"/>
    </row>
    <row r="16" spans="1:26" customFormat="1" x14ac:dyDescent="0.25">
      <c r="A16" s="13"/>
      <c r="B16" s="13"/>
      <c r="C16" s="13"/>
      <c r="D16" s="94" t="str">
        <f>B4</f>
        <v>Preço</v>
      </c>
      <c r="E16" s="94"/>
      <c r="F16" s="94"/>
      <c r="G16" s="95"/>
      <c r="H16" s="23"/>
      <c r="I16" s="96" t="str">
        <f>B9</f>
        <v>Garantia</v>
      </c>
      <c r="J16" s="94"/>
      <c r="K16" s="94"/>
      <c r="L16" s="94"/>
      <c r="M16" s="9"/>
      <c r="N16" s="9"/>
      <c r="O16" s="9"/>
      <c r="P16" s="89"/>
      <c r="Q16" s="16" t="str">
        <f t="shared" si="1"/>
        <v>Garantia</v>
      </c>
      <c r="R16" s="15">
        <v>5</v>
      </c>
      <c r="S16" s="9"/>
      <c r="T16" s="9"/>
      <c r="U16" s="9"/>
      <c r="V16" s="9"/>
      <c r="W16" s="9"/>
      <c r="X16" s="10"/>
      <c r="Y16" s="10"/>
      <c r="Z16" s="10"/>
    </row>
    <row r="17" spans="1:26" customFormat="1" ht="15.75" thickBot="1" x14ac:dyDescent="0.3">
      <c r="A17" s="13"/>
      <c r="B17" s="13"/>
      <c r="C17" s="13"/>
      <c r="D17" s="97">
        <v>3</v>
      </c>
      <c r="E17" s="98"/>
      <c r="F17" s="98"/>
      <c r="G17" s="99"/>
      <c r="H17" s="24"/>
      <c r="I17" s="100"/>
      <c r="J17" s="98"/>
      <c r="K17" s="98"/>
      <c r="L17" s="98"/>
      <c r="M17" s="9"/>
      <c r="N17" s="9"/>
      <c r="O17" s="9"/>
      <c r="P17" s="90"/>
      <c r="Q17" s="48" t="str">
        <f t="shared" si="1"/>
        <v>Peso</v>
      </c>
      <c r="R17" s="51">
        <v>1</v>
      </c>
      <c r="S17" s="9"/>
      <c r="T17" s="9"/>
      <c r="U17" s="9"/>
      <c r="V17" s="9"/>
      <c r="W17" s="9"/>
      <c r="X17" s="10"/>
      <c r="Y17" s="10"/>
      <c r="Z17" s="10"/>
    </row>
    <row r="18" spans="1:26" customFormat="1" x14ac:dyDescent="0.25">
      <c r="A18" s="13"/>
      <c r="B18" s="13"/>
      <c r="C18" s="13"/>
      <c r="D18" s="25"/>
      <c r="E18" s="22"/>
      <c r="F18" s="22"/>
      <c r="G18" s="22"/>
      <c r="H18" s="22"/>
      <c r="I18" s="22"/>
      <c r="J18" s="22"/>
      <c r="K18" s="22"/>
      <c r="L18" s="26"/>
      <c r="M18" s="9"/>
      <c r="N18" s="9"/>
      <c r="O18" s="9"/>
      <c r="P18" s="91" t="str">
        <f>N6</f>
        <v>black</v>
      </c>
      <c r="Q18" s="46" t="str">
        <f t="shared" ref="Q18:Q24" si="2">Q4</f>
        <v>Preço</v>
      </c>
      <c r="R18" s="52">
        <v>2</v>
      </c>
      <c r="S18" s="9"/>
      <c r="T18" s="9"/>
      <c r="U18" s="9"/>
      <c r="V18" s="9"/>
      <c r="W18" s="9"/>
      <c r="X18" s="10"/>
      <c r="Y18" s="10"/>
      <c r="Z18" s="10"/>
    </row>
    <row r="19" spans="1:26" customFormat="1" x14ac:dyDescent="0.25">
      <c r="A19" s="13"/>
      <c r="B19" s="13"/>
      <c r="C19" s="13"/>
      <c r="D19" s="94" t="str">
        <f>B4</f>
        <v>Preço</v>
      </c>
      <c r="E19" s="94"/>
      <c r="F19" s="94"/>
      <c r="G19" s="95"/>
      <c r="H19" s="23"/>
      <c r="I19" s="96" t="str">
        <f>B10</f>
        <v>Peso</v>
      </c>
      <c r="J19" s="94"/>
      <c r="K19" s="94"/>
      <c r="L19" s="94"/>
      <c r="M19" s="9"/>
      <c r="N19" s="9"/>
      <c r="O19" s="9"/>
      <c r="P19" s="92"/>
      <c r="Q19" s="44" t="str">
        <f t="shared" si="2"/>
        <v>Durabilidade</v>
      </c>
      <c r="R19" s="30">
        <v>3</v>
      </c>
      <c r="S19" s="9"/>
      <c r="T19" s="9"/>
      <c r="U19" s="9"/>
      <c r="V19" s="9"/>
      <c r="W19" s="9"/>
      <c r="X19" s="10"/>
      <c r="Y19" s="10"/>
      <c r="Z19" s="10"/>
    </row>
    <row r="20" spans="1:26" customFormat="1" x14ac:dyDescent="0.25">
      <c r="A20" s="13"/>
      <c r="B20" s="13"/>
      <c r="C20" s="13"/>
      <c r="D20" s="97">
        <v>7</v>
      </c>
      <c r="E20" s="98"/>
      <c r="F20" s="98"/>
      <c r="G20" s="99"/>
      <c r="H20" s="24"/>
      <c r="I20" s="100"/>
      <c r="J20" s="98"/>
      <c r="K20" s="98"/>
      <c r="L20" s="98"/>
      <c r="M20" s="9"/>
      <c r="N20" s="9"/>
      <c r="O20" s="9"/>
      <c r="P20" s="92"/>
      <c r="Q20" s="44" t="str">
        <f t="shared" si="2"/>
        <v>Cor</v>
      </c>
      <c r="R20" s="30">
        <v>8</v>
      </c>
      <c r="S20" s="9"/>
      <c r="T20" s="9"/>
      <c r="U20" s="9"/>
      <c r="V20" s="9"/>
      <c r="W20" s="9"/>
      <c r="X20" s="10"/>
      <c r="Y20" s="10"/>
      <c r="Z20" s="10"/>
    </row>
    <row r="21" spans="1:26" customFormat="1" x14ac:dyDescent="0.25">
      <c r="A21" s="13"/>
      <c r="B21" s="13"/>
      <c r="C21" s="13"/>
      <c r="D21" s="25"/>
      <c r="E21" s="22"/>
      <c r="F21" s="22"/>
      <c r="G21" s="22"/>
      <c r="H21" s="22"/>
      <c r="I21" s="22"/>
      <c r="J21" s="22"/>
      <c r="K21" s="22"/>
      <c r="L21" s="26"/>
      <c r="M21" s="9"/>
      <c r="N21" s="9"/>
      <c r="O21" s="9"/>
      <c r="P21" s="92"/>
      <c r="Q21" s="44" t="str">
        <f t="shared" si="2"/>
        <v>Acabamento</v>
      </c>
      <c r="R21" s="30">
        <v>9</v>
      </c>
      <c r="S21" s="9"/>
      <c r="T21" s="9"/>
      <c r="U21" s="9"/>
      <c r="V21" s="9"/>
      <c r="W21" s="9"/>
      <c r="X21" s="10"/>
      <c r="Y21" s="10"/>
      <c r="Z21" s="10"/>
    </row>
    <row r="22" spans="1:26" customFormat="1" x14ac:dyDescent="0.25">
      <c r="A22" s="13"/>
      <c r="B22" s="13"/>
      <c r="C22" s="13"/>
      <c r="D22" s="94" t="str">
        <f>B5</f>
        <v>Durabilidade</v>
      </c>
      <c r="E22" s="94"/>
      <c r="F22" s="94"/>
      <c r="G22" s="95"/>
      <c r="H22" s="23"/>
      <c r="I22" s="96" t="str">
        <f>B6</f>
        <v>Cor</v>
      </c>
      <c r="J22" s="94"/>
      <c r="K22" s="94"/>
      <c r="L22" s="94"/>
      <c r="M22" s="9"/>
      <c r="N22" s="9"/>
      <c r="O22" s="9"/>
      <c r="P22" s="92"/>
      <c r="Q22" s="44" t="str">
        <f t="shared" si="2"/>
        <v>Design</v>
      </c>
      <c r="R22" s="30">
        <v>7</v>
      </c>
      <c r="S22" s="9"/>
      <c r="T22" s="9"/>
      <c r="U22" s="9"/>
      <c r="V22" s="9"/>
      <c r="W22" s="9"/>
      <c r="X22" s="10"/>
      <c r="Y22" s="10"/>
      <c r="Z22" s="10"/>
    </row>
    <row r="23" spans="1:26" customFormat="1" x14ac:dyDescent="0.25">
      <c r="A23" s="13"/>
      <c r="B23" s="13"/>
      <c r="C23" s="13"/>
      <c r="D23" s="97">
        <v>3</v>
      </c>
      <c r="E23" s="98"/>
      <c r="F23" s="98"/>
      <c r="G23" s="99"/>
      <c r="H23" s="24"/>
      <c r="I23" s="97"/>
      <c r="J23" s="98"/>
      <c r="K23" s="98"/>
      <c r="L23" s="98"/>
      <c r="M23" s="9"/>
      <c r="N23" s="9"/>
      <c r="O23" s="9"/>
      <c r="P23" s="92"/>
      <c r="Q23" s="44" t="str">
        <f t="shared" si="2"/>
        <v>Garantia</v>
      </c>
      <c r="R23" s="30">
        <v>3</v>
      </c>
      <c r="S23" s="9"/>
      <c r="T23" s="9"/>
      <c r="U23" s="9"/>
      <c r="V23" s="9"/>
      <c r="W23" s="9"/>
      <c r="X23" s="10"/>
      <c r="Y23" s="10"/>
      <c r="Z23" s="10"/>
    </row>
    <row r="24" spans="1:26" customFormat="1" ht="15.75" thickBot="1" x14ac:dyDescent="0.3">
      <c r="A24" s="13"/>
      <c r="B24" s="13"/>
      <c r="C24" s="13"/>
      <c r="D24" s="25"/>
      <c r="E24" s="22"/>
      <c r="F24" s="22"/>
      <c r="G24" s="22"/>
      <c r="H24" s="22"/>
      <c r="I24" s="22"/>
      <c r="J24" s="22"/>
      <c r="K24" s="22"/>
      <c r="L24" s="26"/>
      <c r="M24" s="9"/>
      <c r="N24" s="9"/>
      <c r="O24" s="9"/>
      <c r="P24" s="93"/>
      <c r="Q24" s="45" t="str">
        <f t="shared" si="2"/>
        <v>Peso</v>
      </c>
      <c r="R24" s="49">
        <v>2</v>
      </c>
      <c r="S24" s="9"/>
      <c r="T24" s="9"/>
      <c r="U24" s="9"/>
      <c r="V24" s="9"/>
      <c r="W24" s="9"/>
      <c r="X24" s="10"/>
      <c r="Y24" s="10"/>
      <c r="Z24" s="10"/>
    </row>
    <row r="25" spans="1:26" customFormat="1" x14ac:dyDescent="0.25">
      <c r="A25" s="13"/>
      <c r="B25" s="13"/>
      <c r="C25" s="13"/>
      <c r="D25" s="94" t="str">
        <f>B5</f>
        <v>Durabilidade</v>
      </c>
      <c r="E25" s="94"/>
      <c r="F25" s="94"/>
      <c r="G25" s="95"/>
      <c r="H25" s="23"/>
      <c r="I25" s="96" t="str">
        <f>B7</f>
        <v>Acabamento</v>
      </c>
      <c r="J25" s="94"/>
      <c r="K25" s="94"/>
      <c r="L25" s="94"/>
      <c r="M25" s="9"/>
      <c r="N25" s="9"/>
      <c r="O25" s="9"/>
      <c r="P25" s="88" t="str">
        <f>N7</f>
        <v>singer</v>
      </c>
      <c r="Q25" s="47" t="str">
        <f t="shared" ref="Q25:Q31" si="3">Q4</f>
        <v>Preço</v>
      </c>
      <c r="R25" s="50">
        <v>4</v>
      </c>
      <c r="S25" s="9"/>
      <c r="T25" s="9"/>
      <c r="U25" s="9"/>
      <c r="V25" s="9"/>
      <c r="W25" s="9"/>
      <c r="X25" s="10"/>
      <c r="Y25" s="10"/>
      <c r="Z25" s="10"/>
    </row>
    <row r="26" spans="1:26" customFormat="1" x14ac:dyDescent="0.25">
      <c r="A26" s="13"/>
      <c r="B26" s="13"/>
      <c r="C26" s="13"/>
      <c r="D26" s="97">
        <v>1</v>
      </c>
      <c r="E26" s="98"/>
      <c r="F26" s="98"/>
      <c r="G26" s="99"/>
      <c r="H26" s="24"/>
      <c r="I26" s="97"/>
      <c r="J26" s="98"/>
      <c r="K26" s="98"/>
      <c r="L26" s="98"/>
      <c r="M26" s="9"/>
      <c r="N26" s="9"/>
      <c r="O26" s="9"/>
      <c r="P26" s="89"/>
      <c r="Q26" s="16" t="str">
        <f t="shared" si="3"/>
        <v>Durabilidade</v>
      </c>
      <c r="R26" s="15">
        <v>3</v>
      </c>
      <c r="S26" s="9"/>
      <c r="T26" s="9"/>
      <c r="U26" s="9"/>
      <c r="V26" s="9"/>
      <c r="W26" s="9"/>
      <c r="X26" s="10"/>
      <c r="Y26" s="10"/>
      <c r="Z26" s="10"/>
    </row>
    <row r="27" spans="1:26" customFormat="1" x14ac:dyDescent="0.25">
      <c r="A27" s="13"/>
      <c r="B27" s="13"/>
      <c r="C27" s="13"/>
      <c r="D27" s="25"/>
      <c r="E27" s="22"/>
      <c r="F27" s="22"/>
      <c r="G27" s="22"/>
      <c r="H27" s="22"/>
      <c r="I27" s="22"/>
      <c r="J27" s="22"/>
      <c r="K27" s="22"/>
      <c r="L27" s="26"/>
      <c r="M27" s="9"/>
      <c r="N27" s="9"/>
      <c r="O27" s="9"/>
      <c r="P27" s="89"/>
      <c r="Q27" s="16" t="str">
        <f t="shared" si="3"/>
        <v>Cor</v>
      </c>
      <c r="R27" s="15">
        <v>2</v>
      </c>
      <c r="S27" s="9"/>
      <c r="T27" s="9"/>
      <c r="U27" s="9"/>
      <c r="V27" s="9"/>
      <c r="W27" s="9"/>
      <c r="X27" s="10"/>
      <c r="Y27" s="10"/>
      <c r="Z27" s="10"/>
    </row>
    <row r="28" spans="1:26" customFormat="1" x14ac:dyDescent="0.25">
      <c r="A28" s="13"/>
      <c r="B28" s="13"/>
      <c r="C28" s="13"/>
      <c r="D28" s="94" t="str">
        <f>B5</f>
        <v>Durabilidade</v>
      </c>
      <c r="E28" s="94"/>
      <c r="F28" s="94"/>
      <c r="G28" s="95"/>
      <c r="H28" s="23"/>
      <c r="I28" s="96" t="str">
        <f>B8</f>
        <v>Design</v>
      </c>
      <c r="J28" s="94"/>
      <c r="K28" s="94"/>
      <c r="L28" s="94"/>
      <c r="M28" s="9"/>
      <c r="N28" s="9"/>
      <c r="O28" s="9"/>
      <c r="P28" s="89"/>
      <c r="Q28" s="16" t="str">
        <f t="shared" si="3"/>
        <v>Acabamento</v>
      </c>
      <c r="R28" s="15">
        <v>3</v>
      </c>
      <c r="S28" s="9"/>
      <c r="T28" s="9"/>
      <c r="U28" s="9"/>
      <c r="V28" s="9"/>
      <c r="W28" s="9"/>
      <c r="X28" s="10"/>
      <c r="Y28" s="10"/>
      <c r="Z28" s="10"/>
    </row>
    <row r="29" spans="1:26" customFormat="1" x14ac:dyDescent="0.25">
      <c r="A29" s="13"/>
      <c r="B29" s="13"/>
      <c r="C29" s="13"/>
      <c r="D29" s="97"/>
      <c r="E29" s="98"/>
      <c r="F29" s="98"/>
      <c r="G29" s="99"/>
      <c r="H29" s="24"/>
      <c r="I29" s="97">
        <v>2</v>
      </c>
      <c r="J29" s="98"/>
      <c r="K29" s="98"/>
      <c r="L29" s="98"/>
      <c r="M29" s="9"/>
      <c r="N29" s="9"/>
      <c r="O29" s="9"/>
      <c r="P29" s="89"/>
      <c r="Q29" s="16" t="str">
        <f t="shared" si="3"/>
        <v>Design</v>
      </c>
      <c r="R29" s="15">
        <v>7</v>
      </c>
      <c r="S29" s="9"/>
      <c r="T29" s="9"/>
      <c r="U29" s="9"/>
      <c r="V29" s="9"/>
      <c r="W29" s="9"/>
      <c r="X29" s="10"/>
      <c r="Y29" s="10"/>
      <c r="Z29" s="10"/>
    </row>
    <row r="30" spans="1:26" customFormat="1" x14ac:dyDescent="0.25">
      <c r="A30" s="13"/>
      <c r="B30" s="13"/>
      <c r="C30" s="13"/>
      <c r="D30" s="25"/>
      <c r="E30" s="22"/>
      <c r="F30" s="22"/>
      <c r="G30" s="22"/>
      <c r="H30" s="22"/>
      <c r="I30" s="22"/>
      <c r="J30" s="22"/>
      <c r="K30" s="22"/>
      <c r="L30" s="26"/>
      <c r="M30" s="9"/>
      <c r="N30" s="9"/>
      <c r="O30" s="9"/>
      <c r="P30" s="89"/>
      <c r="Q30" s="16" t="str">
        <f t="shared" si="3"/>
        <v>Garantia</v>
      </c>
      <c r="R30" s="15">
        <v>8</v>
      </c>
      <c r="S30" s="9"/>
      <c r="T30" s="9"/>
      <c r="U30" s="9"/>
      <c r="V30" s="9"/>
      <c r="W30" s="9"/>
      <c r="X30" s="10"/>
      <c r="Y30" s="10"/>
      <c r="Z30" s="10"/>
    </row>
    <row r="31" spans="1:26" customFormat="1" ht="15.75" thickBot="1" x14ac:dyDescent="0.3">
      <c r="A31" s="13"/>
      <c r="B31" s="13"/>
      <c r="C31" s="13"/>
      <c r="D31" s="94" t="str">
        <f>B5</f>
        <v>Durabilidade</v>
      </c>
      <c r="E31" s="94"/>
      <c r="F31" s="94"/>
      <c r="G31" s="95"/>
      <c r="H31" s="23"/>
      <c r="I31" s="96" t="str">
        <f>B9</f>
        <v>Garantia</v>
      </c>
      <c r="J31" s="94"/>
      <c r="K31" s="94"/>
      <c r="L31" s="94"/>
      <c r="M31" s="9"/>
      <c r="N31" s="9"/>
      <c r="O31" s="9"/>
      <c r="P31" s="90"/>
      <c r="Q31" s="48" t="str">
        <f t="shared" si="3"/>
        <v>Peso</v>
      </c>
      <c r="R31" s="51">
        <v>6</v>
      </c>
      <c r="S31" s="9"/>
      <c r="T31" s="9"/>
      <c r="U31" s="9"/>
      <c r="V31" s="9"/>
      <c r="W31" s="9"/>
      <c r="X31" s="10"/>
      <c r="Y31" s="10"/>
      <c r="Z31" s="10"/>
    </row>
    <row r="32" spans="1:26" customFormat="1" x14ac:dyDescent="0.25">
      <c r="A32" s="13"/>
      <c r="B32" s="13"/>
      <c r="C32" s="13"/>
      <c r="D32" s="97"/>
      <c r="E32" s="98"/>
      <c r="F32" s="98"/>
      <c r="G32" s="99"/>
      <c r="H32" s="24"/>
      <c r="I32" s="100">
        <v>2</v>
      </c>
      <c r="J32" s="98"/>
      <c r="K32" s="98"/>
      <c r="L32" s="98"/>
      <c r="M32" s="9"/>
      <c r="N32" s="9"/>
      <c r="O32" s="9"/>
      <c r="P32" s="91" t="str">
        <f>N8</f>
        <v>Mondial</v>
      </c>
      <c r="Q32" s="46" t="str">
        <f t="shared" ref="Q32:Q38" si="4">Q4</f>
        <v>Preço</v>
      </c>
      <c r="R32" s="52">
        <v>1</v>
      </c>
      <c r="S32" s="9"/>
      <c r="T32" s="9"/>
      <c r="U32" s="9"/>
      <c r="V32" s="9"/>
      <c r="W32" s="9"/>
      <c r="X32" s="10"/>
      <c r="Y32" s="10"/>
      <c r="Z32" s="10"/>
    </row>
    <row r="33" spans="1:26" customFormat="1" x14ac:dyDescent="0.25">
      <c r="A33" s="13"/>
      <c r="B33" s="13"/>
      <c r="C33" s="13"/>
      <c r="D33" s="25"/>
      <c r="E33" s="22"/>
      <c r="F33" s="22"/>
      <c r="G33" s="22"/>
      <c r="H33" s="22"/>
      <c r="I33" s="22"/>
      <c r="J33" s="22"/>
      <c r="K33" s="22"/>
      <c r="L33" s="26"/>
      <c r="M33" s="9"/>
      <c r="N33" s="9"/>
      <c r="O33" s="9"/>
      <c r="P33" s="92"/>
      <c r="Q33" s="44" t="str">
        <f t="shared" si="4"/>
        <v>Durabilidade</v>
      </c>
      <c r="R33" s="30">
        <v>2</v>
      </c>
      <c r="S33" s="9"/>
      <c r="T33" s="9"/>
      <c r="U33" s="9"/>
      <c r="V33" s="9"/>
      <c r="W33" s="9"/>
      <c r="X33" s="10"/>
      <c r="Y33" s="10"/>
      <c r="Z33" s="10"/>
    </row>
    <row r="34" spans="1:26" x14ac:dyDescent="0.25">
      <c r="A34" s="13"/>
      <c r="B34" s="13"/>
      <c r="C34" s="13"/>
      <c r="D34" s="94" t="str">
        <f>B5</f>
        <v>Durabilidade</v>
      </c>
      <c r="E34" s="94"/>
      <c r="F34" s="94"/>
      <c r="G34" s="95"/>
      <c r="H34" s="23"/>
      <c r="I34" s="96" t="str">
        <f>B10</f>
        <v>Peso</v>
      </c>
      <c r="J34" s="94"/>
      <c r="K34" s="94"/>
      <c r="L34" s="94"/>
      <c r="P34" s="92"/>
      <c r="Q34" s="44" t="str">
        <f t="shared" si="4"/>
        <v>Cor</v>
      </c>
      <c r="R34" s="30">
        <v>4</v>
      </c>
    </row>
    <row r="35" spans="1:26" x14ac:dyDescent="0.25">
      <c r="A35" s="13"/>
      <c r="B35" s="13"/>
      <c r="C35" s="13"/>
      <c r="D35" s="97">
        <v>5</v>
      </c>
      <c r="E35" s="98"/>
      <c r="F35" s="98"/>
      <c r="G35" s="99"/>
      <c r="H35" s="24"/>
      <c r="I35" s="100"/>
      <c r="J35" s="98"/>
      <c r="K35" s="98"/>
      <c r="L35" s="98"/>
      <c r="P35" s="92"/>
      <c r="Q35" s="44" t="str">
        <f t="shared" si="4"/>
        <v>Acabamento</v>
      </c>
      <c r="R35" s="30">
        <v>1</v>
      </c>
    </row>
    <row r="36" spans="1:26" x14ac:dyDescent="0.25">
      <c r="A36" s="13"/>
      <c r="B36" s="13"/>
      <c r="C36" s="13"/>
      <c r="D36" s="25"/>
      <c r="E36" s="22"/>
      <c r="F36" s="22"/>
      <c r="G36" s="22"/>
      <c r="H36" s="22"/>
      <c r="I36" s="22"/>
      <c r="J36" s="22"/>
      <c r="K36" s="22"/>
      <c r="L36" s="26"/>
      <c r="P36" s="92"/>
      <c r="Q36" s="44" t="str">
        <f t="shared" si="4"/>
        <v>Design</v>
      </c>
      <c r="R36" s="30">
        <v>7</v>
      </c>
    </row>
    <row r="37" spans="1:26" x14ac:dyDescent="0.25">
      <c r="A37" s="13"/>
      <c r="B37" s="13"/>
      <c r="C37" s="13"/>
      <c r="D37" s="94" t="str">
        <f>B6</f>
        <v>Cor</v>
      </c>
      <c r="E37" s="94"/>
      <c r="F37" s="94"/>
      <c r="G37" s="95"/>
      <c r="H37" s="23"/>
      <c r="I37" s="96" t="str">
        <f>B7</f>
        <v>Acabamento</v>
      </c>
      <c r="J37" s="94"/>
      <c r="K37" s="94"/>
      <c r="L37" s="94"/>
      <c r="P37" s="92"/>
      <c r="Q37" s="44" t="str">
        <f t="shared" si="4"/>
        <v>Garantia</v>
      </c>
      <c r="R37" s="30">
        <v>9</v>
      </c>
    </row>
    <row r="38" spans="1:26" ht="15.75" thickBot="1" x14ac:dyDescent="0.3">
      <c r="A38" s="13"/>
      <c r="B38" s="13"/>
      <c r="C38" s="13"/>
      <c r="D38" s="97"/>
      <c r="E38" s="98"/>
      <c r="F38" s="98"/>
      <c r="G38" s="99"/>
      <c r="H38" s="24"/>
      <c r="I38" s="100">
        <v>2</v>
      </c>
      <c r="J38" s="98"/>
      <c r="K38" s="98"/>
      <c r="L38" s="98"/>
      <c r="P38" s="93"/>
      <c r="Q38" s="45" t="str">
        <f t="shared" si="4"/>
        <v>Peso</v>
      </c>
      <c r="R38" s="49">
        <v>4</v>
      </c>
    </row>
    <row r="39" spans="1:26" x14ac:dyDescent="0.25">
      <c r="A39" s="13"/>
      <c r="B39" s="13"/>
      <c r="C39" s="13"/>
      <c r="D39" s="25"/>
      <c r="E39" s="22"/>
      <c r="F39" s="22"/>
      <c r="G39" s="22"/>
      <c r="H39" s="22"/>
      <c r="I39" s="22"/>
      <c r="J39" s="22"/>
      <c r="K39" s="22"/>
      <c r="L39" s="26"/>
    </row>
    <row r="40" spans="1:26" x14ac:dyDescent="0.25">
      <c r="A40" s="13"/>
      <c r="B40" s="13"/>
      <c r="C40" s="13"/>
      <c r="D40" s="94" t="str">
        <f>B6</f>
        <v>Cor</v>
      </c>
      <c r="E40" s="94"/>
      <c r="F40" s="94"/>
      <c r="G40" s="95"/>
      <c r="H40" s="23"/>
      <c r="I40" s="96" t="str">
        <f>B8</f>
        <v>Design</v>
      </c>
      <c r="J40" s="94"/>
      <c r="K40" s="94"/>
      <c r="L40" s="94"/>
    </row>
    <row r="41" spans="1:26" x14ac:dyDescent="0.25">
      <c r="A41" s="13"/>
      <c r="B41" s="13"/>
      <c r="C41" s="13"/>
      <c r="D41" s="97"/>
      <c r="E41" s="98"/>
      <c r="F41" s="98"/>
      <c r="G41" s="99"/>
      <c r="H41" s="24"/>
      <c r="I41" s="100">
        <v>1</v>
      </c>
      <c r="J41" s="98"/>
      <c r="K41" s="98"/>
      <c r="L41" s="98"/>
    </row>
    <row r="42" spans="1:26" x14ac:dyDescent="0.25">
      <c r="A42" s="13"/>
      <c r="B42" s="13"/>
      <c r="C42" s="13"/>
      <c r="D42" s="25"/>
      <c r="E42" s="22"/>
      <c r="F42" s="22"/>
      <c r="G42" s="22"/>
      <c r="H42" s="22"/>
      <c r="I42" s="22"/>
      <c r="J42" s="22"/>
      <c r="K42" s="22"/>
      <c r="L42" s="26"/>
    </row>
    <row r="43" spans="1:26" x14ac:dyDescent="0.25">
      <c r="A43" s="13"/>
      <c r="B43" s="13"/>
      <c r="C43" s="13"/>
      <c r="D43" s="94" t="str">
        <f>B6</f>
        <v>Cor</v>
      </c>
      <c r="E43" s="94"/>
      <c r="F43" s="94"/>
      <c r="G43" s="95"/>
      <c r="H43" s="23"/>
      <c r="I43" s="96" t="str">
        <f>B9</f>
        <v>Garantia</v>
      </c>
      <c r="J43" s="94"/>
      <c r="K43" s="94"/>
      <c r="L43" s="94"/>
    </row>
    <row r="44" spans="1:26" x14ac:dyDescent="0.25">
      <c r="A44" s="13"/>
      <c r="B44" s="13"/>
      <c r="C44" s="13"/>
      <c r="D44" s="97"/>
      <c r="E44" s="98"/>
      <c r="F44" s="98"/>
      <c r="G44" s="99"/>
      <c r="H44" s="24"/>
      <c r="I44" s="100">
        <v>2</v>
      </c>
      <c r="J44" s="98"/>
      <c r="K44" s="98"/>
      <c r="L44" s="98"/>
    </row>
    <row r="45" spans="1:26" x14ac:dyDescent="0.25">
      <c r="A45" s="13"/>
      <c r="B45" s="13"/>
      <c r="C45" s="13"/>
      <c r="D45" s="25"/>
      <c r="E45" s="22"/>
      <c r="F45" s="22"/>
      <c r="G45" s="22"/>
      <c r="H45" s="22"/>
      <c r="I45" s="22"/>
      <c r="J45" s="22"/>
      <c r="K45" s="22"/>
      <c r="L45" s="26"/>
    </row>
    <row r="46" spans="1:26" x14ac:dyDescent="0.25">
      <c r="A46" s="13"/>
      <c r="B46" s="13"/>
      <c r="C46" s="13"/>
      <c r="D46" s="94" t="str">
        <f>B6</f>
        <v>Cor</v>
      </c>
      <c r="E46" s="94"/>
      <c r="F46" s="94"/>
      <c r="G46" s="95"/>
      <c r="H46" s="23"/>
      <c r="I46" s="96" t="str">
        <f>B10</f>
        <v>Peso</v>
      </c>
      <c r="J46" s="94"/>
      <c r="K46" s="94"/>
      <c r="L46" s="94"/>
    </row>
    <row r="47" spans="1:26" x14ac:dyDescent="0.25">
      <c r="A47" s="13"/>
      <c r="B47" s="13"/>
      <c r="C47" s="13"/>
      <c r="D47" s="97">
        <v>2</v>
      </c>
      <c r="E47" s="98"/>
      <c r="F47" s="98"/>
      <c r="G47" s="99"/>
      <c r="H47" s="24"/>
      <c r="I47" s="100"/>
      <c r="J47" s="98"/>
      <c r="K47" s="98"/>
      <c r="L47" s="98"/>
    </row>
    <row r="48" spans="1:26" x14ac:dyDescent="0.25">
      <c r="A48" s="13"/>
      <c r="B48" s="13"/>
      <c r="C48" s="13"/>
      <c r="D48" s="25"/>
      <c r="E48" s="22"/>
      <c r="F48" s="22"/>
      <c r="G48" s="22"/>
      <c r="H48" s="22"/>
      <c r="I48" s="22"/>
      <c r="J48" s="22"/>
      <c r="K48" s="22"/>
      <c r="L48" s="26"/>
    </row>
    <row r="49" spans="1:25" x14ac:dyDescent="0.25">
      <c r="A49" s="13"/>
      <c r="B49" s="13"/>
      <c r="C49" s="13"/>
      <c r="D49" s="94" t="str">
        <f>B7</f>
        <v>Acabamento</v>
      </c>
      <c r="E49" s="94"/>
      <c r="F49" s="94"/>
      <c r="G49" s="95"/>
      <c r="H49" s="23"/>
      <c r="I49" s="96" t="str">
        <f>B8</f>
        <v>Design</v>
      </c>
      <c r="J49" s="94"/>
      <c r="K49" s="94"/>
      <c r="L49" s="94"/>
    </row>
    <row r="50" spans="1:25" x14ac:dyDescent="0.25">
      <c r="A50" s="13"/>
      <c r="B50" s="13"/>
      <c r="C50" s="13"/>
      <c r="D50" s="97"/>
      <c r="E50" s="98"/>
      <c r="F50" s="98"/>
      <c r="G50" s="99"/>
      <c r="H50" s="24"/>
      <c r="I50" s="100">
        <v>4</v>
      </c>
      <c r="J50" s="98"/>
      <c r="K50" s="98"/>
      <c r="L50" s="98"/>
    </row>
    <row r="51" spans="1:25" x14ac:dyDescent="0.25">
      <c r="A51" s="13"/>
      <c r="B51" s="13"/>
      <c r="C51" s="13"/>
      <c r="D51" s="25"/>
      <c r="E51" s="22"/>
      <c r="F51" s="22"/>
      <c r="G51" s="22"/>
      <c r="H51" s="22"/>
      <c r="I51" s="22"/>
      <c r="J51" s="22"/>
      <c r="K51" s="22"/>
      <c r="L51" s="26"/>
    </row>
    <row r="52" spans="1:25" x14ac:dyDescent="0.25">
      <c r="A52" s="13"/>
      <c r="B52" s="13"/>
      <c r="C52" s="13"/>
      <c r="D52" s="94" t="str">
        <f>B7</f>
        <v>Acabamento</v>
      </c>
      <c r="E52" s="94"/>
      <c r="F52" s="94"/>
      <c r="G52" s="95"/>
      <c r="H52" s="23"/>
      <c r="I52" s="96" t="str">
        <f>B9</f>
        <v>Garantia</v>
      </c>
      <c r="J52" s="94"/>
      <c r="K52" s="94"/>
      <c r="L52" s="94"/>
    </row>
    <row r="53" spans="1:25" x14ac:dyDescent="0.25">
      <c r="A53" s="13"/>
      <c r="B53" s="13"/>
      <c r="C53" s="13"/>
      <c r="D53" s="97"/>
      <c r="E53" s="98"/>
      <c r="F53" s="98"/>
      <c r="G53" s="99"/>
      <c r="H53" s="24"/>
      <c r="I53" s="100">
        <v>1</v>
      </c>
      <c r="J53" s="98"/>
      <c r="K53" s="98"/>
      <c r="L53" s="98"/>
    </row>
    <row r="54" spans="1:25" x14ac:dyDescent="0.25">
      <c r="A54" s="13"/>
      <c r="B54" s="13"/>
      <c r="C54" s="13"/>
      <c r="D54" s="25"/>
      <c r="E54" s="22"/>
      <c r="F54" s="22"/>
      <c r="G54" s="22"/>
      <c r="H54" s="22"/>
      <c r="I54" s="22"/>
      <c r="J54" s="22"/>
      <c r="K54" s="22"/>
      <c r="L54" s="26"/>
    </row>
    <row r="55" spans="1:25" x14ac:dyDescent="0.25">
      <c r="A55" s="13"/>
      <c r="B55" s="13"/>
      <c r="C55" s="13"/>
      <c r="D55" s="94" t="str">
        <f>B7</f>
        <v>Acabamento</v>
      </c>
      <c r="E55" s="94"/>
      <c r="F55" s="94"/>
      <c r="G55" s="95"/>
      <c r="H55" s="23"/>
      <c r="I55" s="96" t="str">
        <f>B10</f>
        <v>Peso</v>
      </c>
      <c r="J55" s="94"/>
      <c r="K55" s="94"/>
      <c r="L55" s="94"/>
    </row>
    <row r="56" spans="1:25" x14ac:dyDescent="0.25">
      <c r="A56" s="13"/>
      <c r="B56" s="13"/>
      <c r="C56" s="13"/>
      <c r="D56" s="97">
        <v>3</v>
      </c>
      <c r="E56" s="98"/>
      <c r="F56" s="98"/>
      <c r="G56" s="99"/>
      <c r="H56" s="24"/>
      <c r="I56" s="100"/>
      <c r="J56" s="98"/>
      <c r="K56" s="98"/>
      <c r="L56" s="98"/>
    </row>
    <row r="57" spans="1:25" x14ac:dyDescent="0.25">
      <c r="A57" s="13"/>
      <c r="B57" s="13"/>
      <c r="C57" s="13"/>
      <c r="D57" s="25"/>
      <c r="E57" s="22"/>
      <c r="F57" s="22"/>
      <c r="G57" s="22"/>
      <c r="H57" s="22"/>
      <c r="I57" s="22"/>
      <c r="J57" s="22"/>
      <c r="K57" s="22"/>
      <c r="L57" s="26"/>
    </row>
    <row r="58" spans="1:25" x14ac:dyDescent="0.25">
      <c r="A58" s="13"/>
      <c r="B58" s="13"/>
      <c r="C58" s="13"/>
      <c r="D58" s="94" t="str">
        <f>B8</f>
        <v>Design</v>
      </c>
      <c r="E58" s="94"/>
      <c r="F58" s="94"/>
      <c r="G58" s="95"/>
      <c r="H58" s="23"/>
      <c r="I58" s="96" t="str">
        <f>B9</f>
        <v>Garantia</v>
      </c>
      <c r="J58" s="94"/>
      <c r="K58" s="94"/>
      <c r="L58" s="94"/>
    </row>
    <row r="59" spans="1:25" x14ac:dyDescent="0.25">
      <c r="A59" s="13"/>
      <c r="B59" s="13"/>
      <c r="C59" s="13"/>
      <c r="D59" s="97">
        <v>2</v>
      </c>
      <c r="E59" s="98"/>
      <c r="F59" s="98"/>
      <c r="G59" s="99"/>
      <c r="H59" s="24"/>
      <c r="I59" s="100"/>
      <c r="J59" s="98"/>
      <c r="K59" s="98"/>
      <c r="L59" s="98"/>
    </row>
    <row r="60" spans="1:25" ht="28.5" x14ac:dyDescent="0.45">
      <c r="A60" s="13"/>
      <c r="B60" s="13"/>
      <c r="C60" s="13"/>
      <c r="D60" s="25"/>
      <c r="E60" s="22"/>
      <c r="F60" s="22"/>
      <c r="G60" s="22"/>
      <c r="H60" s="22"/>
      <c r="I60" s="22"/>
      <c r="J60" s="22"/>
      <c r="K60" s="22"/>
      <c r="L60" s="26"/>
      <c r="P60" s="85" t="s">
        <v>61</v>
      </c>
      <c r="Q60" s="86"/>
      <c r="R60" s="86"/>
      <c r="S60" s="86"/>
      <c r="T60" s="86"/>
      <c r="U60" s="86"/>
      <c r="V60" s="86"/>
      <c r="W60" s="86"/>
      <c r="X60" s="86"/>
      <c r="Y60" s="87"/>
    </row>
    <row r="61" spans="1:25" x14ac:dyDescent="0.25">
      <c r="A61" s="13"/>
      <c r="B61" s="13"/>
      <c r="C61" s="13"/>
      <c r="D61" s="94" t="str">
        <f>B8</f>
        <v>Design</v>
      </c>
      <c r="E61" s="94"/>
      <c r="F61" s="94"/>
      <c r="G61" s="95"/>
      <c r="H61" s="23"/>
      <c r="I61" s="96" t="str">
        <f>B10</f>
        <v>Peso</v>
      </c>
      <c r="J61" s="94"/>
      <c r="K61" s="94"/>
      <c r="L61" s="94"/>
    </row>
    <row r="62" spans="1:25" x14ac:dyDescent="0.25">
      <c r="A62" s="13"/>
      <c r="B62" s="13"/>
      <c r="C62" s="13"/>
      <c r="D62" s="97">
        <v>1</v>
      </c>
      <c r="E62" s="98"/>
      <c r="F62" s="98"/>
      <c r="G62" s="99"/>
      <c r="H62" s="24"/>
      <c r="I62" s="100"/>
      <c r="J62" s="98"/>
      <c r="K62" s="98"/>
      <c r="L62" s="98"/>
    </row>
    <row r="63" spans="1:25" x14ac:dyDescent="0.25">
      <c r="A63" s="13"/>
      <c r="B63" s="13"/>
      <c r="C63" s="13"/>
      <c r="D63" s="25"/>
      <c r="E63" s="22"/>
      <c r="F63" s="22"/>
      <c r="G63" s="22"/>
      <c r="H63" s="22"/>
      <c r="I63" s="22"/>
      <c r="J63" s="22"/>
      <c r="K63" s="22"/>
      <c r="L63" s="26"/>
    </row>
    <row r="64" spans="1:25" x14ac:dyDescent="0.25">
      <c r="A64" s="13"/>
      <c r="B64" s="13"/>
      <c r="C64" s="13"/>
      <c r="D64" s="94" t="str">
        <f>B9</f>
        <v>Garantia</v>
      </c>
      <c r="E64" s="94"/>
      <c r="F64" s="94"/>
      <c r="G64" s="95"/>
      <c r="H64" s="23"/>
      <c r="I64" s="96" t="str">
        <f>B10</f>
        <v>Peso</v>
      </c>
      <c r="J64" s="94"/>
      <c r="K64" s="94"/>
      <c r="L64" s="94"/>
    </row>
    <row r="65" spans="1:12" x14ac:dyDescent="0.25">
      <c r="A65" s="13"/>
      <c r="B65" s="13"/>
      <c r="C65" s="13"/>
      <c r="D65" s="97">
        <v>3</v>
      </c>
      <c r="E65" s="98"/>
      <c r="F65" s="98"/>
      <c r="G65" s="99"/>
      <c r="H65" s="27"/>
      <c r="I65" s="100"/>
      <c r="J65" s="98"/>
      <c r="K65" s="98"/>
      <c r="L65" s="98"/>
    </row>
    <row r="66" spans="1:12" x14ac:dyDescent="0.25">
      <c r="A66" s="13"/>
      <c r="B66" s="13"/>
      <c r="C66" s="13"/>
    </row>
    <row r="67" spans="1:12" x14ac:dyDescent="0.25">
      <c r="A67" s="13"/>
      <c r="B67" s="13"/>
      <c r="C67" s="13"/>
    </row>
    <row r="68" spans="1:12" ht="26.25" x14ac:dyDescent="0.4">
      <c r="A68" s="13"/>
      <c r="B68" s="82" t="s">
        <v>60</v>
      </c>
      <c r="C68" s="83"/>
      <c r="D68" s="83"/>
      <c r="E68" s="84"/>
      <c r="F68" s="84"/>
      <c r="G68" s="84"/>
    </row>
    <row r="69" spans="1:12" x14ac:dyDescent="0.25">
      <c r="A69" s="13"/>
      <c r="B69" s="39"/>
      <c r="D69" s="10"/>
    </row>
    <row r="70" spans="1:12" x14ac:dyDescent="0.25">
      <c r="A70" s="13"/>
      <c r="B70" s="39"/>
      <c r="D70" s="10"/>
    </row>
    <row r="71" spans="1:12" x14ac:dyDescent="0.25">
      <c r="A71" s="13"/>
      <c r="B71" s="39"/>
      <c r="D71" s="10"/>
    </row>
    <row r="72" spans="1:12" x14ac:dyDescent="0.25">
      <c r="A72" s="13"/>
      <c r="B72" s="39"/>
      <c r="D72" s="10"/>
    </row>
    <row r="73" spans="1:12" x14ac:dyDescent="0.25">
      <c r="A73" s="13"/>
      <c r="B73" s="39"/>
      <c r="D73" s="10"/>
    </row>
    <row r="74" spans="1:12" x14ac:dyDescent="0.25">
      <c r="A74" s="13"/>
      <c r="B74" s="39"/>
      <c r="D74" s="10"/>
    </row>
    <row r="75" spans="1:12" x14ac:dyDescent="0.25">
      <c r="A75" s="13"/>
      <c r="B75" s="39"/>
      <c r="D75" s="10"/>
    </row>
    <row r="76" spans="1:12" x14ac:dyDescent="0.25">
      <c r="A76" s="13"/>
      <c r="B76" s="39"/>
      <c r="D76" s="10"/>
    </row>
    <row r="77" spans="1:12" x14ac:dyDescent="0.25">
      <c r="A77" s="13"/>
      <c r="B77" s="39"/>
      <c r="D77" s="10"/>
    </row>
    <row r="78" spans="1:12" x14ac:dyDescent="0.25">
      <c r="A78" s="13"/>
      <c r="B78" s="39"/>
      <c r="D78" s="10"/>
    </row>
    <row r="79" spans="1:12" x14ac:dyDescent="0.25">
      <c r="A79" s="13"/>
      <c r="B79" s="39"/>
      <c r="D79" s="10"/>
    </row>
    <row r="80" spans="1:12" x14ac:dyDescent="0.25">
      <c r="A80" s="13"/>
      <c r="B80" s="39"/>
      <c r="D80" s="10"/>
    </row>
    <row r="81" spans="1:23" x14ac:dyDescent="0.25">
      <c r="A81" s="13"/>
      <c r="B81" s="39"/>
      <c r="D81" s="10"/>
    </row>
    <row r="82" spans="1:23" x14ac:dyDescent="0.25">
      <c r="A82" s="13"/>
      <c r="B82" s="39"/>
      <c r="D82" s="10"/>
    </row>
    <row r="83" spans="1:23" x14ac:dyDescent="0.25">
      <c r="A83" s="13"/>
      <c r="B83" s="39"/>
      <c r="D83" s="10"/>
    </row>
    <row r="84" spans="1:23" x14ac:dyDescent="0.25">
      <c r="A84" s="13"/>
      <c r="B84" s="39"/>
      <c r="D84" s="10"/>
    </row>
    <row r="85" spans="1:23" x14ac:dyDescent="0.25">
      <c r="A85" s="13"/>
      <c r="B85" s="13"/>
      <c r="C85" s="13"/>
    </row>
    <row r="86" spans="1:23" x14ac:dyDescent="0.25">
      <c r="A86" s="13"/>
      <c r="B86" s="13"/>
      <c r="C86" s="13"/>
    </row>
    <row r="87" spans="1:23" x14ac:dyDescent="0.25">
      <c r="A87" s="13"/>
      <c r="B87" s="13"/>
      <c r="C87" s="13"/>
    </row>
    <row r="88" spans="1:23" x14ac:dyDescent="0.25">
      <c r="A88" s="13"/>
      <c r="B88" s="13"/>
      <c r="C88" s="13"/>
    </row>
    <row r="89" spans="1:23" x14ac:dyDescent="0.25">
      <c r="A89" s="13"/>
      <c r="B89" s="13"/>
      <c r="C89" s="13"/>
    </row>
    <row r="90" spans="1:23" ht="23.25" x14ac:dyDescent="0.35">
      <c r="A90" s="13"/>
      <c r="B90" s="80" t="s">
        <v>62</v>
      </c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</row>
    <row r="91" spans="1:2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79"/>
      <c r="Q91" s="13"/>
      <c r="R91" s="78"/>
      <c r="S91" s="13"/>
      <c r="T91" s="13"/>
      <c r="U91" s="13"/>
      <c r="V91" s="13"/>
      <c r="W91" s="13"/>
    </row>
    <row r="92" spans="1:2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79"/>
      <c r="Q92" s="13"/>
      <c r="R92" s="78"/>
      <c r="S92" s="13"/>
      <c r="T92" s="13"/>
      <c r="U92" s="13"/>
      <c r="V92" s="13"/>
      <c r="W92" s="13"/>
    </row>
    <row r="93" spans="1:2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79"/>
      <c r="Q93" s="13"/>
      <c r="R93" s="78"/>
      <c r="S93" s="13"/>
      <c r="T93" s="13"/>
      <c r="U93" s="13"/>
      <c r="V93" s="13"/>
      <c r="W93" s="13"/>
    </row>
    <row r="94" spans="1:2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79"/>
      <c r="Q94" s="13"/>
      <c r="R94" s="78"/>
      <c r="S94" s="13"/>
      <c r="T94" s="13"/>
      <c r="U94" s="13"/>
      <c r="V94" s="13"/>
      <c r="W94" s="13"/>
    </row>
    <row r="95" spans="1:2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79"/>
      <c r="Q95" s="13"/>
      <c r="R95" s="78"/>
      <c r="S95" s="13"/>
      <c r="T95" s="13"/>
      <c r="U95" s="13"/>
      <c r="V95" s="13"/>
      <c r="W95" s="13"/>
    </row>
    <row r="96" spans="1:2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79"/>
      <c r="Q96" s="13"/>
      <c r="R96" s="78"/>
      <c r="S96" s="13"/>
      <c r="T96" s="13"/>
      <c r="U96" s="13"/>
      <c r="V96" s="13"/>
      <c r="W96" s="13"/>
    </row>
    <row r="97" spans="1:2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79"/>
      <c r="Q97" s="13"/>
      <c r="R97" s="78"/>
      <c r="S97" s="13"/>
      <c r="T97" s="13"/>
      <c r="U97" s="13"/>
      <c r="V97" s="13"/>
      <c r="W97" s="13"/>
    </row>
    <row r="98" spans="1:2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79"/>
      <c r="Q98" s="13"/>
      <c r="R98" s="78"/>
      <c r="S98" s="13"/>
      <c r="T98" s="13"/>
      <c r="U98" s="13"/>
      <c r="V98" s="13"/>
      <c r="W98" s="13"/>
    </row>
    <row r="99" spans="1:2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79"/>
      <c r="Q99" s="13"/>
      <c r="R99" s="78"/>
      <c r="S99" s="13"/>
      <c r="T99" s="13"/>
      <c r="U99" s="13"/>
      <c r="V99" s="13"/>
      <c r="W99" s="13"/>
    </row>
    <row r="100" spans="1:23" x14ac:dyDescent="0.2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79"/>
      <c r="Q100" s="13"/>
      <c r="R100" s="78"/>
      <c r="S100" s="13"/>
      <c r="T100" s="13"/>
      <c r="U100" s="13"/>
      <c r="V100" s="13"/>
      <c r="W100" s="13"/>
    </row>
    <row r="101" spans="1:23" x14ac:dyDescent="0.2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79"/>
      <c r="Q101" s="13"/>
      <c r="R101" s="78"/>
      <c r="S101" s="13"/>
      <c r="T101" s="13"/>
      <c r="U101" s="13"/>
      <c r="V101" s="13"/>
      <c r="W101" s="13"/>
    </row>
    <row r="102" spans="1:23" x14ac:dyDescent="0.25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79"/>
      <c r="Q102" s="13"/>
      <c r="R102" s="78"/>
      <c r="S102" s="13"/>
      <c r="T102" s="13"/>
      <c r="U102" s="13"/>
      <c r="V102" s="13"/>
      <c r="W102" s="13"/>
    </row>
    <row r="103" spans="1:23" x14ac:dyDescent="0.2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79"/>
      <c r="Q103" s="13"/>
      <c r="R103" s="78"/>
      <c r="S103" s="13"/>
      <c r="T103" s="13"/>
      <c r="U103" s="13"/>
      <c r="V103" s="13"/>
      <c r="W103" s="13"/>
    </row>
    <row r="104" spans="1:23" x14ac:dyDescent="0.25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79"/>
      <c r="Q104" s="13"/>
      <c r="R104" s="78"/>
      <c r="S104" s="13"/>
      <c r="T104" s="13"/>
      <c r="U104" s="13"/>
      <c r="V104" s="13"/>
      <c r="W104" s="13"/>
    </row>
    <row r="105" spans="1:23" x14ac:dyDescent="0.2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79"/>
      <c r="Q105" s="13"/>
      <c r="R105" s="78"/>
      <c r="S105" s="13"/>
      <c r="T105" s="13"/>
      <c r="U105" s="13"/>
      <c r="V105" s="13"/>
      <c r="W105" s="13"/>
    </row>
    <row r="106" spans="1:23" x14ac:dyDescent="0.25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79"/>
      <c r="Q106" s="13"/>
      <c r="R106" s="78"/>
      <c r="S106" s="13"/>
      <c r="T106" s="13"/>
      <c r="U106" s="13"/>
      <c r="V106" s="13"/>
      <c r="W106" s="13"/>
    </row>
    <row r="107" spans="1:23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79"/>
      <c r="Q107" s="13"/>
      <c r="R107" s="78"/>
      <c r="S107" s="13"/>
      <c r="T107" s="13"/>
      <c r="U107" s="13"/>
      <c r="V107" s="13"/>
      <c r="W107" s="13"/>
    </row>
    <row r="108" spans="1:23" x14ac:dyDescent="0.25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79"/>
      <c r="Q108" s="13"/>
      <c r="R108" s="78"/>
      <c r="S108" s="13"/>
      <c r="T108" s="13"/>
      <c r="U108" s="13"/>
      <c r="V108" s="13"/>
      <c r="W108" s="13"/>
    </row>
    <row r="109" spans="1:23" x14ac:dyDescent="0.2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79"/>
      <c r="Q109" s="13"/>
      <c r="R109" s="78"/>
      <c r="S109" s="13"/>
      <c r="T109" s="13"/>
      <c r="U109" s="13"/>
      <c r="V109" s="13"/>
      <c r="W109" s="13"/>
    </row>
    <row r="110" spans="1:23" x14ac:dyDescent="0.25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79"/>
      <c r="Q110" s="13"/>
      <c r="R110" s="78"/>
      <c r="S110" s="13"/>
      <c r="T110" s="13"/>
      <c r="U110" s="13"/>
      <c r="V110" s="13"/>
      <c r="W110" s="13"/>
    </row>
    <row r="111" spans="1:23" x14ac:dyDescent="0.25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79"/>
      <c r="Q111" s="13"/>
      <c r="R111" s="78"/>
      <c r="S111" s="13"/>
      <c r="T111" s="13"/>
      <c r="U111" s="13"/>
      <c r="V111" s="13"/>
      <c r="W111" s="13"/>
    </row>
    <row r="112" spans="1:23" x14ac:dyDescent="0.25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79"/>
      <c r="Q112" s="13"/>
      <c r="R112" s="78"/>
      <c r="S112" s="13"/>
      <c r="T112" s="13"/>
      <c r="U112" s="13"/>
      <c r="V112" s="13"/>
      <c r="W112" s="13"/>
    </row>
    <row r="113" spans="2:23" x14ac:dyDescent="0.25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79"/>
      <c r="Q113" s="13"/>
      <c r="R113" s="78"/>
      <c r="S113" s="13"/>
      <c r="T113" s="13"/>
      <c r="U113" s="13"/>
      <c r="V113" s="13"/>
      <c r="W113" s="13"/>
    </row>
    <row r="114" spans="2:23" x14ac:dyDescent="0.25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79"/>
      <c r="Q114" s="13"/>
      <c r="R114" s="78"/>
      <c r="S114" s="13"/>
      <c r="T114" s="13"/>
      <c r="U114" s="13"/>
      <c r="V114" s="13"/>
      <c r="W114" s="13"/>
    </row>
    <row r="115" spans="2:23" x14ac:dyDescent="0.2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79"/>
      <c r="Q115" s="13"/>
      <c r="R115" s="78"/>
      <c r="S115" s="13"/>
      <c r="T115" s="13"/>
      <c r="U115" s="13"/>
      <c r="V115" s="13"/>
      <c r="W115" s="13"/>
    </row>
    <row r="116" spans="2:23" x14ac:dyDescent="0.25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79"/>
      <c r="Q116" s="13"/>
      <c r="R116" s="78"/>
      <c r="S116" s="13"/>
      <c r="T116" s="13"/>
      <c r="U116" s="13"/>
      <c r="V116" s="13"/>
      <c r="W116" s="13"/>
    </row>
    <row r="117" spans="2:23" x14ac:dyDescent="0.25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79"/>
      <c r="Q117" s="13"/>
      <c r="R117" s="78"/>
      <c r="S117" s="13"/>
      <c r="T117" s="13"/>
      <c r="U117" s="13"/>
      <c r="V117" s="13"/>
      <c r="W117" s="13"/>
    </row>
    <row r="118" spans="2:23" x14ac:dyDescent="0.25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79"/>
      <c r="Q118" s="13"/>
      <c r="R118" s="78"/>
      <c r="S118" s="13"/>
      <c r="T118" s="13"/>
      <c r="U118" s="13"/>
      <c r="V118" s="13"/>
      <c r="W118" s="13"/>
    </row>
    <row r="119" spans="2:23" x14ac:dyDescent="0.25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79"/>
      <c r="Q119" s="13"/>
      <c r="R119" s="78"/>
      <c r="S119" s="13"/>
      <c r="T119" s="13"/>
      <c r="U119" s="13"/>
      <c r="V119" s="13"/>
      <c r="W119" s="13"/>
    </row>
    <row r="120" spans="2:23" x14ac:dyDescent="0.25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79"/>
      <c r="Q120" s="13"/>
      <c r="R120" s="78"/>
      <c r="S120" s="13"/>
      <c r="T120" s="13"/>
      <c r="U120" s="13"/>
      <c r="V120" s="13"/>
      <c r="W120" s="13"/>
    </row>
    <row r="121" spans="2:23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79"/>
      <c r="Q121" s="13"/>
      <c r="R121" s="78"/>
      <c r="S121" s="13"/>
      <c r="T121" s="13"/>
      <c r="U121" s="13"/>
      <c r="V121" s="13"/>
      <c r="W121" s="13"/>
    </row>
    <row r="122" spans="2:23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79"/>
      <c r="Q122" s="13"/>
      <c r="R122" s="78"/>
      <c r="S122" s="13"/>
      <c r="T122" s="13"/>
      <c r="U122" s="13"/>
      <c r="V122" s="13"/>
      <c r="W122" s="13"/>
    </row>
    <row r="123" spans="2:23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79"/>
      <c r="Q123" s="13"/>
      <c r="R123" s="78"/>
      <c r="S123" s="13"/>
      <c r="T123" s="13"/>
      <c r="U123" s="13"/>
      <c r="V123" s="13"/>
      <c r="W123" s="13"/>
    </row>
    <row r="124" spans="2:23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79"/>
      <c r="Q124" s="13"/>
      <c r="R124" s="78"/>
      <c r="S124" s="13"/>
      <c r="T124" s="13"/>
      <c r="U124" s="13"/>
      <c r="V124" s="13"/>
      <c r="W124" s="13"/>
    </row>
    <row r="125" spans="2:23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79"/>
      <c r="Q125" s="13"/>
      <c r="R125" s="78"/>
      <c r="S125" s="13"/>
      <c r="T125" s="13"/>
      <c r="U125" s="13"/>
      <c r="V125" s="13"/>
      <c r="W125" s="13"/>
    </row>
    <row r="126" spans="2:23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79"/>
      <c r="Q126" s="13"/>
      <c r="R126" s="78"/>
      <c r="S126" s="13"/>
      <c r="T126" s="13"/>
      <c r="U126" s="13"/>
      <c r="V126" s="13"/>
      <c r="W126" s="13"/>
    </row>
    <row r="127" spans="2:23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79"/>
      <c r="Q127" s="13"/>
      <c r="R127" s="78"/>
      <c r="S127" s="13"/>
      <c r="T127" s="13"/>
      <c r="U127" s="13"/>
      <c r="V127" s="13"/>
      <c r="W127" s="13"/>
    </row>
    <row r="128" spans="2:23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79"/>
      <c r="Q128" s="13"/>
      <c r="R128" s="78"/>
      <c r="S128" s="13"/>
      <c r="T128" s="13"/>
      <c r="U128" s="13"/>
      <c r="V128" s="13"/>
      <c r="W128" s="13"/>
    </row>
    <row r="129" spans="2:23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79"/>
      <c r="Q129" s="13"/>
      <c r="R129" s="78"/>
      <c r="S129" s="13"/>
      <c r="T129" s="13"/>
      <c r="U129" s="13"/>
      <c r="V129" s="13"/>
      <c r="W129" s="13"/>
    </row>
    <row r="130" spans="2:23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79"/>
      <c r="Q130" s="13"/>
      <c r="R130" s="78"/>
      <c r="S130" s="13"/>
      <c r="T130" s="13"/>
      <c r="U130" s="13"/>
      <c r="V130" s="13"/>
      <c r="W130" s="13"/>
    </row>
    <row r="131" spans="2:23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79"/>
      <c r="Q131" s="13"/>
      <c r="R131" s="78"/>
      <c r="S131" s="13"/>
      <c r="T131" s="13"/>
      <c r="U131" s="13"/>
      <c r="V131" s="13"/>
      <c r="W131" s="13"/>
    </row>
    <row r="132" spans="2:23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79"/>
      <c r="Q132" s="13"/>
      <c r="R132" s="78"/>
      <c r="S132" s="13"/>
      <c r="T132" s="13"/>
      <c r="U132" s="13"/>
      <c r="V132" s="13"/>
      <c r="W132" s="13"/>
    </row>
    <row r="133" spans="2:23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79"/>
      <c r="Q133" s="13"/>
      <c r="R133" s="78"/>
      <c r="S133" s="13"/>
      <c r="T133" s="13"/>
      <c r="U133" s="13"/>
      <c r="V133" s="13"/>
      <c r="W133" s="13"/>
    </row>
    <row r="134" spans="2:23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79"/>
      <c r="Q134" s="13"/>
      <c r="R134" s="78"/>
      <c r="S134" s="13"/>
      <c r="T134" s="13"/>
      <c r="U134" s="13"/>
      <c r="V134" s="13"/>
      <c r="W134" s="13"/>
    </row>
  </sheetData>
  <mergeCells count="94">
    <mergeCell ref="P18:P24"/>
    <mergeCell ref="P3:Q3"/>
    <mergeCell ref="P4:P10"/>
    <mergeCell ref="I7:L7"/>
    <mergeCell ref="I8:L8"/>
    <mergeCell ref="P11:P17"/>
    <mergeCell ref="D3:L3"/>
    <mergeCell ref="D4:G4"/>
    <mergeCell ref="D5:G5"/>
    <mergeCell ref="I4:L4"/>
    <mergeCell ref="I11:L11"/>
    <mergeCell ref="I10:L10"/>
    <mergeCell ref="I5:L5"/>
    <mergeCell ref="D13:G13"/>
    <mergeCell ref="I13:L13"/>
    <mergeCell ref="D16:G16"/>
    <mergeCell ref="D65:G65"/>
    <mergeCell ref="I56:L56"/>
    <mergeCell ref="I65:L65"/>
    <mergeCell ref="D7:G7"/>
    <mergeCell ref="D47:G47"/>
    <mergeCell ref="I47:L47"/>
    <mergeCell ref="D11:G11"/>
    <mergeCell ref="D8:G8"/>
    <mergeCell ref="D20:G20"/>
    <mergeCell ref="I20:L20"/>
    <mergeCell ref="D29:G29"/>
    <mergeCell ref="I29:L29"/>
    <mergeCell ref="D38:G38"/>
    <mergeCell ref="I38:L38"/>
    <mergeCell ref="D10:G10"/>
    <mergeCell ref="I16:L16"/>
    <mergeCell ref="D19:G19"/>
    <mergeCell ref="I19:L19"/>
    <mergeCell ref="D14:G14"/>
    <mergeCell ref="I14:L14"/>
    <mergeCell ref="D17:G17"/>
    <mergeCell ref="I17:L17"/>
    <mergeCell ref="D22:G22"/>
    <mergeCell ref="I22:L22"/>
    <mergeCell ref="D25:G25"/>
    <mergeCell ref="I25:L25"/>
    <mergeCell ref="D28:G28"/>
    <mergeCell ref="I28:L28"/>
    <mergeCell ref="D23:G23"/>
    <mergeCell ref="I23:L23"/>
    <mergeCell ref="D26:G26"/>
    <mergeCell ref="I26:L26"/>
    <mergeCell ref="D31:G31"/>
    <mergeCell ref="I31:L31"/>
    <mergeCell ref="D34:G34"/>
    <mergeCell ref="I34:L34"/>
    <mergeCell ref="D37:G37"/>
    <mergeCell ref="I37:L37"/>
    <mergeCell ref="D32:G32"/>
    <mergeCell ref="I32:L32"/>
    <mergeCell ref="D35:G35"/>
    <mergeCell ref="I35:L35"/>
    <mergeCell ref="D40:G40"/>
    <mergeCell ref="I40:L40"/>
    <mergeCell ref="D43:G43"/>
    <mergeCell ref="I43:L43"/>
    <mergeCell ref="D46:G46"/>
    <mergeCell ref="I46:L46"/>
    <mergeCell ref="D41:G41"/>
    <mergeCell ref="I41:L41"/>
    <mergeCell ref="D44:G44"/>
    <mergeCell ref="I44:L44"/>
    <mergeCell ref="D53:G53"/>
    <mergeCell ref="I50:L50"/>
    <mergeCell ref="I53:L53"/>
    <mergeCell ref="D64:G64"/>
    <mergeCell ref="I64:L64"/>
    <mergeCell ref="D59:G59"/>
    <mergeCell ref="D62:G62"/>
    <mergeCell ref="I59:L59"/>
    <mergeCell ref="I62:L62"/>
    <mergeCell ref="D56:G56"/>
    <mergeCell ref="B90:W90"/>
    <mergeCell ref="B68:G68"/>
    <mergeCell ref="P60:Y60"/>
    <mergeCell ref="P25:P31"/>
    <mergeCell ref="P32:P38"/>
    <mergeCell ref="D58:G58"/>
    <mergeCell ref="I58:L58"/>
    <mergeCell ref="D61:G61"/>
    <mergeCell ref="I61:L61"/>
    <mergeCell ref="D49:G49"/>
    <mergeCell ref="I49:L49"/>
    <mergeCell ref="D52:G52"/>
    <mergeCell ref="I52:L52"/>
    <mergeCell ref="D55:G55"/>
    <mergeCell ref="I55:L55"/>
    <mergeCell ref="D50:G50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2E89-7732-44CC-9E39-87DE03CB45F1}">
  <dimension ref="B2:L32"/>
  <sheetViews>
    <sheetView zoomScale="120" zoomScaleNormal="120" workbookViewId="0">
      <selection activeCell="C20" sqref="C20"/>
    </sheetView>
  </sheetViews>
  <sheetFormatPr defaultRowHeight="15" x14ac:dyDescent="0.25"/>
  <cols>
    <col min="1" max="1" width="1.85546875" customWidth="1"/>
    <col min="2" max="8" width="20.5703125" customWidth="1"/>
    <col min="9" max="9" width="13.140625" customWidth="1"/>
    <col min="10" max="12" width="17.28515625" customWidth="1"/>
    <col min="15" max="15" width="9.140625" customWidth="1"/>
    <col min="19" max="19" width="9.140625" customWidth="1"/>
  </cols>
  <sheetData>
    <row r="2" spans="2:12" x14ac:dyDescent="0.25">
      <c r="B2" s="31" t="s">
        <v>0</v>
      </c>
      <c r="C2" s="30" t="str" cm="1">
        <f t="array" ref="C2:I2">TRANSPOSE(B3:B9)</f>
        <v>Preço</v>
      </c>
      <c r="D2" s="30" t="str">
        <v>Durabilidade</v>
      </c>
      <c r="E2" s="30" t="str">
        <v>Cor</v>
      </c>
      <c r="F2" s="30" t="str">
        <v>Acabamento</v>
      </c>
      <c r="G2" s="30" t="str">
        <v>Design</v>
      </c>
      <c r="H2" s="30" t="str">
        <v>Garantia</v>
      </c>
      <c r="I2" s="30" t="str">
        <v>Peso</v>
      </c>
      <c r="J2" s="10"/>
      <c r="K2" s="10"/>
      <c r="L2" s="10"/>
    </row>
    <row r="3" spans="2:12" x14ac:dyDescent="0.25">
      <c r="B3" s="29" t="str">
        <f>Entrada!B4</f>
        <v>Preço</v>
      </c>
      <c r="C3" s="18">
        <v>1</v>
      </c>
      <c r="D3" s="19">
        <f>IF(Entrada!D5&gt;0,Entrada!D5,1/Entrada!I5)</f>
        <v>4</v>
      </c>
      <c r="E3" s="19">
        <f>IF(Entrada!D8&gt;0,Entrada!D8,1/Entrada!I8)</f>
        <v>2</v>
      </c>
      <c r="F3" s="19">
        <f>IF(Entrada!D11&gt;0,Entrada!D11,1/Entrada!I11)</f>
        <v>0.5</v>
      </c>
      <c r="G3" s="19">
        <f>IF(Entrada!D14&gt;0,Entrada!D14,1/Entrada!I14)</f>
        <v>4</v>
      </c>
      <c r="H3" s="19">
        <f>IF(Entrada!D17&gt;0,Entrada!D17,1/Entrada!I17)</f>
        <v>3</v>
      </c>
      <c r="I3" s="19">
        <f>IF(Entrada!D20&gt;0,Entrada!D20,1/Entrada!I20)</f>
        <v>7</v>
      </c>
      <c r="J3" s="5"/>
      <c r="K3" s="5"/>
      <c r="L3" s="5"/>
    </row>
    <row r="4" spans="2:12" x14ac:dyDescent="0.25">
      <c r="B4" s="29" t="str">
        <f>Entrada!B5</f>
        <v>Durabilidade</v>
      </c>
      <c r="C4" s="19">
        <f>1/D3</f>
        <v>0.25</v>
      </c>
      <c r="D4" s="18">
        <v>1</v>
      </c>
      <c r="E4" s="19">
        <f>IF(Entrada!D23&gt;0,Entrada!D23,1/Entrada!I23)</f>
        <v>3</v>
      </c>
      <c r="F4" s="19">
        <f>IF(Entrada!D26&gt;0,Entrada!D26,1/Entrada!I26)</f>
        <v>1</v>
      </c>
      <c r="G4" s="19">
        <f>IF(Entrada!D29&gt;0,Entrada!D29,1/Entrada!I29)</f>
        <v>0.5</v>
      </c>
      <c r="H4" s="19">
        <f>IF(Entrada!D32&gt;0,Entrada!D32,1/Entrada!I32)</f>
        <v>0.5</v>
      </c>
      <c r="I4" s="19">
        <f>IF(Entrada!D35&gt;0,Entrada!D35,1/Entrada!I35)</f>
        <v>5</v>
      </c>
      <c r="J4" s="5"/>
      <c r="K4" s="5"/>
      <c r="L4" s="5"/>
    </row>
    <row r="5" spans="2:12" x14ac:dyDescent="0.25">
      <c r="B5" s="29" t="str">
        <f>Entrada!B6</f>
        <v>Cor</v>
      </c>
      <c r="C5" s="19">
        <f>1/E3</f>
        <v>0.5</v>
      </c>
      <c r="D5" s="19">
        <f>1/E4</f>
        <v>0.33333333333333331</v>
      </c>
      <c r="E5" s="18">
        <v>1</v>
      </c>
      <c r="F5" s="19">
        <f>IF(Entrada!D38&gt;0,Entrada!D38,1/Entrada!I38)</f>
        <v>0.5</v>
      </c>
      <c r="G5" s="19">
        <f>IF(Entrada!D41&gt;0,Entrada!D41,1/Entrada!I41)</f>
        <v>1</v>
      </c>
      <c r="H5" s="19">
        <f>IF(Entrada!D44&gt;0,Entrada!D44,1/Entrada!I44)</f>
        <v>0.5</v>
      </c>
      <c r="I5" s="19">
        <f>IF(Entrada!D47&gt;0,Entrada!D47,1/Entrada!I47)</f>
        <v>2</v>
      </c>
      <c r="J5" s="5"/>
      <c r="K5" s="5"/>
      <c r="L5" s="5"/>
    </row>
    <row r="6" spans="2:12" x14ac:dyDescent="0.25">
      <c r="B6" s="29" t="str">
        <f>Entrada!B7</f>
        <v>Acabamento</v>
      </c>
      <c r="C6" s="19">
        <f>1/F3</f>
        <v>2</v>
      </c>
      <c r="D6" s="19">
        <f>1/F4</f>
        <v>1</v>
      </c>
      <c r="E6" s="19">
        <f>1/F5</f>
        <v>2</v>
      </c>
      <c r="F6" s="18">
        <v>1</v>
      </c>
      <c r="G6" s="19">
        <f>IF(Entrada!D50&gt;0,Entrada!D50,1/Entrada!I50)</f>
        <v>0.25</v>
      </c>
      <c r="H6" s="19">
        <f>IF(Entrada!D53&gt;0,Entrada!D53,1/Entrada!I53)</f>
        <v>1</v>
      </c>
      <c r="I6" s="19">
        <f>IF(Entrada!D56&gt;0,Entrada!D56,1/Entrada!I56)</f>
        <v>3</v>
      </c>
      <c r="J6" s="5"/>
      <c r="K6" s="5"/>
      <c r="L6" s="5"/>
    </row>
    <row r="7" spans="2:12" x14ac:dyDescent="0.25">
      <c r="B7" s="29" t="str">
        <f>Entrada!B8</f>
        <v>Design</v>
      </c>
      <c r="C7" s="19">
        <f>1/G3</f>
        <v>0.25</v>
      </c>
      <c r="D7" s="19">
        <f>1/G4</f>
        <v>2</v>
      </c>
      <c r="E7" s="19">
        <f>1/G5</f>
        <v>1</v>
      </c>
      <c r="F7" s="19">
        <f>1/G6</f>
        <v>4</v>
      </c>
      <c r="G7" s="18">
        <v>1</v>
      </c>
      <c r="H7" s="19">
        <f>IF(Entrada!D59&gt;0,Entrada!D59,1/Entrada!I59)</f>
        <v>2</v>
      </c>
      <c r="I7" s="19">
        <f>IF(Entrada!D62&gt;0,Entrada!D62,1/Entrada!I62)</f>
        <v>1</v>
      </c>
      <c r="J7" s="5"/>
      <c r="K7" s="5"/>
      <c r="L7" s="5"/>
    </row>
    <row r="8" spans="2:12" x14ac:dyDescent="0.25">
      <c r="B8" s="29" t="str">
        <f>Entrada!B9</f>
        <v>Garantia</v>
      </c>
      <c r="C8" s="19">
        <f>1/H3</f>
        <v>0.33333333333333331</v>
      </c>
      <c r="D8" s="19">
        <f>1/H4</f>
        <v>2</v>
      </c>
      <c r="E8" s="19">
        <f>1/H5</f>
        <v>2</v>
      </c>
      <c r="F8" s="19">
        <f>1/H6</f>
        <v>1</v>
      </c>
      <c r="G8" s="19">
        <f>1/H7</f>
        <v>0.5</v>
      </c>
      <c r="H8" s="18">
        <v>1</v>
      </c>
      <c r="I8" s="19">
        <f>IF(Entrada!D65&gt;0,Entrada!D65,1/Entrada!I65)</f>
        <v>3</v>
      </c>
      <c r="J8" s="5"/>
      <c r="K8" s="5"/>
      <c r="L8" s="5"/>
    </row>
    <row r="9" spans="2:12" x14ac:dyDescent="0.25">
      <c r="B9" s="29" t="str">
        <f>Entrada!B10</f>
        <v>Peso</v>
      </c>
      <c r="C9" s="19">
        <f>1/I3</f>
        <v>0.14285714285714285</v>
      </c>
      <c r="D9" s="19">
        <f>1/I4</f>
        <v>0.2</v>
      </c>
      <c r="E9" s="19">
        <f>1/I5</f>
        <v>0.5</v>
      </c>
      <c r="F9" s="19">
        <f>1/I6</f>
        <v>0.33333333333333331</v>
      </c>
      <c r="G9" s="19">
        <f>1/I7</f>
        <v>1</v>
      </c>
      <c r="H9" s="19">
        <f>1/I8</f>
        <v>0.33333333333333331</v>
      </c>
      <c r="I9" s="18">
        <v>1</v>
      </c>
      <c r="J9" s="5"/>
      <c r="K9" s="5"/>
      <c r="L9" s="5"/>
    </row>
    <row r="10" spans="2:12" x14ac:dyDescent="0.25">
      <c r="B10" s="20" t="s">
        <v>1</v>
      </c>
      <c r="C10" s="21">
        <f t="shared" ref="C10:I10" si="0">SUM(C3:C9)</f>
        <v>4.4761904761904763</v>
      </c>
      <c r="D10" s="21">
        <f t="shared" si="0"/>
        <v>10.533333333333331</v>
      </c>
      <c r="E10" s="21">
        <f t="shared" si="0"/>
        <v>11.5</v>
      </c>
      <c r="F10" s="21">
        <f t="shared" si="0"/>
        <v>8.3333333333333339</v>
      </c>
      <c r="G10" s="21">
        <f t="shared" si="0"/>
        <v>8.25</v>
      </c>
      <c r="H10" s="21">
        <f t="shared" si="0"/>
        <v>8.3333333333333339</v>
      </c>
      <c r="I10" s="21">
        <f t="shared" si="0"/>
        <v>22</v>
      </c>
      <c r="J10" s="53" t="s">
        <v>16</v>
      </c>
      <c r="K10" s="5"/>
      <c r="L10" s="5"/>
    </row>
    <row r="11" spans="2:12" x14ac:dyDescent="0.25">
      <c r="B11" s="28" t="str">
        <f>Entrada!B4</f>
        <v>Preço</v>
      </c>
      <c r="C11" s="32">
        <f t="shared" ref="C11:C17" si="1">C3/$C$10</f>
        <v>0.22340425531914893</v>
      </c>
      <c r="D11" s="32">
        <f t="shared" ref="D11:D17" si="2">D3/$D$10</f>
        <v>0.37974683544303806</v>
      </c>
      <c r="E11" s="32">
        <f t="shared" ref="E11:E17" si="3">E3/$E$10</f>
        <v>0.17391304347826086</v>
      </c>
      <c r="F11" s="32">
        <f t="shared" ref="F11:F17" si="4">F3/$F$10</f>
        <v>0.06</v>
      </c>
      <c r="G11" s="32">
        <f t="shared" ref="G11:G17" si="5">G3/$G$10</f>
        <v>0.48484848484848486</v>
      </c>
      <c r="H11" s="32">
        <f t="shared" ref="H11:H17" si="6">H3/$H$10</f>
        <v>0.36</v>
      </c>
      <c r="I11" s="32">
        <f t="shared" ref="I11:I17" si="7">I3/$I$10</f>
        <v>0.31818181818181818</v>
      </c>
      <c r="J11" s="54">
        <f t="shared" ref="J11:J17" si="8">AVERAGE(C11:I11)</f>
        <v>0.2857277767529644</v>
      </c>
      <c r="K11" s="38"/>
      <c r="L11" s="5"/>
    </row>
    <row r="12" spans="2:12" x14ac:dyDescent="0.25">
      <c r="B12" s="28" t="str">
        <f>Entrada!B5</f>
        <v>Durabilidade</v>
      </c>
      <c r="C12" s="32">
        <f t="shared" si="1"/>
        <v>5.5851063829787231E-2</v>
      </c>
      <c r="D12" s="32">
        <f t="shared" si="2"/>
        <v>9.4936708860759514E-2</v>
      </c>
      <c r="E12" s="32">
        <f t="shared" si="3"/>
        <v>0.2608695652173913</v>
      </c>
      <c r="F12" s="32">
        <f t="shared" si="4"/>
        <v>0.12</v>
      </c>
      <c r="G12" s="32">
        <f t="shared" si="5"/>
        <v>6.0606060606060608E-2</v>
      </c>
      <c r="H12" s="32">
        <f t="shared" si="6"/>
        <v>0.06</v>
      </c>
      <c r="I12" s="32">
        <f t="shared" si="7"/>
        <v>0.22727272727272727</v>
      </c>
      <c r="J12" s="54">
        <f t="shared" si="8"/>
        <v>0.12564801796953229</v>
      </c>
      <c r="K12" s="38"/>
      <c r="L12" s="5"/>
    </row>
    <row r="13" spans="2:12" x14ac:dyDescent="0.25">
      <c r="B13" s="28" t="str">
        <f>Entrada!B6</f>
        <v>Cor</v>
      </c>
      <c r="C13" s="32">
        <f t="shared" si="1"/>
        <v>0.11170212765957446</v>
      </c>
      <c r="D13" s="32">
        <f t="shared" si="2"/>
        <v>3.1645569620253167E-2</v>
      </c>
      <c r="E13" s="32">
        <f t="shared" si="3"/>
        <v>8.6956521739130432E-2</v>
      </c>
      <c r="F13" s="32">
        <f t="shared" si="4"/>
        <v>0.06</v>
      </c>
      <c r="G13" s="32">
        <f t="shared" si="5"/>
        <v>0.12121212121212122</v>
      </c>
      <c r="H13" s="32">
        <f t="shared" si="6"/>
        <v>0.06</v>
      </c>
      <c r="I13" s="32">
        <f t="shared" si="7"/>
        <v>9.0909090909090912E-2</v>
      </c>
      <c r="J13" s="54">
        <f t="shared" si="8"/>
        <v>8.0346490162881451E-2</v>
      </c>
      <c r="K13" s="38"/>
      <c r="L13" s="5"/>
    </row>
    <row r="14" spans="2:12" x14ac:dyDescent="0.25">
      <c r="B14" s="28" t="str">
        <f>Entrada!B7</f>
        <v>Acabamento</v>
      </c>
      <c r="C14" s="32">
        <f t="shared" si="1"/>
        <v>0.44680851063829785</v>
      </c>
      <c r="D14" s="32">
        <f t="shared" si="2"/>
        <v>9.4936708860759514E-2</v>
      </c>
      <c r="E14" s="32">
        <f t="shared" si="3"/>
        <v>0.17391304347826086</v>
      </c>
      <c r="F14" s="32">
        <f t="shared" si="4"/>
        <v>0.12</v>
      </c>
      <c r="G14" s="32">
        <f t="shared" si="5"/>
        <v>3.0303030303030304E-2</v>
      </c>
      <c r="H14" s="32">
        <f t="shared" si="6"/>
        <v>0.12</v>
      </c>
      <c r="I14" s="32">
        <f t="shared" si="7"/>
        <v>0.13636363636363635</v>
      </c>
      <c r="J14" s="54">
        <f t="shared" si="8"/>
        <v>0.16033213280628353</v>
      </c>
      <c r="K14" s="38"/>
      <c r="L14" s="5"/>
    </row>
    <row r="15" spans="2:12" x14ac:dyDescent="0.25">
      <c r="B15" s="28" t="str">
        <f>Entrada!B8</f>
        <v>Design</v>
      </c>
      <c r="C15" s="32">
        <f t="shared" si="1"/>
        <v>5.5851063829787231E-2</v>
      </c>
      <c r="D15" s="32">
        <f t="shared" si="2"/>
        <v>0.18987341772151903</v>
      </c>
      <c r="E15" s="32">
        <f t="shared" si="3"/>
        <v>8.6956521739130432E-2</v>
      </c>
      <c r="F15" s="32">
        <f t="shared" si="4"/>
        <v>0.48</v>
      </c>
      <c r="G15" s="32">
        <f t="shared" si="5"/>
        <v>0.12121212121212122</v>
      </c>
      <c r="H15" s="32">
        <f t="shared" si="6"/>
        <v>0.24</v>
      </c>
      <c r="I15" s="32">
        <f t="shared" si="7"/>
        <v>4.5454545454545456E-2</v>
      </c>
      <c r="J15" s="54">
        <f t="shared" si="8"/>
        <v>0.17419252427958618</v>
      </c>
      <c r="K15" s="38"/>
      <c r="L15" s="5"/>
    </row>
    <row r="16" spans="2:12" x14ac:dyDescent="0.25">
      <c r="B16" s="28" t="str">
        <f>Entrada!B9</f>
        <v>Garantia</v>
      </c>
      <c r="C16" s="32">
        <f t="shared" si="1"/>
        <v>7.4468085106382975E-2</v>
      </c>
      <c r="D16" s="32">
        <f t="shared" si="2"/>
        <v>0.18987341772151903</v>
      </c>
      <c r="E16" s="32">
        <f t="shared" si="3"/>
        <v>0.17391304347826086</v>
      </c>
      <c r="F16" s="32">
        <f t="shared" si="4"/>
        <v>0.12</v>
      </c>
      <c r="G16" s="32">
        <f t="shared" si="5"/>
        <v>6.0606060606060608E-2</v>
      </c>
      <c r="H16" s="32">
        <f t="shared" si="6"/>
        <v>0.12</v>
      </c>
      <c r="I16" s="32">
        <f t="shared" si="7"/>
        <v>0.13636363636363635</v>
      </c>
      <c r="J16" s="54">
        <f t="shared" si="8"/>
        <v>0.12503203475369426</v>
      </c>
      <c r="K16" s="38"/>
      <c r="L16" s="5"/>
    </row>
    <row r="17" spans="2:12" x14ac:dyDescent="0.25">
      <c r="B17" s="28" t="str">
        <f>Entrada!B10</f>
        <v>Peso</v>
      </c>
      <c r="C17" s="32">
        <f t="shared" si="1"/>
        <v>3.1914893617021274E-2</v>
      </c>
      <c r="D17" s="32">
        <f t="shared" si="2"/>
        <v>1.8987341772151903E-2</v>
      </c>
      <c r="E17" s="32">
        <f t="shared" si="3"/>
        <v>4.3478260869565216E-2</v>
      </c>
      <c r="F17" s="32">
        <f t="shared" si="4"/>
        <v>3.9999999999999994E-2</v>
      </c>
      <c r="G17" s="32">
        <f t="shared" si="5"/>
        <v>0.12121212121212122</v>
      </c>
      <c r="H17" s="32">
        <f t="shared" si="6"/>
        <v>3.9999999999999994E-2</v>
      </c>
      <c r="I17" s="32">
        <f t="shared" si="7"/>
        <v>4.5454545454545456E-2</v>
      </c>
      <c r="J17" s="54">
        <f t="shared" si="8"/>
        <v>4.8721023275057861E-2</v>
      </c>
      <c r="K17" s="38"/>
      <c r="L17" s="5"/>
    </row>
    <row r="18" spans="2:12" x14ac:dyDescent="0.25">
      <c r="B18" s="34"/>
      <c r="C18" s="35"/>
      <c r="D18" s="35"/>
      <c r="E18" s="35"/>
      <c r="F18" s="35"/>
      <c r="G18" s="35"/>
      <c r="H18" s="35"/>
      <c r="I18" s="35"/>
      <c r="J18" s="5"/>
      <c r="K18" s="5"/>
      <c r="L18" s="5"/>
    </row>
    <row r="19" spans="2:12" x14ac:dyDescent="0.25">
      <c r="B19" s="36"/>
      <c r="C19" s="37"/>
      <c r="D19" s="37"/>
      <c r="E19" s="37"/>
      <c r="F19" s="37"/>
      <c r="G19" s="37"/>
      <c r="H19" s="37"/>
      <c r="I19" s="37"/>
      <c r="J19" s="5"/>
      <c r="K19" s="5"/>
      <c r="L19" s="5"/>
    </row>
    <row r="20" spans="2:12" x14ac:dyDescent="0.25">
      <c r="B20" s="31" t="s">
        <v>0</v>
      </c>
      <c r="C20" s="30" t="str">
        <f t="shared" ref="C20:G20" si="9">C2</f>
        <v>Preço</v>
      </c>
      <c r="D20" s="30" t="str">
        <f t="shared" si="9"/>
        <v>Durabilidade</v>
      </c>
      <c r="E20" s="30" t="str">
        <f t="shared" si="9"/>
        <v>Cor</v>
      </c>
      <c r="F20" s="30" t="str">
        <f t="shared" si="9"/>
        <v>Acabamento</v>
      </c>
      <c r="G20" s="30" t="str">
        <f t="shared" si="9"/>
        <v>Design</v>
      </c>
      <c r="H20" s="30" t="str">
        <f>H2</f>
        <v>Garantia</v>
      </c>
      <c r="I20" s="30" t="str">
        <f>I2</f>
        <v>Peso</v>
      </c>
      <c r="J20" s="30" t="s">
        <v>17</v>
      </c>
      <c r="K20" s="30" t="s">
        <v>16</v>
      </c>
      <c r="L20" s="30" t="s">
        <v>18</v>
      </c>
    </row>
    <row r="21" spans="2:12" x14ac:dyDescent="0.25">
      <c r="B21" s="29" t="s">
        <v>3</v>
      </c>
      <c r="C21" s="33">
        <f t="shared" ref="C21:C27" si="10">C3*$J$11</f>
        <v>0.2857277767529644</v>
      </c>
      <c r="D21" s="33">
        <f t="shared" ref="D21:D27" si="11">D3*$J$12</f>
        <v>0.50259207187812915</v>
      </c>
      <c r="E21" s="33">
        <f t="shared" ref="E21:E27" si="12">E3*$J$13</f>
        <v>0.1606929803257629</v>
      </c>
      <c r="F21" s="33">
        <f t="shared" ref="F21:F27" si="13">F3*$J$14</f>
        <v>8.0166066403141764E-2</v>
      </c>
      <c r="G21" s="33">
        <f t="shared" ref="G21:G27" si="14">G3*$J$15</f>
        <v>0.6967700971183447</v>
      </c>
      <c r="H21" s="33">
        <f t="shared" ref="H21:H27" si="15">H3*$J$16</f>
        <v>0.37509610426108275</v>
      </c>
      <c r="I21" s="33">
        <f t="shared" ref="I21:I27" si="16">I3*$J$17</f>
        <v>0.34104716292540505</v>
      </c>
      <c r="J21" s="59">
        <f t="shared" ref="J21:J27" si="17">SUM(C21:I21)</f>
        <v>2.4420922596648307</v>
      </c>
      <c r="K21" s="60">
        <f t="shared" ref="K21:K27" si="18">J11</f>
        <v>0.2857277767529644</v>
      </c>
      <c r="L21" s="6">
        <f t="shared" ref="L21:L27" si="19">J21/K21</f>
        <v>8.5469193349592469</v>
      </c>
    </row>
    <row r="22" spans="2:12" x14ac:dyDescent="0.25">
      <c r="B22" s="29" t="s">
        <v>9</v>
      </c>
      <c r="C22" s="33">
        <f t="shared" si="10"/>
        <v>7.14319441882411E-2</v>
      </c>
      <c r="D22" s="33">
        <f t="shared" si="11"/>
        <v>0.12564801796953229</v>
      </c>
      <c r="E22" s="33">
        <f t="shared" si="12"/>
        <v>0.24103947048864435</v>
      </c>
      <c r="F22" s="33">
        <f t="shared" si="13"/>
        <v>0.16033213280628353</v>
      </c>
      <c r="G22" s="33">
        <f t="shared" si="14"/>
        <v>8.7096262139793088E-2</v>
      </c>
      <c r="H22" s="33">
        <f t="shared" si="15"/>
        <v>6.251601737684713E-2</v>
      </c>
      <c r="I22" s="33">
        <f t="shared" si="16"/>
        <v>0.24360511637528931</v>
      </c>
      <c r="J22" s="59">
        <f t="shared" si="17"/>
        <v>0.99166896134463078</v>
      </c>
      <c r="K22" s="60">
        <f t="shared" si="18"/>
        <v>0.12564801796953229</v>
      </c>
      <c r="L22" s="6">
        <f t="shared" si="19"/>
        <v>7.8924361670798122</v>
      </c>
    </row>
    <row r="23" spans="2:12" x14ac:dyDescent="0.25">
      <c r="B23" s="29" t="s">
        <v>10</v>
      </c>
      <c r="C23" s="33">
        <f t="shared" si="10"/>
        <v>0.1428638883764822</v>
      </c>
      <c r="D23" s="33">
        <f t="shared" si="11"/>
        <v>4.1882672656510758E-2</v>
      </c>
      <c r="E23" s="33">
        <f t="shared" si="12"/>
        <v>8.0346490162881451E-2</v>
      </c>
      <c r="F23" s="33">
        <f t="shared" si="13"/>
        <v>8.0166066403141764E-2</v>
      </c>
      <c r="G23" s="33">
        <f t="shared" si="14"/>
        <v>0.17419252427958618</v>
      </c>
      <c r="H23" s="33">
        <f t="shared" si="15"/>
        <v>6.251601737684713E-2</v>
      </c>
      <c r="I23" s="33">
        <f t="shared" si="16"/>
        <v>9.7442046550115721E-2</v>
      </c>
      <c r="J23" s="59">
        <f t="shared" si="17"/>
        <v>0.67940970580556515</v>
      </c>
      <c r="K23" s="60">
        <f t="shared" si="18"/>
        <v>8.0346490162881451E-2</v>
      </c>
      <c r="L23" s="6">
        <f t="shared" si="19"/>
        <v>8.4559973239433361</v>
      </c>
    </row>
    <row r="24" spans="2:12" x14ac:dyDescent="0.25">
      <c r="B24" s="29" t="s">
        <v>11</v>
      </c>
      <c r="C24" s="33">
        <f t="shared" si="10"/>
        <v>0.5714555535059288</v>
      </c>
      <c r="D24" s="33">
        <f t="shared" si="11"/>
        <v>0.12564801796953229</v>
      </c>
      <c r="E24" s="33">
        <f t="shared" si="12"/>
        <v>0.1606929803257629</v>
      </c>
      <c r="F24" s="33">
        <f t="shared" si="13"/>
        <v>0.16033213280628353</v>
      </c>
      <c r="G24" s="33">
        <f t="shared" si="14"/>
        <v>4.3548131069896544E-2</v>
      </c>
      <c r="H24" s="33">
        <f t="shared" si="15"/>
        <v>0.12503203475369426</v>
      </c>
      <c r="I24" s="33">
        <f t="shared" si="16"/>
        <v>0.14616306982517357</v>
      </c>
      <c r="J24" s="59">
        <f t="shared" si="17"/>
        <v>1.332871920256272</v>
      </c>
      <c r="K24" s="60">
        <f t="shared" si="18"/>
        <v>0.16033213280628353</v>
      </c>
      <c r="L24" s="6">
        <f t="shared" si="19"/>
        <v>8.3131927264179435</v>
      </c>
    </row>
    <row r="25" spans="2:12" x14ac:dyDescent="0.25">
      <c r="B25" s="29" t="s">
        <v>12</v>
      </c>
      <c r="C25" s="33">
        <f t="shared" si="10"/>
        <v>7.14319441882411E-2</v>
      </c>
      <c r="D25" s="33">
        <f t="shared" si="11"/>
        <v>0.25129603593906458</v>
      </c>
      <c r="E25" s="33">
        <f t="shared" si="12"/>
        <v>8.0346490162881451E-2</v>
      </c>
      <c r="F25" s="33">
        <f t="shared" si="13"/>
        <v>0.64132853122513411</v>
      </c>
      <c r="G25" s="33">
        <f t="shared" si="14"/>
        <v>0.17419252427958618</v>
      </c>
      <c r="H25" s="33">
        <f t="shared" si="15"/>
        <v>0.25006406950738852</v>
      </c>
      <c r="I25" s="33">
        <f t="shared" si="16"/>
        <v>4.8721023275057861E-2</v>
      </c>
      <c r="J25" s="59">
        <f t="shared" si="17"/>
        <v>1.5173806185773537</v>
      </c>
      <c r="K25" s="60">
        <f t="shared" si="18"/>
        <v>0.17419252427958618</v>
      </c>
      <c r="L25" s="6">
        <f t="shared" si="19"/>
        <v>8.7109399490755148</v>
      </c>
    </row>
    <row r="26" spans="2:12" x14ac:dyDescent="0.25">
      <c r="B26" s="29" t="s">
        <v>13</v>
      </c>
      <c r="C26" s="33">
        <f t="shared" si="10"/>
        <v>9.5242592250988134E-2</v>
      </c>
      <c r="D26" s="33">
        <f t="shared" si="11"/>
        <v>0.25129603593906458</v>
      </c>
      <c r="E26" s="33">
        <f t="shared" si="12"/>
        <v>0.1606929803257629</v>
      </c>
      <c r="F26" s="33">
        <f t="shared" si="13"/>
        <v>0.16033213280628353</v>
      </c>
      <c r="G26" s="33">
        <f t="shared" si="14"/>
        <v>8.7096262139793088E-2</v>
      </c>
      <c r="H26" s="33">
        <f t="shared" si="15"/>
        <v>0.12503203475369426</v>
      </c>
      <c r="I26" s="33">
        <f t="shared" si="16"/>
        <v>0.14616306982517357</v>
      </c>
      <c r="J26" s="59">
        <f t="shared" si="17"/>
        <v>1.0258551080407601</v>
      </c>
      <c r="K26" s="60">
        <f t="shared" si="18"/>
        <v>0.12503203475369426</v>
      </c>
      <c r="L26" s="6">
        <f t="shared" si="19"/>
        <v>8.2047381701948154</v>
      </c>
    </row>
    <row r="27" spans="2:12" x14ac:dyDescent="0.25">
      <c r="B27" s="29" t="s">
        <v>15</v>
      </c>
      <c r="C27" s="33">
        <f t="shared" si="10"/>
        <v>4.0818253821852057E-2</v>
      </c>
      <c r="D27" s="33">
        <f t="shared" si="11"/>
        <v>2.5129603593906459E-2</v>
      </c>
      <c r="E27" s="33">
        <f t="shared" si="12"/>
        <v>4.0173245081440725E-2</v>
      </c>
      <c r="F27" s="33">
        <f t="shared" si="13"/>
        <v>5.3444044268761176E-2</v>
      </c>
      <c r="G27" s="33">
        <f t="shared" si="14"/>
        <v>0.17419252427958618</v>
      </c>
      <c r="H27" s="33">
        <f t="shared" si="15"/>
        <v>4.1677344917898082E-2</v>
      </c>
      <c r="I27" s="33">
        <f t="shared" si="16"/>
        <v>4.8721023275057861E-2</v>
      </c>
      <c r="J27" s="59">
        <f t="shared" si="17"/>
        <v>0.42415603923850248</v>
      </c>
      <c r="K27" s="60">
        <f t="shared" si="18"/>
        <v>4.8721023275057861E-2</v>
      </c>
      <c r="L27" s="6">
        <f t="shared" si="19"/>
        <v>8.7058113874969454</v>
      </c>
    </row>
    <row r="28" spans="2:12" x14ac:dyDescent="0.25">
      <c r="J28" s="5"/>
      <c r="K28" s="5"/>
      <c r="L28" s="5"/>
    </row>
    <row r="29" spans="2:12" x14ac:dyDescent="0.25">
      <c r="J29" s="5"/>
      <c r="K29" s="2" t="s">
        <v>63</v>
      </c>
      <c r="L29" s="6">
        <f>(L21+L22+L23+L24+L25+L26+L27)/7</f>
        <v>8.4042907227382297</v>
      </c>
    </row>
    <row r="30" spans="2:12" x14ac:dyDescent="0.25">
      <c r="J30" s="5"/>
      <c r="K30" s="2" t="s">
        <v>19</v>
      </c>
      <c r="L30" s="6">
        <f>(L29-7)/6</f>
        <v>0.23404845378970496</v>
      </c>
    </row>
    <row r="31" spans="2:12" x14ac:dyDescent="0.25">
      <c r="J31" s="5"/>
      <c r="K31" s="30" t="s">
        <v>20</v>
      </c>
      <c r="L31" s="61">
        <f>L30/1.32</f>
        <v>0.1773094346891704</v>
      </c>
    </row>
    <row r="32" spans="2:12" x14ac:dyDescent="0.25">
      <c r="J32" s="5"/>
      <c r="K32" s="5"/>
      <c r="L32" s="5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259E-30DE-4D4B-BBFB-59ECC2E9B846}">
  <dimension ref="B1:L22"/>
  <sheetViews>
    <sheetView zoomScale="115" zoomScaleNormal="115" workbookViewId="0">
      <selection activeCell="G36" sqref="G36"/>
    </sheetView>
  </sheetViews>
  <sheetFormatPr defaultRowHeight="15" x14ac:dyDescent="0.25"/>
  <cols>
    <col min="2" max="2" width="22.85546875" customWidth="1"/>
    <col min="3" max="7" width="23.42578125" customWidth="1"/>
    <col min="14" max="14" width="13.85546875" customWidth="1"/>
    <col min="16" max="16" width="15.28515625" customWidth="1"/>
    <col min="17" max="17" width="17.28515625" customWidth="1"/>
  </cols>
  <sheetData>
    <row r="1" spans="2:12" x14ac:dyDescent="0.25">
      <c r="B1" s="57" t="s">
        <v>31</v>
      </c>
      <c r="C1" s="58">
        <v>1</v>
      </c>
      <c r="D1" s="58">
        <v>1</v>
      </c>
      <c r="E1" s="58">
        <v>1</v>
      </c>
      <c r="F1" s="58">
        <v>1</v>
      </c>
      <c r="G1" s="58">
        <v>1</v>
      </c>
      <c r="I1" s="55" t="s">
        <v>28</v>
      </c>
      <c r="J1" s="55" t="s">
        <v>2</v>
      </c>
      <c r="K1" s="55" t="s">
        <v>29</v>
      </c>
      <c r="L1" s="56" t="s">
        <v>30</v>
      </c>
    </row>
    <row r="2" spans="2:12" ht="15" customHeight="1" x14ac:dyDescent="0.25">
      <c r="B2" s="4"/>
      <c r="C2" s="4" t="str">
        <f>Entrada!N4</f>
        <v>arno</v>
      </c>
      <c r="D2" s="4" t="str">
        <f>Entrada!N5</f>
        <v>wallita</v>
      </c>
      <c r="E2" s="4" t="str">
        <f>Entrada!N6</f>
        <v>black</v>
      </c>
      <c r="F2" s="4" t="str">
        <f>Entrada!N7</f>
        <v>singer</v>
      </c>
      <c r="G2" s="4" t="str">
        <f>Entrada!N8</f>
        <v>Mondial</v>
      </c>
      <c r="I2" s="1" t="s">
        <v>3</v>
      </c>
      <c r="J2" s="55" t="s">
        <v>2</v>
      </c>
      <c r="K2" s="1" t="s">
        <v>9</v>
      </c>
      <c r="L2" s="19">
        <f>'calc Hier'!J11*'calc Hier'!J12</f>
        <v>3.590112882785098E-2</v>
      </c>
    </row>
    <row r="3" spans="2:12" x14ac:dyDescent="0.25">
      <c r="B3" s="4" t="str">
        <f>Entrada!B4</f>
        <v>Preço</v>
      </c>
      <c r="C3" s="3">
        <f>Entrada!R4</f>
        <v>6</v>
      </c>
      <c r="D3" s="3">
        <f>Entrada!R11</f>
        <v>4</v>
      </c>
      <c r="E3" s="3">
        <f>Entrada!R18</f>
        <v>2</v>
      </c>
      <c r="F3" s="3">
        <f>Entrada!R25</f>
        <v>4</v>
      </c>
      <c r="G3" s="3">
        <f>Entrada!R32</f>
        <v>1</v>
      </c>
      <c r="I3" s="1" t="s">
        <v>3</v>
      </c>
      <c r="J3" s="55" t="s">
        <v>2</v>
      </c>
      <c r="K3" s="1" t="s">
        <v>23</v>
      </c>
      <c r="L3" s="19">
        <f>'calc Hier'!J11*'calc Hier'!J13</f>
        <v>2.2957224004144041E-2</v>
      </c>
    </row>
    <row r="4" spans="2:12" x14ac:dyDescent="0.25">
      <c r="B4" s="4" t="str">
        <f>Entrada!B5</f>
        <v>Durabilidade</v>
      </c>
      <c r="C4" s="3">
        <f>Entrada!R5</f>
        <v>7</v>
      </c>
      <c r="D4" s="3">
        <f>Entrada!R12</f>
        <v>6</v>
      </c>
      <c r="E4" s="3">
        <f>Entrada!R19</f>
        <v>3</v>
      </c>
      <c r="F4" s="3">
        <f>Entrada!R26</f>
        <v>3</v>
      </c>
      <c r="G4" s="3">
        <f>Entrada!R33</f>
        <v>2</v>
      </c>
      <c r="I4" s="1" t="s">
        <v>3</v>
      </c>
      <c r="J4" s="55" t="s">
        <v>2</v>
      </c>
      <c r="K4" s="1" t="s">
        <v>24</v>
      </c>
      <c r="L4" s="19">
        <f>'calc Hier'!J11*'calc Hier'!J14</f>
        <v>4.5811343848800423E-2</v>
      </c>
    </row>
    <row r="5" spans="2:12" x14ac:dyDescent="0.25">
      <c r="B5" s="4" t="str">
        <f>Entrada!B6</f>
        <v>Cor</v>
      </c>
      <c r="C5" s="3">
        <f>Entrada!R6</f>
        <v>3</v>
      </c>
      <c r="D5" s="3">
        <f>Entrada!R13</f>
        <v>4</v>
      </c>
      <c r="E5" s="3">
        <f>Entrada!R20</f>
        <v>8</v>
      </c>
      <c r="F5" s="3">
        <f>Entrada!R27</f>
        <v>2</v>
      </c>
      <c r="G5" s="3">
        <f>Entrada!R34</f>
        <v>4</v>
      </c>
      <c r="I5" s="1" t="s">
        <v>3</v>
      </c>
      <c r="J5" s="55" t="s">
        <v>2</v>
      </c>
      <c r="K5" s="1" t="s">
        <v>25</v>
      </c>
      <c r="L5" s="19">
        <f>'calc Hier'!J11*'calc Hier'!J15</f>
        <v>4.977164268939293E-2</v>
      </c>
    </row>
    <row r="6" spans="2:12" x14ac:dyDescent="0.25">
      <c r="B6" s="4" t="str">
        <f>Entrada!B7</f>
        <v>Acabamento</v>
      </c>
      <c r="C6" s="3">
        <f>Entrada!R7</f>
        <v>2</v>
      </c>
      <c r="D6" s="3">
        <f>Entrada!R14</f>
        <v>9</v>
      </c>
      <c r="E6" s="3">
        <f>Entrada!R21</f>
        <v>9</v>
      </c>
      <c r="F6" s="3">
        <f>Entrada!R28</f>
        <v>3</v>
      </c>
      <c r="G6" s="3">
        <f>Entrada!R35</f>
        <v>1</v>
      </c>
      <c r="I6" s="1" t="s">
        <v>3</v>
      </c>
      <c r="J6" s="55" t="s">
        <v>2</v>
      </c>
      <c r="K6" s="1" t="s">
        <v>26</v>
      </c>
      <c r="L6" s="19">
        <f>'calc Hier'!J11*'calc Hier'!J16</f>
        <v>3.5725125313072439E-2</v>
      </c>
    </row>
    <row r="7" spans="2:12" x14ac:dyDescent="0.25">
      <c r="B7" s="4" t="str">
        <f>Entrada!B8</f>
        <v>Design</v>
      </c>
      <c r="C7" s="3">
        <f>Entrada!R8</f>
        <v>2</v>
      </c>
      <c r="D7" s="3">
        <f>Entrada!R15</f>
        <v>7</v>
      </c>
      <c r="E7" s="3">
        <f>Entrada!R22</f>
        <v>7</v>
      </c>
      <c r="F7" s="3">
        <f>Entrada!R29</f>
        <v>7</v>
      </c>
      <c r="G7" s="3">
        <f>Entrada!R36</f>
        <v>7</v>
      </c>
      <c r="I7" s="1" t="s">
        <v>3</v>
      </c>
      <c r="J7" s="55" t="s">
        <v>2</v>
      </c>
      <c r="K7" s="1" t="s">
        <v>27</v>
      </c>
      <c r="L7" s="19">
        <f>'calc Hier'!J11*'calc Hier'!J17</f>
        <v>1.3920949661511715E-2</v>
      </c>
    </row>
    <row r="8" spans="2:12" x14ac:dyDescent="0.25">
      <c r="B8" s="4" t="str">
        <f>Entrada!B9</f>
        <v>Garantia</v>
      </c>
      <c r="C8" s="3">
        <f>Entrada!R9</f>
        <v>3</v>
      </c>
      <c r="D8" s="3">
        <f>Entrada!R16</f>
        <v>5</v>
      </c>
      <c r="E8" s="3">
        <f>Entrada!R23</f>
        <v>3</v>
      </c>
      <c r="F8" s="3">
        <f>Entrada!R30</f>
        <v>8</v>
      </c>
      <c r="G8" s="3">
        <f>Entrada!R37</f>
        <v>9</v>
      </c>
      <c r="I8" s="1" t="s">
        <v>9</v>
      </c>
      <c r="J8" s="55" t="s">
        <v>2</v>
      </c>
      <c r="K8" s="1" t="s">
        <v>23</v>
      </c>
      <c r="L8" s="19">
        <f>'calc Hier'!J12*'calc Hier'!J13</f>
        <v>1.0095377239774578E-2</v>
      </c>
    </row>
    <row r="9" spans="2:12" x14ac:dyDescent="0.25">
      <c r="B9" s="4" t="str">
        <f>Entrada!B10</f>
        <v>Peso</v>
      </c>
      <c r="C9" s="3">
        <f>Entrada!R10</f>
        <v>4</v>
      </c>
      <c r="D9" s="3">
        <f>Entrada!R17</f>
        <v>1</v>
      </c>
      <c r="E9" s="3">
        <f>Entrada!R24</f>
        <v>2</v>
      </c>
      <c r="F9" s="3">
        <f>Entrada!R31</f>
        <v>6</v>
      </c>
      <c r="G9" s="3">
        <f>Entrada!R38</f>
        <v>4</v>
      </c>
      <c r="I9" s="1" t="s">
        <v>9</v>
      </c>
      <c r="J9" s="55" t="s">
        <v>2</v>
      </c>
      <c r="K9" s="1" t="s">
        <v>24</v>
      </c>
      <c r="L9" s="19">
        <f>'calc Hier'!J12*'calc Hier'!J14</f>
        <v>2.014541470393735E-2</v>
      </c>
    </row>
    <row r="10" spans="2:12" x14ac:dyDescent="0.25">
      <c r="I10" s="1" t="s">
        <v>9</v>
      </c>
      <c r="J10" s="55" t="s">
        <v>2</v>
      </c>
      <c r="K10" s="1" t="s">
        <v>25</v>
      </c>
      <c r="L10" s="19">
        <f>'calc Hier'!J12*'calc Hier'!J15</f>
        <v>2.1886945420839632E-2</v>
      </c>
    </row>
    <row r="11" spans="2:12" x14ac:dyDescent="0.25">
      <c r="I11" s="1" t="s">
        <v>9</v>
      </c>
      <c r="J11" s="55" t="s">
        <v>2</v>
      </c>
      <c r="K11" s="1" t="s">
        <v>26</v>
      </c>
      <c r="L11" s="19">
        <f>'calc Hier'!J12*'calc Hier'!J16</f>
        <v>1.5710027349499361E-2</v>
      </c>
    </row>
    <row r="12" spans="2:12" x14ac:dyDescent="0.25">
      <c r="I12" s="1" t="s">
        <v>9</v>
      </c>
      <c r="J12" s="55" t="s">
        <v>2</v>
      </c>
      <c r="K12" s="1" t="s">
        <v>27</v>
      </c>
      <c r="L12" s="19">
        <f>'calc Hier'!J12*'calc Hier'!J17</f>
        <v>6.1217000079584706E-3</v>
      </c>
    </row>
    <row r="13" spans="2:12" x14ac:dyDescent="0.25">
      <c r="I13" s="1" t="s">
        <v>23</v>
      </c>
      <c r="J13" s="55" t="s">
        <v>2</v>
      </c>
      <c r="K13" s="1" t="s">
        <v>24</v>
      </c>
      <c r="L13" s="19">
        <f>'calc Hier'!$J$13*'calc Hier'!J14</f>
        <v>1.2882124131313863E-2</v>
      </c>
    </row>
    <row r="14" spans="2:12" x14ac:dyDescent="0.25">
      <c r="I14" s="1" t="s">
        <v>23</v>
      </c>
      <c r="J14" s="55" t="s">
        <v>2</v>
      </c>
      <c r="K14" s="1" t="s">
        <v>25</v>
      </c>
      <c r="L14" s="19">
        <f>'calc Hier'!$J$13*'calc Hier'!J15</f>
        <v>1.3995757938477259E-2</v>
      </c>
    </row>
    <row r="15" spans="2:12" x14ac:dyDescent="0.25">
      <c r="I15" s="1" t="s">
        <v>23</v>
      </c>
      <c r="J15" s="55" t="s">
        <v>2</v>
      </c>
      <c r="K15" s="1" t="s">
        <v>26</v>
      </c>
      <c r="L15" s="19">
        <f>'calc Hier'!$J$13*'calc Hier'!J16</f>
        <v>1.0045885150382747E-2</v>
      </c>
    </row>
    <row r="16" spans="2:12" x14ac:dyDescent="0.25">
      <c r="I16" s="1" t="s">
        <v>23</v>
      </c>
      <c r="J16" s="55" t="s">
        <v>2</v>
      </c>
      <c r="K16" s="1" t="s">
        <v>27</v>
      </c>
      <c r="L16" s="19">
        <f>'calc Hier'!$J$13*'calc Hier'!J17</f>
        <v>3.9145632172949548E-3</v>
      </c>
    </row>
    <row r="17" spans="9:12" x14ac:dyDescent="0.25">
      <c r="I17" s="1" t="s">
        <v>24</v>
      </c>
      <c r="J17" s="55" t="s">
        <v>2</v>
      </c>
      <c r="K17" s="1" t="s">
        <v>25</v>
      </c>
      <c r="L17" s="19">
        <f>'calc Hier'!$J$14*'calc Hier'!J15</f>
        <v>2.7928658936656379E-2</v>
      </c>
    </row>
    <row r="18" spans="9:12" x14ac:dyDescent="0.25">
      <c r="I18" s="1" t="s">
        <v>24</v>
      </c>
      <c r="J18" s="55" t="s">
        <v>2</v>
      </c>
      <c r="K18" s="1" t="s">
        <v>26</v>
      </c>
      <c r="L18" s="19">
        <f>'calc Hier'!$J$14*'calc Hier'!J16</f>
        <v>2.0046652801169167E-2</v>
      </c>
    </row>
    <row r="19" spans="9:12" x14ac:dyDescent="0.25">
      <c r="I19" s="1" t="s">
        <v>24</v>
      </c>
      <c r="J19" s="55" t="s">
        <v>2</v>
      </c>
      <c r="K19" s="1" t="s">
        <v>27</v>
      </c>
      <c r="L19" s="19">
        <f>'calc Hier'!$J$14*'calc Hier'!J17</f>
        <v>7.8115455741946081E-3</v>
      </c>
    </row>
    <row r="20" spans="9:12" x14ac:dyDescent="0.25">
      <c r="I20" s="1" t="s">
        <v>25</v>
      </c>
      <c r="J20" s="55" t="s">
        <v>2</v>
      </c>
      <c r="K20" s="1" t="s">
        <v>26</v>
      </c>
      <c r="L20" s="19">
        <f>'calc Hier'!J15*'calc Hier'!J16</f>
        <v>2.177964574955895E-2</v>
      </c>
    </row>
    <row r="21" spans="9:12" x14ac:dyDescent="0.25">
      <c r="I21" s="1" t="s">
        <v>25</v>
      </c>
      <c r="J21" s="55" t="s">
        <v>2</v>
      </c>
      <c r="K21" s="1" t="s">
        <v>27</v>
      </c>
      <c r="L21" s="19">
        <f>'calc Hier'!J15*'calc Hier'!J17</f>
        <v>8.4868380297668002E-3</v>
      </c>
    </row>
    <row r="22" spans="9:12" x14ac:dyDescent="0.25">
      <c r="I22" s="1" t="s">
        <v>26</v>
      </c>
      <c r="J22" s="55" t="s">
        <v>2</v>
      </c>
      <c r="K22" s="1" t="s">
        <v>27</v>
      </c>
      <c r="L22" s="19">
        <f>'calc Hier'!J16*'calc Hier'!J17</f>
        <v>6.0916886753625814E-3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10BE-70C7-4843-A75D-74042C32440D}">
  <dimension ref="A2:L20"/>
  <sheetViews>
    <sheetView topLeftCell="A11" workbookViewId="0">
      <selection activeCell="A12" sqref="A12:C20"/>
    </sheetView>
  </sheetViews>
  <sheetFormatPr defaultRowHeight="15" x14ac:dyDescent="0.25"/>
  <cols>
    <col min="1" max="1" width="25" customWidth="1"/>
    <col min="2" max="2" width="22.7109375" style="5" customWidth="1"/>
    <col min="3" max="3" width="26.7109375" style="5" customWidth="1"/>
    <col min="4" max="6" width="15.5703125" customWidth="1"/>
    <col min="7" max="7" width="15.5703125" style="17" customWidth="1"/>
    <col min="8" max="12" width="15.5703125" customWidth="1"/>
  </cols>
  <sheetData>
    <row r="2" spans="1:12" x14ac:dyDescent="0.25">
      <c r="C2" s="115" t="s">
        <v>5</v>
      </c>
      <c r="D2" s="116"/>
      <c r="E2" s="116"/>
      <c r="F2" s="116"/>
      <c r="G2" s="116"/>
      <c r="H2" s="117" t="s">
        <v>4</v>
      </c>
      <c r="I2" s="89"/>
      <c r="J2" s="89"/>
      <c r="K2" s="89"/>
      <c r="L2" s="89"/>
    </row>
    <row r="3" spans="1:12" x14ac:dyDescent="0.25">
      <c r="A3" s="20" t="s">
        <v>7</v>
      </c>
      <c r="B3" s="11" t="s">
        <v>6</v>
      </c>
      <c r="C3" s="4" t="str">
        <f>'Mapas de posicionamento'!C2</f>
        <v>arno</v>
      </c>
      <c r="D3" s="4" t="str">
        <f>'Mapas de posicionamento'!D2</f>
        <v>wallita</v>
      </c>
      <c r="E3" s="4" t="str">
        <f>'Mapas de posicionamento'!E2</f>
        <v>black</v>
      </c>
      <c r="F3" s="4" t="str">
        <f>'Mapas de posicionamento'!F2</f>
        <v>singer</v>
      </c>
      <c r="G3" s="4" t="str">
        <f>'Mapas de posicionamento'!G2</f>
        <v>Mondial</v>
      </c>
      <c r="H3" s="4" t="str">
        <f>C3</f>
        <v>arno</v>
      </c>
      <c r="I3" s="4" t="str">
        <f t="shared" ref="I3:L3" si="0">D3</f>
        <v>wallita</v>
      </c>
      <c r="J3" s="4" t="str">
        <f t="shared" si="0"/>
        <v>black</v>
      </c>
      <c r="K3" s="4" t="str">
        <f t="shared" si="0"/>
        <v>singer</v>
      </c>
      <c r="L3" s="4" t="str">
        <f t="shared" si="0"/>
        <v>Mondial</v>
      </c>
    </row>
    <row r="4" spans="1:12" x14ac:dyDescent="0.25">
      <c r="A4" s="12" t="str">
        <f>'Mapas de posicionamento'!B3</f>
        <v>Preço</v>
      </c>
      <c r="B4" s="63">
        <f t="shared" ref="B4:B10" si="1">C14</f>
        <v>9</v>
      </c>
      <c r="C4" s="8">
        <f>'Mapas de posicionamento'!C3</f>
        <v>6</v>
      </c>
      <c r="D4" s="8">
        <f>'Mapas de posicionamento'!D3</f>
        <v>4</v>
      </c>
      <c r="E4" s="8">
        <f>'Mapas de posicionamento'!E3</f>
        <v>2</v>
      </c>
      <c r="F4" s="8">
        <f>'Mapas de posicionamento'!F3</f>
        <v>4</v>
      </c>
      <c r="G4" s="8">
        <f>'Mapas de posicionamento'!G3</f>
        <v>1</v>
      </c>
      <c r="H4" s="63">
        <f>$B4+($B4-C4)</f>
        <v>12</v>
      </c>
      <c r="I4" s="63">
        <f>$B4+($B4-D4)</f>
        <v>14</v>
      </c>
      <c r="J4" s="63">
        <f t="shared" ref="J4:L10" si="2">$B4+($B4-E4)</f>
        <v>16</v>
      </c>
      <c r="K4" s="63">
        <f t="shared" si="2"/>
        <v>14</v>
      </c>
      <c r="L4" s="63">
        <f t="shared" si="2"/>
        <v>17</v>
      </c>
    </row>
    <row r="5" spans="1:12" x14ac:dyDescent="0.25">
      <c r="A5" s="12" t="str">
        <f>'Mapas de posicionamento'!B4</f>
        <v>Durabilidade</v>
      </c>
      <c r="B5" s="63">
        <f t="shared" si="1"/>
        <v>3.9577256876341069</v>
      </c>
      <c r="C5" s="8">
        <f>'Mapas de posicionamento'!C4</f>
        <v>7</v>
      </c>
      <c r="D5" s="8">
        <f>'Mapas de posicionamento'!D4</f>
        <v>6</v>
      </c>
      <c r="E5" s="8">
        <f>'Mapas de posicionamento'!E4</f>
        <v>3</v>
      </c>
      <c r="F5" s="8">
        <f>'Mapas de posicionamento'!F4</f>
        <v>3</v>
      </c>
      <c r="G5" s="8">
        <f>'Mapas de posicionamento'!G4</f>
        <v>2</v>
      </c>
      <c r="H5" s="63">
        <f t="shared" ref="H5:H10" si="3">B5+(B5-C5)</f>
        <v>0.91545137526821385</v>
      </c>
      <c r="I5" s="63">
        <f t="shared" ref="I5:I10" si="4">$B5+($B5-D5)</f>
        <v>1.9154513752682139</v>
      </c>
      <c r="J5" s="63">
        <f t="shared" si="2"/>
        <v>4.9154513752682139</v>
      </c>
      <c r="K5" s="63">
        <f t="shared" si="2"/>
        <v>4.9154513752682139</v>
      </c>
      <c r="L5" s="63">
        <f t="shared" si="2"/>
        <v>5.9154513752682139</v>
      </c>
    </row>
    <row r="6" spans="1:12" x14ac:dyDescent="0.25">
      <c r="A6" s="12" t="str">
        <f>'Mapas de posicionamento'!B5</f>
        <v>Cor</v>
      </c>
      <c r="B6" s="63">
        <f t="shared" si="1"/>
        <v>2.5307949394473104</v>
      </c>
      <c r="C6" s="8">
        <f>'Mapas de posicionamento'!C5</f>
        <v>3</v>
      </c>
      <c r="D6" s="8">
        <f>'Mapas de posicionamento'!D5</f>
        <v>4</v>
      </c>
      <c r="E6" s="8">
        <f>'Mapas de posicionamento'!E5</f>
        <v>8</v>
      </c>
      <c r="F6" s="8">
        <f>'Mapas de posicionamento'!F5</f>
        <v>2</v>
      </c>
      <c r="G6" s="8">
        <f>'Mapas de posicionamento'!G5</f>
        <v>4</v>
      </c>
      <c r="H6" s="63">
        <f t="shared" si="3"/>
        <v>2.0615898788946208</v>
      </c>
      <c r="I6" s="63">
        <f t="shared" si="4"/>
        <v>1.0615898788946208</v>
      </c>
      <c r="J6" s="63">
        <f t="shared" si="2"/>
        <v>-2.9384101211053792</v>
      </c>
      <c r="K6" s="63">
        <f t="shared" si="2"/>
        <v>3.0615898788946208</v>
      </c>
      <c r="L6" s="63">
        <f t="shared" si="2"/>
        <v>1.0615898788946208</v>
      </c>
    </row>
    <row r="7" spans="1:12" x14ac:dyDescent="0.25">
      <c r="A7" s="12" t="str">
        <f>'Mapas de posicionamento'!B6</f>
        <v>Acabamento</v>
      </c>
      <c r="B7" s="63">
        <f t="shared" si="1"/>
        <v>5.0502237187255918</v>
      </c>
      <c r="C7" s="8">
        <f>'Mapas de posicionamento'!C6</f>
        <v>2</v>
      </c>
      <c r="D7" s="8">
        <f>'Mapas de posicionamento'!D6</f>
        <v>9</v>
      </c>
      <c r="E7" s="8">
        <f>'Mapas de posicionamento'!E6</f>
        <v>9</v>
      </c>
      <c r="F7" s="8">
        <f>'Mapas de posicionamento'!F6</f>
        <v>3</v>
      </c>
      <c r="G7" s="8">
        <f>'Mapas de posicionamento'!G6</f>
        <v>1</v>
      </c>
      <c r="H7" s="63">
        <f t="shared" si="3"/>
        <v>8.1004474374511837</v>
      </c>
      <c r="I7" s="63">
        <f t="shared" si="4"/>
        <v>1.1004474374511837</v>
      </c>
      <c r="J7" s="63">
        <f t="shared" si="2"/>
        <v>1.1004474374511837</v>
      </c>
      <c r="K7" s="63">
        <f t="shared" si="2"/>
        <v>7.1004474374511837</v>
      </c>
      <c r="L7" s="63">
        <f t="shared" si="2"/>
        <v>9.1004474374511837</v>
      </c>
    </row>
    <row r="8" spans="1:12" x14ac:dyDescent="0.25">
      <c r="A8" s="12" t="str">
        <f>'Mapas de posicionamento'!B7</f>
        <v>Design</v>
      </c>
      <c r="B8" s="63">
        <f t="shared" si="1"/>
        <v>5.4868054353417373</v>
      </c>
      <c r="C8" s="8">
        <f>'Mapas de posicionamento'!C7</f>
        <v>2</v>
      </c>
      <c r="D8" s="8">
        <f>'Mapas de posicionamento'!D7</f>
        <v>7</v>
      </c>
      <c r="E8" s="8">
        <f>'Mapas de posicionamento'!E7</f>
        <v>7</v>
      </c>
      <c r="F8" s="8">
        <f>'Mapas de posicionamento'!F7</f>
        <v>7</v>
      </c>
      <c r="G8" s="8">
        <f>'Mapas de posicionamento'!G7</f>
        <v>7</v>
      </c>
      <c r="H8" s="63">
        <f t="shared" si="3"/>
        <v>8.9736108706834745</v>
      </c>
      <c r="I8" s="63">
        <f t="shared" si="4"/>
        <v>3.9736108706834745</v>
      </c>
      <c r="J8" s="63">
        <f t="shared" si="2"/>
        <v>3.9736108706834745</v>
      </c>
      <c r="K8" s="63">
        <f t="shared" si="2"/>
        <v>3.9736108706834745</v>
      </c>
      <c r="L8" s="63">
        <f t="shared" si="2"/>
        <v>3.9736108706834745</v>
      </c>
    </row>
    <row r="9" spans="1:12" x14ac:dyDescent="0.25">
      <c r="A9" s="12" t="str">
        <f>'Mapas de posicionamento'!B8</f>
        <v>Garantia</v>
      </c>
      <c r="B9" s="63">
        <f t="shared" si="1"/>
        <v>3.9383231324973855</v>
      </c>
      <c r="C9" s="8">
        <f>'Mapas de posicionamento'!C8</f>
        <v>3</v>
      </c>
      <c r="D9" s="8">
        <f>'Mapas de posicionamento'!D8</f>
        <v>5</v>
      </c>
      <c r="E9" s="8">
        <f>'Mapas de posicionamento'!E8</f>
        <v>3</v>
      </c>
      <c r="F9" s="8">
        <f>'Mapas de posicionamento'!F8</f>
        <v>8</v>
      </c>
      <c r="G9" s="8">
        <f>'Mapas de posicionamento'!G8</f>
        <v>9</v>
      </c>
      <c r="H9" s="63">
        <f t="shared" si="3"/>
        <v>4.8766462649947711</v>
      </c>
      <c r="I9" s="63">
        <f t="shared" si="4"/>
        <v>2.8766462649947711</v>
      </c>
      <c r="J9" s="63">
        <f t="shared" si="2"/>
        <v>4.8766462649947711</v>
      </c>
      <c r="K9" s="63">
        <f t="shared" si="2"/>
        <v>-0.1233537350052285</v>
      </c>
      <c r="L9" s="63">
        <f t="shared" si="2"/>
        <v>-1.1233537350052285</v>
      </c>
    </row>
    <row r="10" spans="1:12" x14ac:dyDescent="0.25">
      <c r="A10" s="12" t="str">
        <f>'Mapas de posicionamento'!B9</f>
        <v>Peso</v>
      </c>
      <c r="B10" s="63">
        <f t="shared" si="1"/>
        <v>1.5346397695686109</v>
      </c>
      <c r="C10" s="8">
        <f>'Mapas de posicionamento'!C9</f>
        <v>4</v>
      </c>
      <c r="D10" s="8">
        <f>'Mapas de posicionamento'!D9</f>
        <v>1</v>
      </c>
      <c r="E10" s="8">
        <f>'Mapas de posicionamento'!E9</f>
        <v>2</v>
      </c>
      <c r="F10" s="8">
        <f>'Mapas de posicionamento'!F9</f>
        <v>6</v>
      </c>
      <c r="G10" s="8">
        <f>'Mapas de posicionamento'!G9</f>
        <v>4</v>
      </c>
      <c r="H10" s="63">
        <f t="shared" si="3"/>
        <v>-0.93072046086277815</v>
      </c>
      <c r="I10" s="63">
        <f t="shared" si="4"/>
        <v>2.0692795391372218</v>
      </c>
      <c r="J10" s="63">
        <f t="shared" si="2"/>
        <v>1.0692795391372218</v>
      </c>
      <c r="K10" s="63">
        <f t="shared" si="2"/>
        <v>-2.9307204608627782</v>
      </c>
      <c r="L10" s="63">
        <f t="shared" si="2"/>
        <v>-0.93072046086277815</v>
      </c>
    </row>
    <row r="12" spans="1:12" x14ac:dyDescent="0.25">
      <c r="A12" s="1"/>
      <c r="B12" s="3">
        <f>MAX(B14:B20)</f>
        <v>0.2857277767529644</v>
      </c>
      <c r="C12" s="3"/>
    </row>
    <row r="13" spans="1:12" x14ac:dyDescent="0.25">
      <c r="A13" s="20" t="s">
        <v>7</v>
      </c>
      <c r="B13" s="62" t="str">
        <f>'calc Hier'!J10</f>
        <v>Peso do critério</v>
      </c>
      <c r="C13" s="3" t="s">
        <v>32</v>
      </c>
    </row>
    <row r="14" spans="1:12" x14ac:dyDescent="0.25">
      <c r="A14" s="12" t="str">
        <f>A4</f>
        <v>Preço</v>
      </c>
      <c r="B14" s="4">
        <f>'calc Hier'!J11</f>
        <v>0.2857277767529644</v>
      </c>
      <c r="C14" s="64">
        <f t="shared" ref="C14:C20" si="5">B14/MAX($B$14:$B$20)*9</f>
        <v>9</v>
      </c>
    </row>
    <row r="15" spans="1:12" x14ac:dyDescent="0.25">
      <c r="A15" s="12" t="str">
        <f t="shared" ref="A15:A20" si="6">A5</f>
        <v>Durabilidade</v>
      </c>
      <c r="B15" s="4">
        <f>'calc Hier'!J12</f>
        <v>0.12564801796953229</v>
      </c>
      <c r="C15" s="64">
        <f t="shared" si="5"/>
        <v>3.9577256876341069</v>
      </c>
    </row>
    <row r="16" spans="1:12" x14ac:dyDescent="0.25">
      <c r="A16" s="12" t="str">
        <f t="shared" si="6"/>
        <v>Cor</v>
      </c>
      <c r="B16" s="4">
        <f>'calc Hier'!J13</f>
        <v>8.0346490162881451E-2</v>
      </c>
      <c r="C16" s="64">
        <f t="shared" si="5"/>
        <v>2.5307949394473104</v>
      </c>
    </row>
    <row r="17" spans="1:3" x14ac:dyDescent="0.25">
      <c r="A17" s="12" t="str">
        <f t="shared" si="6"/>
        <v>Acabamento</v>
      </c>
      <c r="B17" s="4">
        <f>'calc Hier'!J14</f>
        <v>0.16033213280628353</v>
      </c>
      <c r="C17" s="64">
        <f t="shared" si="5"/>
        <v>5.0502237187255918</v>
      </c>
    </row>
    <row r="18" spans="1:3" x14ac:dyDescent="0.25">
      <c r="A18" s="12" t="str">
        <f t="shared" si="6"/>
        <v>Design</v>
      </c>
      <c r="B18" s="4">
        <f>'calc Hier'!J15</f>
        <v>0.17419252427958618</v>
      </c>
      <c r="C18" s="64">
        <f t="shared" si="5"/>
        <v>5.4868054353417373</v>
      </c>
    </row>
    <row r="19" spans="1:3" x14ac:dyDescent="0.25">
      <c r="A19" s="12" t="str">
        <f t="shared" si="6"/>
        <v>Garantia</v>
      </c>
      <c r="B19" s="4">
        <f>'calc Hier'!J16</f>
        <v>0.12503203475369426</v>
      </c>
      <c r="C19" s="64">
        <f t="shared" si="5"/>
        <v>3.9383231324973855</v>
      </c>
    </row>
    <row r="20" spans="1:3" x14ac:dyDescent="0.25">
      <c r="A20" s="12" t="str">
        <f t="shared" si="6"/>
        <v>Peso</v>
      </c>
      <c r="B20" s="4">
        <f>'calc Hier'!J17</f>
        <v>4.8721023275057861E-2</v>
      </c>
      <c r="C20" s="64">
        <f t="shared" si="5"/>
        <v>1.5346397695686109</v>
      </c>
    </row>
  </sheetData>
  <mergeCells count="2">
    <mergeCell ref="C2:G2"/>
    <mergeCell ref="H2:L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4B86-A4CB-428E-9CCB-F7B84BDC2FB1}">
  <dimension ref="B4:C11"/>
  <sheetViews>
    <sheetView workbookViewId="0">
      <selection activeCell="E9" sqref="E9"/>
    </sheetView>
  </sheetViews>
  <sheetFormatPr defaultRowHeight="15" x14ac:dyDescent="0.25"/>
  <cols>
    <col min="2" max="2" width="24" style="17" customWidth="1"/>
    <col min="3" max="3" width="24.7109375" customWidth="1"/>
  </cols>
  <sheetData>
    <row r="4" spans="2:3" x14ac:dyDescent="0.25">
      <c r="B4" s="65" t="str">
        <f>Radar!A13</f>
        <v>Item a ser avaliado</v>
      </c>
      <c r="C4" s="4" t="str">
        <f>Radar!C13</f>
        <v>Importância (norm em 9)</v>
      </c>
    </row>
    <row r="5" spans="2:3" x14ac:dyDescent="0.25">
      <c r="B5" s="4" t="str">
        <f>Radar!A20</f>
        <v>Peso</v>
      </c>
      <c r="C5" s="64">
        <f>Radar!C20</f>
        <v>1.5346397695686109</v>
      </c>
    </row>
    <row r="6" spans="2:3" x14ac:dyDescent="0.25">
      <c r="B6" s="65" t="str">
        <f>Radar!A16</f>
        <v>Cor</v>
      </c>
      <c r="C6" s="64">
        <f>Radar!C16</f>
        <v>2.5307949394473104</v>
      </c>
    </row>
    <row r="7" spans="2:3" x14ac:dyDescent="0.25">
      <c r="B7" s="65" t="str">
        <f>Radar!A19</f>
        <v>Garantia</v>
      </c>
      <c r="C7" s="64">
        <f>Radar!C19</f>
        <v>3.9383231324973855</v>
      </c>
    </row>
    <row r="8" spans="2:3" x14ac:dyDescent="0.25">
      <c r="B8" s="65" t="str">
        <f>Radar!A15</f>
        <v>Durabilidade</v>
      </c>
      <c r="C8" s="64">
        <f>Radar!C15</f>
        <v>3.9577256876341069</v>
      </c>
    </row>
    <row r="9" spans="2:3" x14ac:dyDescent="0.25">
      <c r="B9" s="65" t="str">
        <f>Radar!A17</f>
        <v>Acabamento</v>
      </c>
      <c r="C9" s="64">
        <f>Radar!C17</f>
        <v>5.0502237187255918</v>
      </c>
    </row>
    <row r="10" spans="2:3" x14ac:dyDescent="0.25">
      <c r="B10" s="65" t="str">
        <f>Radar!A18</f>
        <v>Design</v>
      </c>
      <c r="C10" s="64">
        <f>Radar!C18</f>
        <v>5.4868054353417373</v>
      </c>
    </row>
    <row r="11" spans="2:3" x14ac:dyDescent="0.25">
      <c r="B11" s="65" t="str">
        <f>Radar!A14</f>
        <v>Preço</v>
      </c>
      <c r="C11" s="64">
        <f>Radar!C14</f>
        <v>9</v>
      </c>
    </row>
  </sheetData>
  <sortState xmlns:xlrd2="http://schemas.microsoft.com/office/spreadsheetml/2017/richdata2" ref="B5:C11">
    <sortCondition ref="C5:C1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FCBB-09E2-493C-B195-4121EAE7CBAA}">
  <dimension ref="A1:G21"/>
  <sheetViews>
    <sheetView workbookViewId="0">
      <selection activeCell="J3" sqref="J3"/>
    </sheetView>
  </sheetViews>
  <sheetFormatPr defaultRowHeight="15" x14ac:dyDescent="0.25"/>
  <sheetData>
    <row r="1" spans="1:7" ht="78.75" x14ac:dyDescent="0.25">
      <c r="A1" s="77" t="s">
        <v>51</v>
      </c>
      <c r="B1" s="69" t="s">
        <v>34</v>
      </c>
      <c r="C1" s="69" t="s">
        <v>35</v>
      </c>
      <c r="D1" s="69" t="s">
        <v>36</v>
      </c>
      <c r="E1" s="69" t="s">
        <v>33</v>
      </c>
      <c r="F1" s="76" t="s">
        <v>50</v>
      </c>
      <c r="G1" s="7"/>
    </row>
    <row r="2" spans="1:7" ht="63" x14ac:dyDescent="0.25">
      <c r="A2" s="69" t="s">
        <v>34</v>
      </c>
      <c r="B2" s="74">
        <v>1</v>
      </c>
      <c r="C2" s="75">
        <v>3</v>
      </c>
      <c r="D2" s="75">
        <v>1</v>
      </c>
      <c r="E2" s="75">
        <v>0.2</v>
      </c>
      <c r="F2" s="71">
        <f>SUM(B2:E2)</f>
        <v>5.2</v>
      </c>
      <c r="G2" s="7"/>
    </row>
    <row r="3" spans="1:7" ht="47.25" x14ac:dyDescent="0.25">
      <c r="A3" s="69" t="s">
        <v>35</v>
      </c>
      <c r="B3" s="75">
        <v>0.33333333333333331</v>
      </c>
      <c r="C3" s="74">
        <v>1</v>
      </c>
      <c r="D3" s="75">
        <v>5</v>
      </c>
      <c r="E3" s="75">
        <v>3</v>
      </c>
      <c r="F3" s="71">
        <f>SUM(B3:E3)</f>
        <v>9.3333333333333321</v>
      </c>
      <c r="G3" s="7"/>
    </row>
    <row r="4" spans="1:7" ht="78.75" x14ac:dyDescent="0.25">
      <c r="A4" s="69" t="s">
        <v>36</v>
      </c>
      <c r="B4" s="75">
        <v>1</v>
      </c>
      <c r="C4" s="75">
        <v>0.2</v>
      </c>
      <c r="D4" s="74">
        <v>1</v>
      </c>
      <c r="E4" s="75">
        <v>3</v>
      </c>
      <c r="F4" s="71">
        <f>SUM(B4:E4)</f>
        <v>5.2</v>
      </c>
      <c r="G4" s="7"/>
    </row>
    <row r="5" spans="1:7" ht="31.5" x14ac:dyDescent="0.25">
      <c r="A5" s="69" t="s">
        <v>33</v>
      </c>
      <c r="B5" s="75">
        <v>5</v>
      </c>
      <c r="C5" s="75">
        <v>0.33333333333333331</v>
      </c>
      <c r="D5" s="75">
        <v>0.33333333333333331</v>
      </c>
      <c r="E5" s="74">
        <v>1</v>
      </c>
      <c r="F5" s="71">
        <f>SUM(B5:E5)</f>
        <v>6.6666666666666661</v>
      </c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ht="78.75" x14ac:dyDescent="0.25">
      <c r="A7" s="73"/>
      <c r="B7" s="69" t="s">
        <v>34</v>
      </c>
      <c r="C7" s="69" t="s">
        <v>35</v>
      </c>
      <c r="D7" s="69" t="s">
        <v>36</v>
      </c>
      <c r="E7" s="69" t="s">
        <v>33</v>
      </c>
      <c r="F7" s="72" t="s">
        <v>50</v>
      </c>
      <c r="G7" s="7"/>
    </row>
    <row r="8" spans="1:7" ht="31.5" x14ac:dyDescent="0.25">
      <c r="A8" s="69" t="s">
        <v>39</v>
      </c>
      <c r="B8" s="67" t="s">
        <v>49</v>
      </c>
      <c r="C8" s="67" t="s">
        <v>48</v>
      </c>
      <c r="D8" s="67" t="s">
        <v>41</v>
      </c>
      <c r="E8" s="67" t="s">
        <v>47</v>
      </c>
      <c r="F8" s="71">
        <v>46.133333333333333</v>
      </c>
      <c r="G8" s="7"/>
    </row>
    <row r="9" spans="1:7" ht="31.5" x14ac:dyDescent="0.25">
      <c r="A9" s="69" t="s">
        <v>38</v>
      </c>
      <c r="B9" s="67" t="s">
        <v>45</v>
      </c>
      <c r="C9" s="67" t="s">
        <v>46</v>
      </c>
      <c r="D9" s="67" t="s">
        <v>45</v>
      </c>
      <c r="E9" s="67" t="s">
        <v>44</v>
      </c>
      <c r="F9" s="71">
        <v>102.93333333333332</v>
      </c>
      <c r="G9" s="7"/>
    </row>
    <row r="10" spans="1:7" ht="31.5" x14ac:dyDescent="0.25">
      <c r="A10" s="69" t="s">
        <v>37</v>
      </c>
      <c r="B10" s="67" t="s">
        <v>43</v>
      </c>
      <c r="C10" s="67" t="s">
        <v>42</v>
      </c>
      <c r="D10" s="67" t="s">
        <v>41</v>
      </c>
      <c r="E10" s="67" t="s">
        <v>40</v>
      </c>
      <c r="F10" s="71">
        <v>91.199999999999989</v>
      </c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ht="78.75" x14ac:dyDescent="0.25">
      <c r="A12" s="70"/>
      <c r="B12" s="69" t="s">
        <v>34</v>
      </c>
      <c r="C12" s="69" t="s">
        <v>35</v>
      </c>
      <c r="D12" s="69" t="s">
        <v>36</v>
      </c>
      <c r="E12" s="69" t="s">
        <v>33</v>
      </c>
      <c r="F12" s="7"/>
      <c r="G12" s="7"/>
    </row>
    <row r="13" spans="1:7" ht="31.5" x14ac:dyDescent="0.25">
      <c r="A13" s="69" t="s">
        <v>39</v>
      </c>
      <c r="B13" s="67">
        <v>3</v>
      </c>
      <c r="C13" s="67">
        <v>2</v>
      </c>
      <c r="D13" s="67">
        <v>1</v>
      </c>
      <c r="E13" s="67">
        <v>1</v>
      </c>
      <c r="F13" s="7"/>
      <c r="G13" s="7"/>
    </row>
    <row r="14" spans="1:7" ht="31.5" x14ac:dyDescent="0.25">
      <c r="A14" s="69" t="s">
        <v>38</v>
      </c>
      <c r="B14" s="67">
        <v>4</v>
      </c>
      <c r="C14" s="67">
        <v>3</v>
      </c>
      <c r="D14" s="67">
        <v>4</v>
      </c>
      <c r="E14" s="67">
        <v>5</v>
      </c>
      <c r="F14" s="7"/>
      <c r="G14" s="7"/>
    </row>
    <row r="15" spans="1:7" ht="31.5" x14ac:dyDescent="0.25">
      <c r="A15" s="69" t="s">
        <v>37</v>
      </c>
      <c r="B15" s="67">
        <v>5</v>
      </c>
      <c r="C15" s="67">
        <v>5</v>
      </c>
      <c r="D15" s="67">
        <v>1</v>
      </c>
      <c r="E15" s="67">
        <v>2</v>
      </c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ht="31.5" x14ac:dyDescent="0.25">
      <c r="A18" s="69" t="s">
        <v>39</v>
      </c>
      <c r="B18" s="68">
        <f>B13*$F$2</f>
        <v>15.600000000000001</v>
      </c>
      <c r="C18" s="68">
        <f>C13*$F$3</f>
        <v>18.666666666666664</v>
      </c>
      <c r="D18" s="68">
        <f>D13*$F$4</f>
        <v>5.2</v>
      </c>
      <c r="E18" s="68">
        <f>E13*$F$5</f>
        <v>6.6666666666666661</v>
      </c>
      <c r="F18" s="68">
        <f>SUM(B18:E18)</f>
        <v>46.133333333333333</v>
      </c>
      <c r="G18" s="7"/>
    </row>
    <row r="19" spans="1:7" ht="31.5" x14ac:dyDescent="0.25">
      <c r="A19" s="69" t="s">
        <v>38</v>
      </c>
      <c r="B19" s="68">
        <f>B14*$F$2</f>
        <v>20.8</v>
      </c>
      <c r="C19" s="68">
        <f>C14*$F$3</f>
        <v>27.999999999999996</v>
      </c>
      <c r="D19" s="68">
        <f>D14*$F$4</f>
        <v>20.8</v>
      </c>
      <c r="E19" s="68">
        <f>E14*$F$5</f>
        <v>33.333333333333329</v>
      </c>
      <c r="F19" s="68">
        <f>SUM(B19:E19)</f>
        <v>102.93333333333332</v>
      </c>
      <c r="G19" s="7"/>
    </row>
    <row r="20" spans="1:7" ht="31.5" x14ac:dyDescent="0.25">
      <c r="A20" s="69" t="s">
        <v>37</v>
      </c>
      <c r="B20" s="68">
        <f>B15*$F$2</f>
        <v>26</v>
      </c>
      <c r="C20" s="68">
        <f>C15*$F$3</f>
        <v>46.666666666666657</v>
      </c>
      <c r="D20" s="68">
        <f>D15*$F$4</f>
        <v>5.2</v>
      </c>
      <c r="E20" s="68">
        <f>E15*$F$5</f>
        <v>13.333333333333332</v>
      </c>
      <c r="F20" s="68">
        <f>SUM(B20:E20)</f>
        <v>91.199999999999989</v>
      </c>
      <c r="G20" s="7"/>
    </row>
    <row r="21" spans="1:7" x14ac:dyDescent="0.25">
      <c r="A21" s="7"/>
      <c r="B21" s="7"/>
      <c r="C21" s="7"/>
      <c r="D21" s="7"/>
      <c r="E21" s="7"/>
      <c r="F21" s="7"/>
      <c r="G2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Entrada</vt:lpstr>
      <vt:lpstr>calc Hier</vt:lpstr>
      <vt:lpstr>Mapas de posicionamento</vt:lpstr>
      <vt:lpstr>Radar</vt:lpstr>
      <vt:lpstr>Kano</vt:lpstr>
      <vt:lpstr>Planilha do artigo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Marcelo de Carvalho Reis</cp:lastModifiedBy>
  <dcterms:created xsi:type="dcterms:W3CDTF">2021-01-12T00:15:31Z</dcterms:created>
  <dcterms:modified xsi:type="dcterms:W3CDTF">2021-03-24T15:01:48Z</dcterms:modified>
</cp:coreProperties>
</file>